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52" windowHeight="12255" tabRatio="600" firstSheet="0" activeTab="1" autoFilterDateGrouping="1"/>
  </bookViews>
  <sheets>
    <sheet name="小红书品牌-KOL" sheetId="1" state="visible" r:id="rId1"/>
    <sheet name="小红书电商-KOL" sheetId="2" state="visible" r:id="rId2"/>
    <sheet name="小红书提报-KOC" sheetId="3" state="visible" r:id="rId3"/>
    <sheet name="抖音品牌和电商-KOL" sheetId="4" state="visible" r:id="rId4"/>
    <sheet name="抖音提报-KOC" sheetId="5" state="visible" r:id="rId5"/>
    <sheet name="客户定询账号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);\(#,##0\)"/>
    <numFmt numFmtId="165" formatCode="0.0"/>
    <numFmt numFmtId="166" formatCode="\¥#,##0;[Red]\(\¥#,##0\)"/>
    <numFmt numFmtId="167" formatCode="\¥#,##0.00;[Red]\(\¥#,##0.00\)"/>
    <numFmt numFmtId="168" formatCode="0.00_);\(0.00\)"/>
  </numFmts>
  <fonts count="45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0000EE"/>
      <sz val="9.75"/>
      <scheme val="minor"/>
    </font>
    <font>
      <name val="等线"/>
      <charset val="134"/>
      <b val="1"/>
      <color rgb="FF000000"/>
      <sz val="9"/>
      <scheme val="minor"/>
    </font>
    <font>
      <name val="等线"/>
      <charset val="134"/>
      <b val="1"/>
      <color rgb="FF000000"/>
      <sz val="9.75"/>
      <scheme val="minor"/>
    </font>
    <font>
      <name val="等线"/>
      <charset val="134"/>
      <b val="1"/>
      <color rgb="FFFFFFFF"/>
      <sz val="9"/>
      <scheme val="minor"/>
    </font>
    <font>
      <name val="等线"/>
      <charset val="134"/>
      <color rgb="FF333333"/>
      <sz val="10.5"/>
      <scheme val="minor"/>
    </font>
    <font>
      <name val="等线"/>
      <charset val="134"/>
      <color rgb="FF0000EE"/>
      <sz val="9.75"/>
      <u val="single"/>
      <scheme val="minor"/>
    </font>
    <font>
      <name val="等线"/>
      <charset val="134"/>
      <color rgb="FF0000EE"/>
      <sz val="10.5"/>
      <u val="single"/>
      <scheme val="minor"/>
    </font>
    <font>
      <name val="等线"/>
      <charset val="134"/>
      <color rgb="FF000000"/>
      <sz val="9"/>
      <scheme val="minor"/>
    </font>
    <font>
      <name val="等线"/>
      <charset val="134"/>
      <color rgb="FF0000EE"/>
      <sz val="9"/>
      <u val="single"/>
      <scheme val="minor"/>
    </font>
    <font>
      <name val="等线"/>
      <charset val="134"/>
      <color rgb="FFF54A45"/>
      <sz val="9.75"/>
      <scheme val="minor"/>
    </font>
    <font>
      <name val="等线"/>
      <charset val="134"/>
      <color rgb="FF000000"/>
      <sz val="10.5"/>
      <scheme val="minor"/>
    </font>
    <font>
      <name val="等线"/>
      <charset val="134"/>
      <b val="1"/>
      <color rgb="FFFF0000"/>
      <sz val="10.5"/>
      <scheme val="minor"/>
    </font>
    <font>
      <name val="等线"/>
      <charset val="134"/>
      <color rgb="FF333333"/>
      <sz val="9"/>
      <scheme val="minor"/>
    </font>
    <font>
      <name val="等线"/>
      <charset val="134"/>
      <color rgb="FF000000"/>
      <sz val="12"/>
      <scheme val="minor"/>
    </font>
    <font>
      <name val="等线"/>
      <charset val="134"/>
      <color rgb="FF1F2329"/>
      <sz val="9.75"/>
      <scheme val="minor"/>
    </font>
    <font>
      <name val="等线"/>
      <charset val="134"/>
      <b val="1"/>
      <color rgb="FF1F2329"/>
      <sz val="9"/>
      <scheme val="minor"/>
    </font>
    <font>
      <name val="等线"/>
      <charset val="134"/>
      <b val="1"/>
      <color rgb="FF000000"/>
      <sz val="10.5"/>
      <scheme val="minor"/>
    </font>
    <font>
      <name val="等线"/>
      <charset val="134"/>
      <b val="1"/>
      <color rgb="FF1F2329"/>
      <sz val="9.75"/>
      <scheme val="minor"/>
    </font>
    <font>
      <name val="等线"/>
      <charset val="134"/>
      <color rgb="FF373C43"/>
      <sz val="9.7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9.75"/>
      <u val="single"/>
    </font>
    <font>
      <name val="Calibri"/>
      <charset val="134"/>
      <color theme="10"/>
      <sz val="9"/>
      <u val="single"/>
    </font>
    <font>
      <name val="Calibri"/>
      <charset val="134"/>
      <color theme="10"/>
      <sz val="10.5"/>
      <u val="single"/>
    </font>
    <font>
      <name val="宋体"/>
      <charset val="134"/>
      <sz val="10"/>
    </font>
  </fonts>
  <fills count="46">
    <fill>
      <patternFill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rgb="FF64E8D6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Alignment="1">
      <alignment vertical="center"/>
    </xf>
    <xf numFmtId="44" fontId="21" fillId="0" borderId="0" applyAlignment="1">
      <alignment vertical="center"/>
    </xf>
    <xf numFmtId="9" fontId="21" fillId="0" borderId="0" applyAlignment="1">
      <alignment vertical="center"/>
    </xf>
    <xf numFmtId="41" fontId="21" fillId="0" borderId="0" applyAlignment="1">
      <alignment vertical="center"/>
    </xf>
    <xf numFmtId="42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1" fillId="15" borderId="11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12" applyAlignment="1">
      <alignment vertical="center"/>
    </xf>
    <xf numFmtId="0" fontId="28" fillId="0" borderId="12" applyAlignment="1">
      <alignment vertical="center"/>
    </xf>
    <xf numFmtId="0" fontId="29" fillId="0" borderId="13" applyAlignment="1">
      <alignment vertical="center"/>
    </xf>
    <xf numFmtId="0" fontId="29" fillId="0" borderId="0" applyAlignment="1">
      <alignment vertical="center"/>
    </xf>
    <xf numFmtId="0" fontId="30" fillId="16" borderId="14" applyAlignment="1">
      <alignment vertical="center"/>
    </xf>
    <xf numFmtId="0" fontId="31" fillId="17" borderId="15" applyAlignment="1">
      <alignment vertical="center"/>
    </xf>
    <xf numFmtId="0" fontId="32" fillId="17" borderId="14" applyAlignment="1">
      <alignment vertical="center"/>
    </xf>
    <xf numFmtId="0" fontId="33" fillId="18" borderId="16" applyAlignment="1">
      <alignment vertical="center"/>
    </xf>
    <xf numFmtId="0" fontId="34" fillId="0" borderId="17" applyAlignment="1">
      <alignment vertical="center"/>
    </xf>
    <xf numFmtId="0" fontId="35" fillId="0" borderId="18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8" fillId="21" borderId="0" applyAlignment="1">
      <alignment vertical="center"/>
    </xf>
    <xf numFmtId="0" fontId="39" fillId="22" borderId="0" applyAlignment="1">
      <alignment vertical="center"/>
    </xf>
    <xf numFmtId="0" fontId="40" fillId="23" borderId="0" applyAlignment="1">
      <alignment vertical="center"/>
    </xf>
    <xf numFmtId="0" fontId="40" fillId="24" borderId="0" applyAlignment="1">
      <alignment vertical="center"/>
    </xf>
    <xf numFmtId="0" fontId="39" fillId="25" borderId="0" applyAlignment="1">
      <alignment vertical="center"/>
    </xf>
    <xf numFmtId="0" fontId="39" fillId="26" borderId="0" applyAlignment="1">
      <alignment vertical="center"/>
    </xf>
    <xf numFmtId="0" fontId="40" fillId="27" borderId="0" applyAlignment="1">
      <alignment vertical="center"/>
    </xf>
    <xf numFmtId="0" fontId="40" fillId="28" borderId="0" applyAlignment="1">
      <alignment vertical="center"/>
    </xf>
    <xf numFmtId="0" fontId="39" fillId="29" borderId="0" applyAlignment="1">
      <alignment vertical="center"/>
    </xf>
    <xf numFmtId="0" fontId="39" fillId="30" borderId="0" applyAlignment="1">
      <alignment vertical="center"/>
    </xf>
    <xf numFmtId="0" fontId="40" fillId="31" borderId="0" applyAlignment="1">
      <alignment vertical="center"/>
    </xf>
    <xf numFmtId="0" fontId="40" fillId="32" borderId="0" applyAlignment="1">
      <alignment vertical="center"/>
    </xf>
    <xf numFmtId="0" fontId="39" fillId="33" borderId="0" applyAlignment="1">
      <alignment vertical="center"/>
    </xf>
    <xf numFmtId="0" fontId="39" fillId="34" borderId="0" applyAlignment="1">
      <alignment vertical="center"/>
    </xf>
    <xf numFmtId="0" fontId="40" fillId="35" borderId="0" applyAlignment="1">
      <alignment vertical="center"/>
    </xf>
    <xf numFmtId="0" fontId="40" fillId="36" borderId="0" applyAlignment="1">
      <alignment vertical="center"/>
    </xf>
    <xf numFmtId="0" fontId="39" fillId="37" borderId="0" applyAlignment="1">
      <alignment vertical="center"/>
    </xf>
    <xf numFmtId="0" fontId="39" fillId="38" borderId="0" applyAlignment="1">
      <alignment vertical="center"/>
    </xf>
    <xf numFmtId="0" fontId="40" fillId="39" borderId="0" applyAlignment="1">
      <alignment vertical="center"/>
    </xf>
    <xf numFmtId="0" fontId="40" fillId="40" borderId="0" applyAlignment="1">
      <alignment vertical="center"/>
    </xf>
    <xf numFmtId="0" fontId="39" fillId="41" borderId="0" applyAlignment="1">
      <alignment vertical="center"/>
    </xf>
    <xf numFmtId="0" fontId="39" fillId="42" borderId="0" applyAlignment="1">
      <alignment vertical="center"/>
    </xf>
    <xf numFmtId="0" fontId="40" fillId="43" borderId="0" applyAlignment="1">
      <alignment vertical="center"/>
    </xf>
    <xf numFmtId="0" fontId="40" fillId="44" borderId="0" applyAlignment="1">
      <alignment vertical="center"/>
    </xf>
    <xf numFmtId="0" fontId="39" fillId="45" borderId="0" applyAlignment="1">
      <alignment vertical="center"/>
    </xf>
  </cellStyleXfs>
  <cellXfs count="16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58" fontId="1" fillId="0" borderId="0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58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2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164" fontId="1" fillId="6" borderId="0" applyAlignment="1" pivotButton="0" quotePrefix="0" xfId="0">
      <alignment horizontal="center" vertical="center"/>
    </xf>
    <xf numFmtId="2" fontId="1" fillId="6" borderId="0" applyAlignment="1" pivotButton="0" quotePrefix="0" xfId="0">
      <alignment horizontal="center" vertical="center"/>
    </xf>
    <xf numFmtId="9" fontId="1" fillId="6" borderId="0" applyAlignment="1" pivotButton="0" quotePrefix="0" xfId="0">
      <alignment horizontal="center" vertical="center"/>
    </xf>
    <xf numFmtId="165" fontId="1" fillId="6" borderId="0" applyAlignment="1" pivotButton="0" quotePrefix="0" xfId="0">
      <alignment horizontal="center" vertical="center"/>
    </xf>
    <xf numFmtId="0" fontId="1" fillId="6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horizontal="center" vertical="center" wrapText="1"/>
    </xf>
    <xf numFmtId="9" fontId="1" fillId="0" borderId="0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 wrapText="1"/>
    </xf>
    <xf numFmtId="2" fontId="1" fillId="9" borderId="0" applyAlignment="1" pivotButton="0" quotePrefix="0" xfId="0">
      <alignment horizontal="center" vertical="center"/>
    </xf>
    <xf numFmtId="9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vertical="center"/>
    </xf>
    <xf numFmtId="0" fontId="8" fillId="9" borderId="0" applyAlignment="1" pivotButton="0" quotePrefix="0" xfId="0">
      <alignment horizontal="center" vertical="center"/>
    </xf>
    <xf numFmtId="1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2" fontId="1" fillId="10" borderId="0" applyAlignment="1" pivotButton="0" quotePrefix="0" xfId="0">
      <alignment horizontal="center" vertical="center"/>
    </xf>
    <xf numFmtId="9" fontId="1" fillId="10" borderId="0" applyAlignment="1" pivotButton="0" quotePrefix="0" xfId="0">
      <alignment horizontal="center" vertical="center"/>
    </xf>
    <xf numFmtId="165" fontId="1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10" fontId="1" fillId="10" borderId="0" applyAlignment="1" pivotButton="0" quotePrefix="0" xfId="0">
      <alignment horizontal="center" vertical="center"/>
    </xf>
    <xf numFmtId="10" fontId="1" fillId="6" borderId="0" applyAlignment="1" pivotButton="0" quotePrefix="0" xfId="0">
      <alignment horizontal="center" vertical="center"/>
    </xf>
    <xf numFmtId="165" fontId="1" fillId="9" borderId="0" applyAlignment="1" pivotButton="0" quotePrefix="0" xfId="0">
      <alignment horizontal="center" vertical="center"/>
    </xf>
    <xf numFmtId="3" fontId="1" fillId="9" borderId="0" applyAlignment="1" pivotButton="0" quotePrefix="0" xfId="0">
      <alignment horizontal="center" vertical="center"/>
    </xf>
    <xf numFmtId="3" fontId="1" fillId="6" borderId="0" applyAlignment="1" pivotButton="0" quotePrefix="0" xfId="0">
      <alignment horizontal="center" vertical="center"/>
    </xf>
    <xf numFmtId="58" fontId="1" fillId="6" borderId="0" applyAlignment="1" pivotButton="0" quotePrefix="0" xfId="0">
      <alignment horizontal="center" vertical="center"/>
    </xf>
    <xf numFmtId="58" fontId="1" fillId="9" borderId="0" applyAlignment="1" pivotButton="0" quotePrefix="0" xfId="0">
      <alignment horizontal="center" vertical="center"/>
    </xf>
    <xf numFmtId="58" fontId="1" fillId="10" borderId="0" applyAlignment="1" pivotButton="0" quotePrefix="0" xfId="0">
      <alignment horizontal="center" vertical="center"/>
    </xf>
    <xf numFmtId="3" fontId="1" fillId="1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1" fillId="10" borderId="0" applyAlignment="1" pivotButton="0" quotePrefix="0" xfId="0">
      <alignment vertical="center"/>
    </xf>
    <xf numFmtId="0" fontId="1" fillId="10" borderId="0" applyAlignment="1" pivotButton="0" quotePrefix="0" xfId="0">
      <alignment horizontal="left" vertical="center"/>
    </xf>
    <xf numFmtId="58" fontId="1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0" fontId="12" fillId="11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/>
    </xf>
    <xf numFmtId="0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9" fontId="12" fillId="0" borderId="3" applyAlignment="1" pivotButton="0" quotePrefix="0" xfId="0">
      <alignment horizontal="center" vertical="center" wrapText="1"/>
    </xf>
    <xf numFmtId="2" fontId="12" fillId="0" borderId="3" applyAlignment="1" pivotButton="0" quotePrefix="0" xfId="0">
      <alignment horizontal="center" vertical="center" wrapText="1"/>
    </xf>
    <xf numFmtId="10" fontId="12" fillId="0" borderId="3" applyAlignment="1" pivotButton="0" quotePrefix="0" xfId="0">
      <alignment horizontal="center" vertical="center" wrapText="1"/>
    </xf>
    <xf numFmtId="10" fontId="12" fillId="0" borderId="4" applyAlignment="1" pivotButton="0" quotePrefix="0" xfId="0">
      <alignment horizontal="center" vertical="center" wrapText="1"/>
    </xf>
    <xf numFmtId="10" fontId="1" fillId="0" borderId="5" applyAlignment="1" pivotButton="0" quotePrefix="0" xfId="0">
      <alignment horizontal="center" vertical="center"/>
    </xf>
    <xf numFmtId="167" fontId="13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/>
    </xf>
    <xf numFmtId="10" fontId="1" fillId="0" borderId="1" applyAlignment="1" pivotButton="0" quotePrefix="0" xfId="0">
      <alignment horizontal="center" vertical="center"/>
    </xf>
    <xf numFmtId="9" fontId="12" fillId="0" borderId="4" applyAlignment="1" pivotButton="0" quotePrefix="0" xfId="0">
      <alignment horizontal="center" vertical="center" wrapText="1"/>
    </xf>
    <xf numFmtId="9" fontId="1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vertical="center"/>
    </xf>
    <xf numFmtId="0" fontId="10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center" vertical="center" wrapText="1"/>
    </xf>
    <xf numFmtId="9" fontId="12" fillId="0" borderId="1" applyAlignment="1" pivotButton="0" quotePrefix="0" xfId="0">
      <alignment horizontal="center" vertical="center" wrapText="1"/>
    </xf>
    <xf numFmtId="0" fontId="8" fillId="0" borderId="3" applyAlignment="1" pivotButton="0" quotePrefix="0" xfId="0">
      <alignment vertical="center"/>
    </xf>
    <xf numFmtId="9" fontId="12" fillId="0" borderId="6" applyAlignment="1" pivotButton="0" quotePrefix="0" xfId="0">
      <alignment horizontal="center" vertical="center" wrapText="1"/>
    </xf>
    <xf numFmtId="9" fontId="1" fillId="0" borderId="7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167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9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10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/>
    </xf>
    <xf numFmtId="0" fontId="1" fillId="7" borderId="10" applyAlignment="1" pivotButton="0" quotePrefix="0" xfId="0">
      <alignment horizontal="center" vertical="center"/>
    </xf>
    <xf numFmtId="0" fontId="1" fillId="7" borderId="10" applyAlignment="1" pivotButton="0" quotePrefix="0" xfId="0">
      <alignment horizontal="center" vertical="center" wrapText="1"/>
    </xf>
    <xf numFmtId="0" fontId="5" fillId="12" borderId="5" applyAlignment="1" pivotButton="0" quotePrefix="0" xfId="0">
      <alignment horizontal="center" vertical="center"/>
    </xf>
    <xf numFmtId="0" fontId="5" fillId="12" borderId="1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3" fontId="12" fillId="13" borderId="0" applyAlignment="1" pivotButton="0" quotePrefix="0" xfId="0">
      <alignment horizontal="center" vertical="center" wrapText="1"/>
    </xf>
    <xf numFmtId="3" fontId="15" fillId="0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3" fontId="17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5" fillId="12" borderId="5" applyAlignment="1" pivotButton="0" quotePrefix="0" xfId="0">
      <alignment horizontal="center" vertical="center" wrapText="1"/>
    </xf>
    <xf numFmtId="9" fontId="1" fillId="4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58" fontId="1" fillId="0" borderId="0" applyAlignment="1" pivotButton="0" quotePrefix="0" xfId="0">
      <alignment vertical="center"/>
    </xf>
    <xf numFmtId="2" fontId="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 wrapText="1"/>
    </xf>
    <xf numFmtId="3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" fillId="14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68" fontId="1" fillId="6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3" fontId="15" fillId="0" borderId="0" applyAlignment="1" pivotButton="0" quotePrefix="0" xfId="0">
      <alignment vertical="center" wrapText="1"/>
    </xf>
    <xf numFmtId="10" fontId="9" fillId="0" borderId="0" applyAlignment="1" pivotButton="0" quotePrefix="0" xfId="0">
      <alignment vertical="center" wrapText="1"/>
    </xf>
    <xf numFmtId="10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0" fillId="0" borderId="0" pivotButton="0" quotePrefix="0" xfId="0"/>
    <xf numFmtId="168" fontId="1" fillId="6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1" fillId="6" borderId="0" applyAlignment="1" pivotButton="0" quotePrefix="0" xfId="0">
      <alignment horizontal="center" vertical="center"/>
    </xf>
    <xf numFmtId="165" fontId="1" fillId="6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 wrapText="1"/>
    </xf>
    <xf numFmtId="165" fontId="1" fillId="10" borderId="0" applyAlignment="1" pivotButton="0" quotePrefix="0" xfId="0">
      <alignment horizontal="center" vertical="center"/>
    </xf>
    <xf numFmtId="165" fontId="1" fillId="9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7" fontId="13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center" vertical="center"/>
    </xf>
    <xf numFmtId="167" fontId="1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D9F5D6"/>
        </patternFill>
      </fill>
    </dxf>
    <dxf>
      <fill>
        <patternFill patternType="solid">
          <bgColor rgb="FFFBBFB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2190750" cy="1619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</row>
      <rowOff>0</rowOff>
    </from>
    <ext cx="2190750" cy="1619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2</row>
      <rowOff>0</rowOff>
    </from>
    <ext cx="2381250" cy="2000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pgy.xiaohongshu.com/solar/pre-trade/blogger-detail/580f309a7fc5b809c027abe0?track_id=kolSimilar_85fc24a35b514ed8a55c762eca935da3&amp;source=Advertiser_Similar_Kol" TargetMode="External" Id="rId1" /><Relationship Type="http://schemas.openxmlformats.org/officeDocument/2006/relationships/hyperlink" Target="https://www.xiaohongshu.com/user/profile/580f309a7fc5b809c027abe0" TargetMode="External" Id="rId2" /><Relationship Type="http://schemas.openxmlformats.org/officeDocument/2006/relationships/hyperlink" Target="https://pgy.xiaohongshu.com/solar/pre-trade/blogger-detail/5e0ae42d0000000001005016?track_id=kolSimilar_1c5d7b284ffc4b678ae5cd28c9c0ccb2&amp;source=Advertiser_Similar_Kol" TargetMode="External" Id="rId3" /><Relationship Type="http://schemas.openxmlformats.org/officeDocument/2006/relationships/hyperlink" Target="https://www.xiaohongshu.com/user/profile/5e0ae42d0000000001005016" TargetMode="External" Id="rId4" /><Relationship Type="http://schemas.openxmlformats.org/officeDocument/2006/relationships/hyperlink" Target="https://pgy.xiaohongshu.com/solar/pre-trade/blogger-detail/55f1765e3397db3c30aef076?track_id=kolMatch_0c77e66e02af458cb9b1b9f0e62f8c57&amp;source=Advertiser_Kol" TargetMode="External" Id="rId5" /><Relationship Type="http://schemas.openxmlformats.org/officeDocument/2006/relationships/hyperlink" Target="https://www.xiaohongshu.com/user/profile/55f1765e3397db3c30aef076" TargetMode="External" Id="rId6" /><Relationship Type="http://schemas.openxmlformats.org/officeDocument/2006/relationships/hyperlink" Target="https://pgy.xiaohongshu.com/solar/pre-trade/blogger-detail/66fcc919000000001d0213f0?track_id=kolSimilar_c6dd74cee9194d488d4c33777e8572c0&amp;source=Advertiser_Similar_Kol" TargetMode="External" Id="rId7" /><Relationship Type="http://schemas.openxmlformats.org/officeDocument/2006/relationships/hyperlink" Target="https://www.xiaohongshu.com/user/profile/66fcc919000000001d0213f0" TargetMode="External" Id="rId8" /><Relationship Type="http://schemas.openxmlformats.org/officeDocument/2006/relationships/hyperlink" Target="https://pgy.xiaohongshu.com/solar/pre-trade/blogger-detail/66a89e08000000001d030a3d?track_id=kolMatch_d1745de758dc422794010fc583d98bed&amp;source=Advertiser_Kol" TargetMode="External" Id="rId9" /><Relationship Type="http://schemas.openxmlformats.org/officeDocument/2006/relationships/hyperlink" Target="https://www.xiaohongshu.com/user/profile/66a89e08000000001d030a3d" TargetMode="External" Id="rId10" /><Relationship Type="http://schemas.openxmlformats.org/officeDocument/2006/relationships/hyperlink" Target="https://pgy.xiaohongshu.com/solar/pre-trade/blogger-detail/63622603000000001f0196e4?track_id=kolSimilar_2f4063ec3358455399b8afe229b09290&amp;source=Advertiser_Similar_Kol" TargetMode="External" Id="rId11" /><Relationship Type="http://schemas.openxmlformats.org/officeDocument/2006/relationships/hyperlink" Target="https://www.xiaohongshu.com/user/profile/63622603000000001f0196e4" TargetMode="External" Id="rId12" /><Relationship Type="http://schemas.openxmlformats.org/officeDocument/2006/relationships/hyperlink" Target="https://pgy.xiaohongshu.com/solar/pre-trade/blogger-detail/6766be9800000000180176e2?track_id=kolSimilar_2f4063ec3358455399b8afe229b09290&amp;source=Advertiser_Similar_Kol" TargetMode="External" Id="rId13" /><Relationship Type="http://schemas.openxmlformats.org/officeDocument/2006/relationships/hyperlink" Target="https://www.xiaohongshu.com/user/profile/6766be9800000000180176e2" TargetMode="External" Id="rId14" /><Relationship Type="http://schemas.openxmlformats.org/officeDocument/2006/relationships/hyperlink" Target="https://pgy.xiaohongshu.com/solar/pre-trade/blogger-detail/5bb2c3e145c6e800012207fc?track_id=kolSimilar_2f4063ec3358455399b8afe229b09290&amp;source=Advertiser_Similar_Kol" TargetMode="External" Id="rId15" /><Relationship Type="http://schemas.openxmlformats.org/officeDocument/2006/relationships/hyperlink" Target="https://www.xiaohongshu.com/user/profile/5bb2c3e145c6e800012207fc" TargetMode="External" Id="rId16" /><Relationship Type="http://schemas.openxmlformats.org/officeDocument/2006/relationships/hyperlink" Target="https://pgy.xiaohongshu.com/solar/pre-trade/blogger-detail/5955125350c4b427fe2feec5?track_id=kolSimilar_2f4063ec3358455399b8afe229b09290&amp;source=Advertiser_Similar_Kol" TargetMode="External" Id="rId17" /><Relationship Type="http://schemas.openxmlformats.org/officeDocument/2006/relationships/hyperlink" Target="https://www.xiaohongshu.com/user/profile/5955125350c4b427fe2feec5" TargetMode="External" Id="rId18" /><Relationship Type="http://schemas.openxmlformats.org/officeDocument/2006/relationships/hyperlink" Target="https://pgy.xiaohongshu.com/solar/pre-trade/blogger-detail/590fc5895e87e70b4b5467c9?track_id=kolSimilar_23447bfe59154e6a96a9181935e076a8&amp;source=Advertiser_Similar_Kol" TargetMode="External" Id="rId19" /><Relationship Type="http://schemas.openxmlformats.org/officeDocument/2006/relationships/hyperlink" Target="https://www.xiaohongshu.com/user/profile/590fc5895e87e70b4b5467c9" TargetMode="External" Id="rId20" /><Relationship Type="http://schemas.openxmlformats.org/officeDocument/2006/relationships/hyperlink" Target="https://pgy.xiaohongshu.com/solar/pre-trade/blogger-detail/5b02a9274eacab6d26071a6a?track_id=kolSimilar_abaa8bc194a548898209f33f5f775763&amp;source=Advertiser_Similar_Kol" TargetMode="External" Id="rId21" /><Relationship Type="http://schemas.openxmlformats.org/officeDocument/2006/relationships/hyperlink" Target="https://www.xiaohongshu.com/user/profile/5b02a9274eacab6d26071a6a" TargetMode="External" Id="rId22" /><Relationship Type="http://schemas.openxmlformats.org/officeDocument/2006/relationships/hyperlink" Target="https://pgy.xiaohongshu.com/solar/pre-trade/blogger-detail/5638da6ab7ba223d99d73c41?track_id=kolSimilar_cfc4bac1e4254e5b8dbc08e19c54b331&amp;source=Advertiser_Similar_Kol" TargetMode="External" Id="rId23" /><Relationship Type="http://schemas.openxmlformats.org/officeDocument/2006/relationships/hyperlink" Target="https://www.xiaohongshu.com/user/profile/5638da6ab7ba223d99d73c41" TargetMode="External" Id="rId24" /><Relationship Type="http://schemas.openxmlformats.org/officeDocument/2006/relationships/hyperlink" Target="https://pgy.xiaohongshu.com/solar/pre-trade/blogger-detail/6042f930000000000100253e?track_id=kolSimilar_a93b327146334007b66fa5d0ee6b6b59&amp;source=Advertiser_Similar_Kol" TargetMode="External" Id="rId25" /><Relationship Type="http://schemas.openxmlformats.org/officeDocument/2006/relationships/hyperlink" Target="https://www.xiaohongshu.com/user/profile/6042f930000000000100253e" TargetMode="External" Id="rId26" /><Relationship Type="http://schemas.openxmlformats.org/officeDocument/2006/relationships/hyperlink" Target="https://pgy.xiaohongshu.com/solar/pre-trade/blogger-detail/5c6ea1360000000012029d1b?track_id=kolSimilar_a93b327146334007b66fa5d0ee6b6b59&amp;source=Advertiser_Similar_Kol" TargetMode="External" Id="rId27" /><Relationship Type="http://schemas.openxmlformats.org/officeDocument/2006/relationships/hyperlink" Target="https://www.xiaohongshu.com/user/profile/5c6ea1360000000012029d1b" TargetMode="External" Id="rId28" /><Relationship Type="http://schemas.openxmlformats.org/officeDocument/2006/relationships/hyperlink" Target="https://pgy.xiaohongshu.com/solar/pre-trade/blogger-detail/61d307360000000021026d08?track_id=kolSimilar_dafab09281384d63b481e1698c1cab4c&amp;source=Advertiser_Similar_Kol" TargetMode="External" Id="rId29" /><Relationship Type="http://schemas.openxmlformats.org/officeDocument/2006/relationships/hyperlink" Target="https://www.xiaohongshu.com/user/profile/61d307360000000021026d08" TargetMode="External" Id="rId30" /><Relationship Type="http://schemas.openxmlformats.org/officeDocument/2006/relationships/hyperlink" Target="https://pgy.xiaohongshu.com/solar/pre-trade/blogger-detail/588f4bfc5e87e73aeb7b0d09?track_id=kolSimilar_8390016c04644d8295e9e94432f6a358&amp;source=Advertiser_Similar_Kol" TargetMode="External" Id="rId31" /><Relationship Type="http://schemas.openxmlformats.org/officeDocument/2006/relationships/hyperlink" Target="https://www.xiaohongshu.com/user/profile/588f4bfc5e87e73aeb7b0d09" TargetMode="External" Id="rId32" /><Relationship Type="http://schemas.openxmlformats.org/officeDocument/2006/relationships/hyperlink" Target="https://pgy.xiaohongshu.com/solar/pre-trade/blogger-detail/5b8b489cd081470001fc11d0?track_id=kolSimilar_70e34f12eba642109ba6977a96c6b2ca&amp;source=Advertiser_Similar_Kol" TargetMode="External" Id="rId33" /><Relationship Type="http://schemas.openxmlformats.org/officeDocument/2006/relationships/hyperlink" Target="https://www.xiaohongshu.com/user/profile/5b8b489cd081470001fc11d0" TargetMode="External" Id="rId34" /><Relationship Type="http://schemas.openxmlformats.org/officeDocument/2006/relationships/hyperlink" Target="https://pgy.xiaohongshu.com/solar/pre-trade/blogger-detail/614bbc820000000002026099?track_id=kolSimilar_23447bfe59154e6a96a9181935e076a8&amp;source=Advertiser_Similar_Kol" TargetMode="External" Id="rId35" /><Relationship Type="http://schemas.openxmlformats.org/officeDocument/2006/relationships/hyperlink" Target="https://www.xiaohongshu.com/user/profile/614bbc820000000002026099" TargetMode="External" Id="rId36" /><Relationship Type="http://schemas.openxmlformats.org/officeDocument/2006/relationships/hyperlink" Target="https://pgy.xiaohongshu.com/solar/pre-trade/blogger-detail/631818b70000000023026cdc?track_id=kolSimilar_23447bfe59154e6a96a9181935e076a8&amp;source=Advertiser_Similar_Kol" TargetMode="External" Id="rId37" /><Relationship Type="http://schemas.openxmlformats.org/officeDocument/2006/relationships/hyperlink" Target="https://www.xiaohongshu.com/user/profile/631818b70000000023026cdc" TargetMode="External" Id="rId38" /><Relationship Type="http://schemas.openxmlformats.org/officeDocument/2006/relationships/hyperlink" Target="https://pgy.xiaohongshu.com/solar/pre-trade/blogger-detail/5bc0c7523226900001d269a8?track_id=kolSearch_5246004b454345ffbe2bd10d8aeb9c77&amp;source=Advertiser_Kol" TargetMode="External" Id="rId39" /><Relationship Type="http://schemas.openxmlformats.org/officeDocument/2006/relationships/hyperlink" Target="https://www.xiaohongshu.com/user/profile/5bc0c7523226900001d269a8" TargetMode="External" Id="rId40" /><Relationship Type="http://schemas.openxmlformats.org/officeDocument/2006/relationships/hyperlink" Target="https://pgy.xiaohongshu.com/solar/pre-trade/blogger-detail/5b6d7c8145a75900018fd760?track_id=kolSimilar_b6456e2e65f74f8998e20cd70fb4888a&amp;source=Advertiser_Similar_Kol" TargetMode="External" Id="rId41" /><Relationship Type="http://schemas.openxmlformats.org/officeDocument/2006/relationships/hyperlink" Target="https://www.xiaohongshu.com/user/profile/5b6d7c8145a75900018fd760" TargetMode="External" Id="rId42" /><Relationship Type="http://schemas.openxmlformats.org/officeDocument/2006/relationships/hyperlink" Target="https://pgy.xiaohongshu.com/solar/pre-trade/blogger-detail/594b6abf82ec390c901bcf6a?track_id=kolSimilar_70e34f12eba642109ba6977a96c6b2ca&amp;source=Advertiser_Similar_Kol" TargetMode="External" Id="rId43" /><Relationship Type="http://schemas.openxmlformats.org/officeDocument/2006/relationships/hyperlink" Target="https://www.xiaohongshu.com/user/profile/594b6abf82ec390c901bcf6a" TargetMode="External" Id="rId44" /><Relationship Type="http://schemas.openxmlformats.org/officeDocument/2006/relationships/hyperlink" Target="https://pgy.xiaohongshu.com/solar/pre-trade/blogger-detail/58c36ec87fc5b82234545007?track_id=kolSimilar_abaa8bc194a548898209f33f5f775763&amp;source=Advertiser_Similar_Kol" TargetMode="External" Id="rId45" /><Relationship Type="http://schemas.openxmlformats.org/officeDocument/2006/relationships/hyperlink" Target="https://www.xiaohongshu.com/user/profile/58c36ec87fc5b82234545007" TargetMode="External" Id="rId46" /><Relationship Type="http://schemas.openxmlformats.org/officeDocument/2006/relationships/hyperlink" Target="https://pgy.xiaohongshu.com/solar/pre-trade/blogger-detail/5f43b27e0000000001003691?track_id=kolSimilar_4c3116f26a874caaa683b003afe19997&amp;source=Advertiser_Similar_Kol" TargetMode="External" Id="rId47" /><Relationship Type="http://schemas.openxmlformats.org/officeDocument/2006/relationships/hyperlink" Target="https://www.xiaohongshu.com/user/profile/5f43b27e0000000001003691" TargetMode="External" Id="rId48" /><Relationship Type="http://schemas.openxmlformats.org/officeDocument/2006/relationships/hyperlink" Target="https://pgy.xiaohongshu.com/solar/pre-trade/blogger-detail/58c287f55e87e76ec5baf8f3?track_id=kolSimilar_a2327ccb62f242f19f2974aba203afa0&amp;source=Advertiser_Similar_Kol" TargetMode="External" Id="rId49" /><Relationship Type="http://schemas.openxmlformats.org/officeDocument/2006/relationships/hyperlink" Target="https://www.xiaohongshu.com/user/profile/58c287f55e87e76ec5baf8f3" TargetMode="External" Id="rId50" /><Relationship Type="http://schemas.openxmlformats.org/officeDocument/2006/relationships/hyperlink" Target="https://pgy.xiaohongshu.com/solar/pre-trade/blogger-detail/64d2448f000000000e027acf?track_id=kolSimilar_23447bfe59154e6a96a9181935e076a8&amp;source=Advertiser_Similar_Kol" TargetMode="External" Id="rId51" /><Relationship Type="http://schemas.openxmlformats.org/officeDocument/2006/relationships/hyperlink" Target="https://www.xiaohongshu.com/user/profile/64d2448f000000000e027acf" TargetMode="External" Id="rId52" /><Relationship Type="http://schemas.openxmlformats.org/officeDocument/2006/relationships/hyperlink" Target="https://pgy.xiaohongshu.com/solar/pre-trade/blogger-detail/5571a88f4209957c6bdfc1b1?track_id=kolSimilar_f7c0622c32774331bb4f93bf8b337c57&amp;source=Advertiser_Similar_Kol" TargetMode="External" Id="rId53" /><Relationship Type="http://schemas.openxmlformats.org/officeDocument/2006/relationships/hyperlink" Target="https://www.xiaohongshu.com/user/profile/5571a88f4209957c6bdfc1b1" TargetMode="External" Id="rId54" /><Relationship Type="http://schemas.openxmlformats.org/officeDocument/2006/relationships/hyperlink" Target="https://pgy.xiaohongshu.com/solar/pre-trade/blogger-detail/5cb845130000000016026884?track_id=kolSimilar_4c3116f26a874caaa683b003afe19997&amp;source=Advertiser_Similar_Kol" TargetMode="External" Id="rId55" /><Relationship Type="http://schemas.openxmlformats.org/officeDocument/2006/relationships/hyperlink" Target="https://www.xiaohongshu.com/user/profile/5cb845130000000016026884" TargetMode="External" Id="rId56" /><Relationship Type="http://schemas.openxmlformats.org/officeDocument/2006/relationships/hyperlink" Target="https://pgy.xiaohongshu.com/solar/pre-trade/blogger-detail/5a04a88111be101a093266a2?track_id=kolSimilar_a93b327146334007b66fa5d0ee6b6b59&amp;source=Advertiser_Similar_Kol" TargetMode="External" Id="rId57" /><Relationship Type="http://schemas.openxmlformats.org/officeDocument/2006/relationships/hyperlink" Target="https://www.xiaohongshu.com/user/profile/5a04a88111be101a093266a2" TargetMode="External" Id="rId58" /><Relationship Type="http://schemas.openxmlformats.org/officeDocument/2006/relationships/hyperlink" Target="https://pgy.xiaohongshu.com/solar/pre-trade/blogger-detail/5a2cc1a011be1020886bc0a0?track_id=kolSimilar_9ceb2672c00e4c4b9ea53a31f1c945a9&amp;source=Advertiser_Similar_Kol" TargetMode="External" Id="rId59" /><Relationship Type="http://schemas.openxmlformats.org/officeDocument/2006/relationships/hyperlink" Target="https://www.xiaohongshu.com/user/profile/5a2cc1a011be1020886bc0a0" TargetMode="External" Id="rId60" /><Relationship Type="http://schemas.openxmlformats.org/officeDocument/2006/relationships/hyperlink" Target="https://pgy.xiaohongshu.com/solar/pre-trade/blogger-detail/5a9fb3d611be104c7fab4c68?track_id=kolSimilar_9ceb2672c00e4c4b9ea53a31f1c945a9&amp;source=Advertiser_Similar_Kol" TargetMode="External" Id="rId61" /><Relationship Type="http://schemas.openxmlformats.org/officeDocument/2006/relationships/hyperlink" Target="https://www.xiaohongshu.com/user/profile/5a9fb3d611be104c7fab4c68" TargetMode="External" Id="rId62" /><Relationship Type="http://schemas.openxmlformats.org/officeDocument/2006/relationships/hyperlink" Target="https://pgy.xiaohongshu.com/solar/pre-trade/blogger-detail/61a768ab0000000010009fbb?track_id=kolSimilar_9ceb2672c00e4c4b9ea53a31f1c945a9&amp;source=Advertiser_Similar_Kol" TargetMode="External" Id="rId63" /><Relationship Type="http://schemas.openxmlformats.org/officeDocument/2006/relationships/hyperlink" Target="https://www.xiaohongshu.com/user/profile/61a768ab0000000010009fbb" TargetMode="External" Id="rId64" /><Relationship Type="http://schemas.openxmlformats.org/officeDocument/2006/relationships/hyperlink" Target="https://pgy.xiaohongshu.com/solar/pre-trade/blogger-detail/593eb48250c4b47d2e0c3856?track_id=kolSimilar_6733628ae4434cde953b2a604ea8e8ca&amp;source=Advertiser_Similar_Kol" TargetMode="External" Id="rId65" /><Relationship Type="http://schemas.openxmlformats.org/officeDocument/2006/relationships/hyperlink" Target="https://www.xiaohongshu.com/user/profile/593eb48250c4b47d2e0c3856" TargetMode="External" Id="rId66" /><Relationship Type="http://schemas.openxmlformats.org/officeDocument/2006/relationships/hyperlink" Target="https://pgy.xiaohongshu.com/solar/pre-trade/blogger-detail/62c82ec40000000002003d1b?track_id=kolSimilar_5df06d567db94f91a14b7943904a00c8&amp;source=Advertiser_Similar_Kol" TargetMode="External" Id="rId67" /><Relationship Type="http://schemas.openxmlformats.org/officeDocument/2006/relationships/hyperlink" Target="https://www.xiaohongshu.com/user/profile/62c82ec40000000002003d1b" TargetMode="External" Id="rId68" /><Relationship Type="http://schemas.openxmlformats.org/officeDocument/2006/relationships/hyperlink" Target="https://pgy.xiaohongshu.com/solar/pre-trade/blogger-detail/62f7ab21000000001f017cde?track_id=kolSimilar_97e5c0938dfd461180454a0152e9f136&amp;source=Advertiser_Similar_Kol" TargetMode="External" Id="rId69" /><Relationship Type="http://schemas.openxmlformats.org/officeDocument/2006/relationships/hyperlink" Target="https://www.xiaohongshu.com/user/profile/62f7ab21000000001f017cde" TargetMode="External" Id="rId70" /><Relationship Type="http://schemas.openxmlformats.org/officeDocument/2006/relationships/hyperlink" Target="https://pgy.xiaohongshu.com/solar/pre-trade/blogger-detail/5a697e1111be10729ea3bd7d?track_id=kolSimilar_9d1e24782ccf4cc593cb6bc3ce2c1ebb&amp;source=Advertiser_Similar_Kol" TargetMode="External" Id="rId71" /><Relationship Type="http://schemas.openxmlformats.org/officeDocument/2006/relationships/hyperlink" Target="https://www.xiaohongshu.com/user/profile/5a697e1111be10729ea3bd7d" TargetMode="External" Id="rId72" /><Relationship Type="http://schemas.openxmlformats.org/officeDocument/2006/relationships/hyperlink" Target="https://pgy.xiaohongshu.com/solar/pre-trade/blogger-detail/59d9c8d56eea8874f78ba0d5?track_id=kolSimilar_9d1e24782ccf4cc593cb6bc3ce2c1ebb&amp;source=Advertiser_Similar_Kol" TargetMode="External" Id="rId73" /><Relationship Type="http://schemas.openxmlformats.org/officeDocument/2006/relationships/hyperlink" Target="https://www.xiaohongshu.com/user/profile/59d9c8d56eea8874f78ba0d5" TargetMode="External" Id="rId74" /><Relationship Type="http://schemas.openxmlformats.org/officeDocument/2006/relationships/hyperlink" Target="https://pgy.xiaohongshu.com/solar/pre-trade/blogger-detail/5978558f82ec39204c64e9cd?track_id=kolSimilar_9ceb2672c00e4c4b9ea53a31f1c945a9&amp;source=Advertiser_Similar_Kol" TargetMode="External" Id="rId75" /><Relationship Type="http://schemas.openxmlformats.org/officeDocument/2006/relationships/hyperlink" Target="https://www.xiaohongshu.com/user/profile/5978558f82ec39204c64e9cd" TargetMode="External" Id="rId76" /><Relationship Type="http://schemas.openxmlformats.org/officeDocument/2006/relationships/hyperlink" Target="https://pgy.xiaohongshu.com/solar/pre-trade/blogger-detail/5c08873e0000000007005585?track_id=kolSimilar_9d1e24782ccf4cc593cb6bc3ce2c1ebb&amp;source=Advertiser_Similar_Kol" TargetMode="External" Id="rId77" /><Relationship Type="http://schemas.openxmlformats.org/officeDocument/2006/relationships/hyperlink" Target="https://www.xiaohongshu.com/user/profile/5c08873e0000000007005585" TargetMode="External" Id="rId78" /><Relationship Type="http://schemas.openxmlformats.org/officeDocument/2006/relationships/hyperlink" Target="https://pgy.xiaohongshu.com/solar/pre-trade/blogger-detail/5d037cf200000000120226ec?track_id=kolSimilar_2ed5f923a2ad48ed8a8077e5eb363a60&amp;source=Advertiser_Similar_Kol" TargetMode="External" Id="rId79" /><Relationship Type="http://schemas.openxmlformats.org/officeDocument/2006/relationships/hyperlink" Target="https://www.xiaohongshu.com/user/profile/5d037cf200000000120226ec" TargetMode="External" Id="rId80" /><Relationship Type="http://schemas.openxmlformats.org/officeDocument/2006/relationships/hyperlink" Target="https://pgy.xiaohongshu.com/solar/pre-trade/blogger-detail/56586dd97c5bb835be78c80a?track_id=kolSimilar_e702f93d41f84e15952933fbc533d580&amp;source=Advertiser_Similar_Kol" TargetMode="External" Id="rId81" /><Relationship Type="http://schemas.openxmlformats.org/officeDocument/2006/relationships/hyperlink" Target="https://www.xiaohongshu.com/user/profile/56586dd97c5bb835be78c80a" TargetMode="External" Id="rId82" /><Relationship Type="http://schemas.openxmlformats.org/officeDocument/2006/relationships/hyperlink" Target="https://pgy.xiaohongshu.com/solar/pre-trade/blogger-detail/5b7bf8eb6b58b7189cdc0ae3?track_id=kolSimilar_d99dd70330bb4cdaacbdedee30bb4f23&amp;source=Advertiser_Similar_Kol" TargetMode="External" Id="rId83" /><Relationship Type="http://schemas.openxmlformats.org/officeDocument/2006/relationships/hyperlink" Target="https://www.xiaohongshu.com/user/profile/5b7bf8eb6b58b7189cdc0ae3" TargetMode="External" Id="rId84" /><Relationship Type="http://schemas.openxmlformats.org/officeDocument/2006/relationships/hyperlink" Target="https://pgy.xiaohongshu.com/solar/pre-trade/blogger-detail/645a46f4000000002a00a5ce?track_id=kolSimilar_d99dd70330bb4cdaacbdedee30bb4f23&amp;source=Advertiser_Similar_Kol" TargetMode="External" Id="rId85" /><Relationship Type="http://schemas.openxmlformats.org/officeDocument/2006/relationships/hyperlink" Target="https://www.xiaohongshu.com/user/profile/645a46f4000000002a00a5ce" TargetMode="External" Id="rId86" /><Relationship Type="http://schemas.openxmlformats.org/officeDocument/2006/relationships/hyperlink" Target="https://pgy.xiaohongshu.com/solar/pre-trade/blogger-detail/56bd37a75e87e75d1b0b9a98?track_id=kolSimilar_d99dd70330bb4cdaacbdedee30bb4f23&amp;source=Advertiser_Similar_Kol" TargetMode="External" Id="rId87" /><Relationship Type="http://schemas.openxmlformats.org/officeDocument/2006/relationships/hyperlink" Target="https://www.xiaohongshu.com/user/profile/56bd37a75e87e75d1b0b9a98" TargetMode="External" Id="rId88" /><Relationship Type="http://schemas.openxmlformats.org/officeDocument/2006/relationships/hyperlink" Target="https://pgy.xiaohongshu.com/solar/pre-trade/blogger-detail/56d1b4f94775a72ad1e10784?track_id=kolSimilar_7968c4349c584d2b856f5dd0e156dbca&amp;source=Advertiser_Similar_Kol" TargetMode="External" Id="rId89" /><Relationship Type="http://schemas.openxmlformats.org/officeDocument/2006/relationships/hyperlink" Target="https://www.xiaohongshu.com/user/profile/56d1b4f94775a72ad1e10784" TargetMode="External" Id="rId90" /><Relationship Type="http://schemas.openxmlformats.org/officeDocument/2006/relationships/hyperlink" Target="https://pgy.xiaohongshu.com/solar/pre-trade/blogger-detail/571ac39784edcd37dd312cfe?track_id=kolSimilar_7968c4349c584d2b856f5dd0e156dbca&amp;source=Advertiser_Similar_Kol" TargetMode="External" Id="rId91" /><Relationship Type="http://schemas.openxmlformats.org/officeDocument/2006/relationships/hyperlink" Target="https://www.xiaohongshu.com/user/profile/571ac39784edcd37dd312cfe" TargetMode="External" Id="rId92" /><Relationship Type="http://schemas.openxmlformats.org/officeDocument/2006/relationships/hyperlink" Target="https://pgy.xiaohongshu.com/solar/pre-trade/blogger-detail/62ee3af1000000001f017612?track_id=kolSimilar_3e439a41f50743b1b7f3667e037ed8b6&amp;source=Advertiser_Similar_Kol" TargetMode="External" Id="rId93" /><Relationship Type="http://schemas.openxmlformats.org/officeDocument/2006/relationships/hyperlink" Target="https://www.xiaohongshu.com/user/profile/62ee3af1000000001f017612" TargetMode="External" Id="rId94" /><Relationship Type="http://schemas.openxmlformats.org/officeDocument/2006/relationships/hyperlink" Target="https://pgy.xiaohongshu.com/solar/pre-trade/blogger-detail/5e108fac0000000001004eb5?track_id=kolSimilar_cf83a2a7608b4555896d0b90c235f377&amp;source=Advertiser_Similar_Kol" TargetMode="External" Id="rId95" /><Relationship Type="http://schemas.openxmlformats.org/officeDocument/2006/relationships/hyperlink" Target="https://www.xiaohongshu.com/user/profile/5e108fac0000000001004eb5" TargetMode="External" Id="rId96" /><Relationship Type="http://schemas.openxmlformats.org/officeDocument/2006/relationships/hyperlink" Target="https://pgy.xiaohongshu.com/solar/pre-trade/blogger-detail/613f186b0000000002020a45?track_id=kolSearch_a2b8021877e7422386b3a6feec4fd0e6&amp;source=Advertiser_Kol" TargetMode="External" Id="rId97" /><Relationship Type="http://schemas.openxmlformats.org/officeDocument/2006/relationships/hyperlink" Target="https://www.xiaohongshu.com/user/profile/613f186b0000000002020a45" TargetMode="External" Id="rId98" /><Relationship Type="http://schemas.openxmlformats.org/officeDocument/2006/relationships/hyperlink" Target="https://pgy.xiaohongshu.com/solar/pre-trade/blogger-detail/5be2ad66c548e1000124cf47?track_id=kolSimilar_775c8898ee3844d0bf65b4fae0758307&amp;source=Advertiser_Similar_Kol" TargetMode="External" Id="rId99" /><Relationship Type="http://schemas.openxmlformats.org/officeDocument/2006/relationships/hyperlink" Target="https://www.xiaohongshu.com/user/profile/5be2ad66c548e1000124cf47" TargetMode="External" Id="rId100" /><Relationship Type="http://schemas.openxmlformats.org/officeDocument/2006/relationships/hyperlink" Target="https://pgy.xiaohongshu.com/solar/pre-trade/blogger-detail/5e060da600000000010013be?track_id=kolSimilar_775c8898ee3844d0bf65b4fae0758307&amp;source=Advertiser_Similar_Kol" TargetMode="External" Id="rId101" /><Relationship Type="http://schemas.openxmlformats.org/officeDocument/2006/relationships/hyperlink" Target="https://www.xiaohongshu.com/user/profile/5e060da600000000010013be" TargetMode="External" Id="rId102" /><Relationship Type="http://schemas.openxmlformats.org/officeDocument/2006/relationships/hyperlink" Target="https://pgy.xiaohongshu.com/solar/pre-trade/blogger-detail/5aa22ceb4eacab7fd1081ade?track_id=kolSimilar_775c8898ee3844d0bf65b4fae0758307&amp;source=Advertiser_Similar_Kol" TargetMode="External" Id="rId103" /><Relationship Type="http://schemas.openxmlformats.org/officeDocument/2006/relationships/hyperlink" Target="https://www.xiaohongshu.com/user/profile/5aa22ceb4eacab7fd1081ade" TargetMode="External" Id="rId104" /><Relationship Type="http://schemas.openxmlformats.org/officeDocument/2006/relationships/hyperlink" Target="https://pgy.xiaohongshu.com/solar/pre-trade/blogger-detail/58a531af6a6a697ce5300f79?track_id=kolSimilar_775c8898ee3844d0bf65b4fae0758307&amp;source=Advertiser_Similar_Kol" TargetMode="External" Id="rId105" /><Relationship Type="http://schemas.openxmlformats.org/officeDocument/2006/relationships/hyperlink" Target="https://www.xiaohongshu.com/user/profile/58a531af6a6a697ce5300f79" TargetMode="External" Id="rId106" /><Relationship Type="http://schemas.openxmlformats.org/officeDocument/2006/relationships/hyperlink" Target="https://pgy.xiaohongshu.com/solar/pre-trade/blogger-detail/63daec1c0000000026004f03?track_id=kolSimilar_775c8898ee3844d0bf65b4fae0758307&amp;source=Advertiser_Similar_Kol" TargetMode="External" Id="rId107" /><Relationship Type="http://schemas.openxmlformats.org/officeDocument/2006/relationships/hyperlink" Target="https://www.xiaohongshu.com/user/profile/63daec1c0000000026004f03" TargetMode="External" Id="rId108" /><Relationship Type="http://schemas.openxmlformats.org/officeDocument/2006/relationships/hyperlink" Target="https://pgy.xiaohongshu.com/solar/pre-trade/blogger-detail/5c13bce2000000000502a5ca?track_id=kolSimilar_6797ccb940ce449abeadd5aa23f9d5e2&amp;source=Advertiser_Similar_Kol" TargetMode="External" Id="rId109" /><Relationship Type="http://schemas.openxmlformats.org/officeDocument/2006/relationships/hyperlink" Target="https://www.xiaohongshu.com/user/profile/5c13bce2000000000502a5ca" TargetMode="External" Id="rId110" /><Relationship Type="http://schemas.openxmlformats.org/officeDocument/2006/relationships/hyperlink" Target="https://pgy.xiaohongshu.com/solar/pre-trade/blogger-detail/5784ffb850c4b433370bcdec?track_id=kolSimilar_6797ccb940ce449abeadd5aa23f9d5e2&amp;source=Advertiser_Similar_Kol" TargetMode="External" Id="rId111" /><Relationship Type="http://schemas.openxmlformats.org/officeDocument/2006/relationships/hyperlink" Target="https://www.xiaohongshu.com/user/profile/5784ffb850c4b433370bcdec" TargetMode="External" Id="rId112" /><Relationship Type="http://schemas.openxmlformats.org/officeDocument/2006/relationships/hyperlink" Target="https://pgy.xiaohongshu.com/solar/pre-trade/blogger-detail/5a65ed3b11be1074e48a26be?track_id=kolSimilar_1bc940eb10344e3599eb4e99fdbd89fc&amp;source=Advertiser_Similar_Kol" TargetMode="External" Id="rId113" /><Relationship Type="http://schemas.openxmlformats.org/officeDocument/2006/relationships/hyperlink" Target="https://www.xiaohongshu.com/user/profile/5a65ed3b11be1074e48a26be" TargetMode="External" Id="rId114" /><Relationship Type="http://schemas.openxmlformats.org/officeDocument/2006/relationships/hyperlink" Target="https://pgy.xiaohongshu.com/solar/pre-trade/blogger-detail/5a5a77864eacab15573f237d?track_id=kolSimilar_1bc940eb10344e3599eb4e99fdbd89fc&amp;source=Advertiser_Similar_Kol" TargetMode="External" Id="rId115" /><Relationship Type="http://schemas.openxmlformats.org/officeDocument/2006/relationships/hyperlink" Target="https://www.xiaohongshu.com/user/profile/5a5a77864eacab15573f237d" TargetMode="External" Id="rId116" /><Relationship Type="http://schemas.openxmlformats.org/officeDocument/2006/relationships/hyperlink" Target="https://pgy.xiaohongshu.com/solar/pre-trade/blogger-detail/5c62610f0000000011038869?track_id=kolSimilar_1bc940eb10344e3599eb4e99fdbd89fc&amp;source=Advertiser_Similar_Kol" TargetMode="External" Id="rId117" /><Relationship Type="http://schemas.openxmlformats.org/officeDocument/2006/relationships/hyperlink" Target="https://www.xiaohongshu.com/user/profile/5c62610f0000000011038869" TargetMode="External" Id="rId118" /><Relationship Type="http://schemas.openxmlformats.org/officeDocument/2006/relationships/hyperlink" Target="https://pgy.xiaohongshu.com/solar/pre-trade/blogger-detail/57e4db186a6a6965c733a4ea?track_id=kolSimilar_1bc940eb10344e3599eb4e99fdbd89fc&amp;source=Advertiser_Similar_Kol" TargetMode="External" Id="rId119" /><Relationship Type="http://schemas.openxmlformats.org/officeDocument/2006/relationships/hyperlink" Target="https://www.xiaohongshu.com/user/profile/57e4db186a6a6965c733a4ea" TargetMode="External" Id="rId120" /><Relationship Type="http://schemas.openxmlformats.org/officeDocument/2006/relationships/hyperlink" Target="https://pgy.xiaohongshu.com/solar/pre-trade/blogger-detail/5eab78110000000001002638?track_id=kolSimilar_1bc940eb10344e3599eb4e99fdbd89fc&amp;source=Advertiser_Similar_Kol" TargetMode="External" Id="rId121" /><Relationship Type="http://schemas.openxmlformats.org/officeDocument/2006/relationships/hyperlink" Target="https://www.xiaohongshu.com/user/profile/5eab78110000000001002638" TargetMode="External" Id="rId122" /><Relationship Type="http://schemas.openxmlformats.org/officeDocument/2006/relationships/hyperlink" Target="https://pgy.xiaohongshu.com/solar/pre-trade/blogger-detail/5cee3f6b0000000018030cca?track_id=kolSimilar_1bc940eb10344e3599eb4e99fdbd89fc&amp;source=Advertiser_Similar_Kol" TargetMode="External" Id="rId123" /><Relationship Type="http://schemas.openxmlformats.org/officeDocument/2006/relationships/hyperlink" Target="https://www.xiaohongshu.com/user/profile/5cee3f6b0000000018030cca" TargetMode="External" Id="rId124" /><Relationship Type="http://schemas.openxmlformats.org/officeDocument/2006/relationships/hyperlink" Target="https://pgy.xiaohongshu.com/solar/pre-trade/blogger-detail/5c25acc2000000000700dbaf?track_id=kolSimilar_1bc940eb10344e3599eb4e99fdbd89fc&amp;source=Advertiser_Similar_Kol" TargetMode="External" Id="rId125" /><Relationship Type="http://schemas.openxmlformats.org/officeDocument/2006/relationships/hyperlink" Target="https://www.xiaohongshu.com/user/profile/5c25acc2000000000700dbaf" TargetMode="External" Id="rId126" /><Relationship Type="http://schemas.openxmlformats.org/officeDocument/2006/relationships/hyperlink" Target="https://pgy.xiaohongshu.com/solar/pre-trade/blogger-detail/57bee2476a6a6937b03a3b68?track_id=kolSimilar_c2a66d17ee364fa285425294a5b1ccfb&amp;source=Advertiser_Similar_Kol" TargetMode="External" Id="rId127" /><Relationship Type="http://schemas.openxmlformats.org/officeDocument/2006/relationships/hyperlink" Target="https://www.xiaohongshu.com/user/profile/57bee2476a6a6937b03a3b68" TargetMode="External" Id="rId128" /><Relationship Type="http://schemas.openxmlformats.org/officeDocument/2006/relationships/hyperlink" Target="https://pgy.xiaohongshu.com/solar/pre-trade/blogger-detail/542a17fe2e1d9378fd428507?track_id=kolSimilar_c2a66d17ee364fa285425294a5b1ccfb&amp;source=Advertiser_Similar_Kol" TargetMode="External" Id="rId129" /><Relationship Type="http://schemas.openxmlformats.org/officeDocument/2006/relationships/hyperlink" Target="https://www.xiaohongshu.com/user/profile/542a17fe2e1d9378fd428507" TargetMode="External" Id="rId130" /><Relationship Type="http://schemas.openxmlformats.org/officeDocument/2006/relationships/hyperlink" Target="https://pgy.xiaohongshu.com/solar/pre-trade/blogger-detail/66c0a6b0000000001d033e39?track_id=kolSimilar_c2a66d17ee364fa285425294a5b1ccfb&amp;source=Advertiser_Similar_Kol" TargetMode="External" Id="rId131" /><Relationship Type="http://schemas.openxmlformats.org/officeDocument/2006/relationships/hyperlink" Target="https://www.xiaohongshu.com/user/profile/66c0a6b0000000001d033e39" TargetMode="External" Id="rId132" /><Relationship Type="http://schemas.openxmlformats.org/officeDocument/2006/relationships/hyperlink" Target="https://pgy.xiaohongshu.com/solar/pre-trade/blogger-detail/5fbb6bdf000000000100882d?track_id=kolSimilar_c2a66d17ee364fa285425294a5b1ccfb&amp;source=Advertiser_Similar_Kol" TargetMode="External" Id="rId133" /><Relationship Type="http://schemas.openxmlformats.org/officeDocument/2006/relationships/hyperlink" Target="https://www.xiaohongshu.com/user/profile/5fbb6bdf000000000100882d" TargetMode="External" Id="rId134" /><Relationship Type="http://schemas.openxmlformats.org/officeDocument/2006/relationships/hyperlink" Target="https://pgy.xiaohongshu.com/solar/pre-trade/blogger-detail/6372dc46000000001f01d5e5?track_id=kolSimilar_c2a66d17ee364fa285425294a5b1ccfb&amp;source=Advertiser_Similar_Kol" TargetMode="External" Id="rId135" /><Relationship Type="http://schemas.openxmlformats.org/officeDocument/2006/relationships/hyperlink" Target="https://www.xiaohongshu.com/user/profile/6372dc46000000001f01d5e5" TargetMode="External" Id="rId136" /><Relationship Type="http://schemas.openxmlformats.org/officeDocument/2006/relationships/hyperlink" Target="https://pgy.xiaohongshu.com/solar/pre-trade/blogger-detail/6125ad1a000000000100029e?track_id=kolSimilar_a18d1e180db8486fab6bc8c94513c45d&amp;source=Advertiser_Similar_Kol" TargetMode="External" Id="rId137" /><Relationship Type="http://schemas.openxmlformats.org/officeDocument/2006/relationships/hyperlink" Target="https://www.xiaohongshu.com/user/profile/6125ad1a000000000100029e" TargetMode="External" Id="rId138" /><Relationship Type="http://schemas.openxmlformats.org/officeDocument/2006/relationships/hyperlink" Target="https://pgy.xiaohongshu.com/solar/pre-trade/blogger-detail/5407117eb4c4d67090536215?track_id=kolSimilar_a18d1e180db8486fab6bc8c94513c45d&amp;source=Advertiser_Similar_Kol" TargetMode="External" Id="rId139" /><Relationship Type="http://schemas.openxmlformats.org/officeDocument/2006/relationships/hyperlink" Target="https://www.xiaohongshu.com/user/profile/5407117eb4c4d67090536215" TargetMode="External" Id="rId140" /><Relationship Type="http://schemas.openxmlformats.org/officeDocument/2006/relationships/hyperlink" Target="https://pgy.xiaohongshu.com/solar/pre-trade/blogger-detail/5bdfd3ca989f580001b8d86d?track_id=kolSimilar_a18d1e180db8486fab6bc8c94513c45d&amp;source=Advertiser_Similar_Kol" TargetMode="External" Id="rId141" /><Relationship Type="http://schemas.openxmlformats.org/officeDocument/2006/relationships/hyperlink" Target="https://www.xiaohongshu.com/user/profile/5bdfd3ca989f580001b8d86d" TargetMode="External" Id="rId142" /><Relationship Type="http://schemas.openxmlformats.org/officeDocument/2006/relationships/hyperlink" Target="https://pgy.xiaohongshu.com/solar/pre-trade/blogger-detail/58ae66f6a9b2ed16238bcb68?track_id=kolSimilar_8111d80f8e414c91afeccbffa135a4f5&amp;source=Advertiser_Similar_Kol" TargetMode="External" Id="rId143" /><Relationship Type="http://schemas.openxmlformats.org/officeDocument/2006/relationships/hyperlink" Target="https://www.xiaohongshu.com/user/profile/58ae66f6a9b2ed16238bcb68" TargetMode="External" Id="rId144" /><Relationship Type="http://schemas.openxmlformats.org/officeDocument/2006/relationships/hyperlink" Target="https://pgy.xiaohongshu.com/solar/pre-trade/blogger-detail/5b3b05cbe8ac2b5e7f0c3cf0?track_id=kolSimilar_8111d80f8e414c91afeccbffa135a4f5&amp;source=Advertiser_Similar_Kol" TargetMode="External" Id="rId145" /><Relationship Type="http://schemas.openxmlformats.org/officeDocument/2006/relationships/hyperlink" Target="https://www.xiaohongshu.com/user/profile/5b3b05cbe8ac2b5e7f0c3cf0" TargetMode="External" Id="rId146" /><Relationship Type="http://schemas.openxmlformats.org/officeDocument/2006/relationships/hyperlink" Target="https://pgy.xiaohongshu.com/solar/pre-trade/blogger-detail/5e63c2f400000000010031b4?track_id=kolSimilar_6313be65406b49cfb3959f5afa60978c&amp;source=Advertiser_Similar_Kol" TargetMode="External" Id="rId147" /><Relationship Type="http://schemas.openxmlformats.org/officeDocument/2006/relationships/hyperlink" Target="https://www.xiaohongshu.com/user/profile/5e63c2f400000000010031b4" TargetMode="External" Id="rId148" /><Relationship Type="http://schemas.openxmlformats.org/officeDocument/2006/relationships/hyperlink" Target="https://pgy.xiaohongshu.com/solar/pre-trade/blogger-detail/5dafb9a00000000001009617?track_id=kolSimilar_6313be65406b49cfb3959f5afa60978c&amp;source=Advertiser_Similar_Kol" TargetMode="External" Id="rId149" /><Relationship Type="http://schemas.openxmlformats.org/officeDocument/2006/relationships/hyperlink" Target="https://www.xiaohongshu.com/user/profile/5dafb9a00000000001009617" TargetMode="External" Id="rId150" /><Relationship Type="http://schemas.openxmlformats.org/officeDocument/2006/relationships/hyperlink" Target="https://pgy.xiaohongshu.com/solar/pre-trade/blogger-detail/55d1e3dc3397db11c7edf7e4?track_id=kolSimilar_6313be65406b49cfb3959f5afa60978c&amp;source=Advertiser_Similar_Kol" TargetMode="External" Id="rId151" /><Relationship Type="http://schemas.openxmlformats.org/officeDocument/2006/relationships/hyperlink" Target="https://www.xiaohongshu.com/user/profile/55d1e3dc3397db11c7edf7e4" TargetMode="External" Id="rId152" /><Relationship Type="http://schemas.openxmlformats.org/officeDocument/2006/relationships/hyperlink" Target="https://pgy.xiaohongshu.com/solar/pre-trade/blogger-detail/5844219350c4b42934dc0b95?track_id=kolSimilar_6313be65406b49cfb3959f5afa60978c&amp;source=Advertiser_Similar_Kol" TargetMode="External" Id="rId153" /><Relationship Type="http://schemas.openxmlformats.org/officeDocument/2006/relationships/hyperlink" Target="https://www.xiaohongshu.com/user/profile/5844219350c4b42934dc0b95" TargetMode="External" Id="rId154" /><Relationship Type="http://schemas.openxmlformats.org/officeDocument/2006/relationships/hyperlink" Target="https://pgy.xiaohongshu.com/solar/pre-trade/blogger-detail/58fa1bf182ec3930cdb2ddfd?track_id=kolSimilar_6313be65406b49cfb3959f5afa60978c&amp;source=Advertiser_Similar_Kol" TargetMode="External" Id="rId155" /><Relationship Type="http://schemas.openxmlformats.org/officeDocument/2006/relationships/hyperlink" Target="https://www.xiaohongshu.com/user/profile/58fa1bf182ec3930cdb2ddfd" TargetMode="External" Id="rId156" /><Relationship Type="http://schemas.openxmlformats.org/officeDocument/2006/relationships/hyperlink" Target="https://pgy.xiaohongshu.com/solar/pre-trade/blogger-detail/5f439ffe00000000010074f9?track_id=kolSimilar_75cc37d546944a9cafd5edda2e992284&amp;source=Advertiser_Similar_Kol" TargetMode="External" Id="rId157" /><Relationship Type="http://schemas.openxmlformats.org/officeDocument/2006/relationships/hyperlink" Target="https://www.xiaohongshu.com/user/profile/5f439ffe00000000010074f9" TargetMode="External" Id="rId158" /><Relationship Type="http://schemas.openxmlformats.org/officeDocument/2006/relationships/hyperlink" Target="https://pgy.xiaohongshu.com/solar/pre-trade/blogger-detail/5f571186000000000100ab3d?track_id=kolSimilar_75cc37d546944a9cafd5edda2e992284&amp;source=Advertiser_Similar_Kol" TargetMode="External" Id="rId159" /><Relationship Type="http://schemas.openxmlformats.org/officeDocument/2006/relationships/hyperlink" Target="https://www.xiaohongshu.com/user/profile/5f571186000000000100ab3d" TargetMode="External" Id="rId160" /><Relationship Type="http://schemas.openxmlformats.org/officeDocument/2006/relationships/hyperlink" Target="https://pgy.xiaohongshu.com/solar/pre-trade/blogger-detail/5b6fc11938a98000011e750e?track_id=kolSimilar_258eaaa5cb8e4139b28f2bd383863f60&amp;source=Advertiser_Similar_Kol" TargetMode="External" Id="rId161" /><Relationship Type="http://schemas.openxmlformats.org/officeDocument/2006/relationships/hyperlink" Target="https://www.xiaohongshu.com/user/profile/5b6fc11938a98000011e750e" TargetMode="External" Id="rId162" /><Relationship Type="http://schemas.openxmlformats.org/officeDocument/2006/relationships/hyperlink" Target="https://pgy.xiaohongshu.com/solar/pre-trade/blogger-detail/5c20f13f000000000702d477?track_id=kolSimilar_258eaaa5cb8e4139b28f2bd383863f60&amp;source=Advertiser_Similar_Kol" TargetMode="External" Id="rId163" /><Relationship Type="http://schemas.openxmlformats.org/officeDocument/2006/relationships/hyperlink" Target="https://www.xiaohongshu.com/user/profile/5c20f13f000000000702d477" TargetMode="External" Id="rId164" /><Relationship Type="http://schemas.openxmlformats.org/officeDocument/2006/relationships/hyperlink" Target="https://pgy.xiaohongshu.com/solar/pre-trade/blogger-detail/5a522dd9e8ac2b3230f67abb?track_id=kolSimilar_258eaaa5cb8e4139b28f2bd383863f60&amp;source=Advertiser_Similar_Kol" TargetMode="External" Id="rId165" /><Relationship Type="http://schemas.openxmlformats.org/officeDocument/2006/relationships/hyperlink" Target="https://www.xiaohongshu.com/user/profile/5a522dd9e8ac2b3230f67abb" TargetMode="External" Id="rId166" /><Relationship Type="http://schemas.openxmlformats.org/officeDocument/2006/relationships/hyperlink" Target="https://pgy.xiaohongshu.com/solar/pre-trade/blogger-detail/5bb352cb414ee700012948a3?track_id=kolSimilar_82d3d19c7ece41f5bb5ea42b119c7e72&amp;source=Advertiser_Similar_Kol" TargetMode="External" Id="rId167" /><Relationship Type="http://schemas.openxmlformats.org/officeDocument/2006/relationships/hyperlink" Target="https://www.xiaohongshu.com/user/profile/5bb352cb414ee700012948a3" TargetMode="External" Id="rId168" /><Relationship Type="http://schemas.openxmlformats.org/officeDocument/2006/relationships/hyperlink" Target="https://pgy.xiaohongshu.com/solar/pre-trade/blogger-detail/5ef5c137000000000101d95e?track_id=kolSimilar_82d3d19c7ece41f5bb5ea42b119c7e72&amp;source=Advertiser_Similar_Kol" TargetMode="External" Id="rId169" /><Relationship Type="http://schemas.openxmlformats.org/officeDocument/2006/relationships/hyperlink" Target="https://www.xiaohongshu.com/user/profile/5ef5c137000000000101d95e" TargetMode="External" Id="rId170" /><Relationship Type="http://schemas.openxmlformats.org/officeDocument/2006/relationships/hyperlink" Target="https://pgy.xiaohongshu.com/solar/pre-trade/blogger-detail/55050be52e1d9359054f4dca?track_id=kolMatch_7794a23a4b764c948cf43c5fc29e5d22&amp;source=Advertiser_Kol" TargetMode="External" Id="rId171" /><Relationship Type="http://schemas.openxmlformats.org/officeDocument/2006/relationships/hyperlink" Target="https://www.xiaohongshu.com/user/profile/55050be52e1d9359054f4dca" TargetMode="External" Id="rId172" /><Relationship Type="http://schemas.openxmlformats.org/officeDocument/2006/relationships/hyperlink" Target="https://pgy.xiaohongshu.com/solar/pre-trade/blogger-detail/60bf41660000000020029525?track_id=kolMatch_7794a23a4b764c948cf43c5fc29e5d22&amp;source=Advertiser_Kol" TargetMode="External" Id="rId173" /><Relationship Type="http://schemas.openxmlformats.org/officeDocument/2006/relationships/hyperlink" Target="https://www.xiaohongshu.com/user/profile/60bf41660000000020029525" TargetMode="External" Id="rId174" /><Relationship Type="http://schemas.openxmlformats.org/officeDocument/2006/relationships/hyperlink" Target="https://pgy.xiaohongshu.com/solar/pre-trade/blogger-detail/5c94b9300000000012018638?track_id=kolMatch_4c05e5ef58964c39a6418794f6a5d4d7&amp;source=Advertiser_Kol" TargetMode="External" Id="rId175" /><Relationship Type="http://schemas.openxmlformats.org/officeDocument/2006/relationships/hyperlink" Target="https://www.xiaohongshu.com/user/profile/5c94b9300000000012018638" TargetMode="External" Id="rId176" /><Relationship Type="http://schemas.openxmlformats.org/officeDocument/2006/relationships/hyperlink" Target="https://pgy.xiaohongshu.com/solar/pre-trade/blogger-detail/5bd5da7e6b58b737f827ea92?track_id=kolMatch_7cf9b93a44b44a6cb5cae99c838dc678&amp;source=Advertiser_Kol" TargetMode="External" Id="rId177" /><Relationship Type="http://schemas.openxmlformats.org/officeDocument/2006/relationships/hyperlink" Target="https://www.xiaohongshu.com/user/profile/5bd5da7e6b58b737f827ea92" TargetMode="External" Id="rId178" /><Relationship Type="http://schemas.openxmlformats.org/officeDocument/2006/relationships/hyperlink" Target="https://pgy.xiaohongshu.com/solar/pre-trade/blogger-detail/639eb62e0000000026013332?track_id=kolMatch_564352da8b82463bb4f360b20d173faf&amp;source=Advertiser_Kol" TargetMode="External" Id="rId179" /><Relationship Type="http://schemas.openxmlformats.org/officeDocument/2006/relationships/hyperlink" Target="https://www.xiaohongshu.com/user/profile/639eb62e0000000026013332" TargetMode="External" Id="rId180" /><Relationship Type="http://schemas.openxmlformats.org/officeDocument/2006/relationships/hyperlink" Target="https://pgy.xiaohongshu.com/solar/pre-trade/blogger-detail/5bb184257d87110001e0c1dc?track_id=kolMatch_564352da8b82463bb4f360b20d173faf&amp;source=Advertiser_Kol" TargetMode="External" Id="rId181" /><Relationship Type="http://schemas.openxmlformats.org/officeDocument/2006/relationships/hyperlink" Target="https://www.xiaohongshu.com/user/profile/5bb184257d87110001e0c1dc" TargetMode="External" Id="rId182" /><Relationship Type="http://schemas.openxmlformats.org/officeDocument/2006/relationships/hyperlink" Target="https://pgy.xiaohongshu.com/solar/pre-trade/blogger-detail/5dcd13c9000000000100572a?track_id=kolMatch_0f8dbf46b3f5463da17b109b7f2f5253&amp;source=Advertiser_Kol" TargetMode="External" Id="rId183" /><Relationship Type="http://schemas.openxmlformats.org/officeDocument/2006/relationships/hyperlink" Target="https://www.xiaohongshu.com/user/profile/5dcd13c9000000000100572a" TargetMode="External" Id="rId184" /><Relationship Type="http://schemas.openxmlformats.org/officeDocument/2006/relationships/hyperlink" Target="https://pgy.xiaohongshu.com/solar/pre-trade/blogger-detail/68022ea8000000000e02cd1b?track_id=kolMatch_0f8dbf46b3f5463da17b109b7f2f5253&amp;source=Advertiser_Kol" TargetMode="External" Id="rId185" /><Relationship Type="http://schemas.openxmlformats.org/officeDocument/2006/relationships/hyperlink" Target="https://www.xiaohongshu.com/user/profile/68022ea8000000000e02cd1b" TargetMode="External" Id="rId186" /><Relationship Type="http://schemas.openxmlformats.org/officeDocument/2006/relationships/hyperlink" Target="https://pgy.xiaohongshu.com/solar/pre-trade/blogger-detail/67453e99000000001d02faf0?track_id=kolMatch_a2b0a43926eb41e2806e38dbb4c8e19b&amp;source=Advertiser_Kol" TargetMode="External" Id="rId187" /><Relationship Type="http://schemas.openxmlformats.org/officeDocument/2006/relationships/hyperlink" Target="https://www.xiaohongshu.com/user/profile/67453e99000000001d02faf0" TargetMode="External" Id="rId188" /><Relationship Type="http://schemas.openxmlformats.org/officeDocument/2006/relationships/hyperlink" Target="https://pgy.xiaohongshu.com/solar/pre-trade/blogger-detail/56c5b898aed7582d8a9b5f23?track_id=kolMatch_a2b0a43926eb41e2806e38dbb4c8e19b&amp;source=Advertiser_Kol" TargetMode="External" Id="rId189" /><Relationship Type="http://schemas.openxmlformats.org/officeDocument/2006/relationships/hyperlink" Target="https://www.xiaohongshu.com/user/profile/56c5b898aed7582d8a9b5f23" TargetMode="External" Id="rId190" /><Relationship Type="http://schemas.openxmlformats.org/officeDocument/2006/relationships/hyperlink" Target="https://pgy.xiaohongshu.com/solar/pre-trade/blogger-detail/5b6ba011a001f6000129fb20?track_id=kolMatch_c18e4a9bd67149e5aeccd0cecbabfcb0&amp;source=Advertiser_Kol" TargetMode="External" Id="rId191" /><Relationship Type="http://schemas.openxmlformats.org/officeDocument/2006/relationships/hyperlink" Target="https://www.xiaohongshu.com/user/profile/5b6ba011a001f6000129fb20" TargetMode="External" Id="rId192" /><Relationship Type="http://schemas.openxmlformats.org/officeDocument/2006/relationships/hyperlink" Target="https://pgy.xiaohongshu.com/solar/pre-trade/blogger-detail/60374f8e0000000001006fa5?track_id=kolMatch_3898bd6c9cde420fb952dbc1bb44389a&amp;source=Advertiser_Kol" TargetMode="External" Id="rId193" /><Relationship Type="http://schemas.openxmlformats.org/officeDocument/2006/relationships/hyperlink" Target="https://www.xiaohongshu.com/user/profile/60374f8e0000000001006fa5" TargetMode="External" Id="rId194" /><Relationship Type="http://schemas.openxmlformats.org/officeDocument/2006/relationships/hyperlink" Target="https://pgy.xiaohongshu.com/solar/pre-trade/blogger-detail/594fba4982ec397bde1c9998?track_id=kolSimilar_345da337c4b94c33a6eb3a8d76e80a06&amp;source=Advertiser_Similar_Kol" TargetMode="External" Id="rId195" /><Relationship Type="http://schemas.openxmlformats.org/officeDocument/2006/relationships/hyperlink" Target="https://www.xiaohongshu.com/user/profile/594fba4982ec397bde1c9998" TargetMode="External" Id="rId196" /><Relationship Type="http://schemas.openxmlformats.org/officeDocument/2006/relationships/hyperlink" Target="https://pgy.xiaohongshu.com/solar/pre-trade/blogger-detail/64d8936b00000000010101df?track_id=kolSimilar_345da337c4b94c33a6eb3a8d76e80a06&amp;source=Advertiser_Similar_Kol" TargetMode="External" Id="rId197" /><Relationship Type="http://schemas.openxmlformats.org/officeDocument/2006/relationships/hyperlink" Target="https://www.xiaohongshu.com/user/profile/64d8936b00000000010101df" TargetMode="External" Id="rId198" /><Relationship Type="http://schemas.openxmlformats.org/officeDocument/2006/relationships/hyperlink" Target="https://pgy.xiaohongshu.com/solar/pre-trade/blogger-detail/65f161a0000000000500a702?track_id=kolSimilar_01891343d6464fce89686f8cfa133b71&amp;source=Advertiser_Similar_Kol" TargetMode="External" Id="rId199" /><Relationship Type="http://schemas.openxmlformats.org/officeDocument/2006/relationships/hyperlink" Target="https://www.xiaohongshu.com/user/profile/65f161a0000000000500a702" TargetMode="External" Id="rId200" /><Relationship Type="http://schemas.openxmlformats.org/officeDocument/2006/relationships/hyperlink" Target="https://pgy.xiaohongshu.com/solar/pre-trade/blogger-detail/5a1bb60a4eacab252da41bd8?track_id=kolSimilar_5f73b095e529472bad1372d932c1f860&amp;source=Advertiser_Similar_Kol" TargetMode="External" Id="rId201" /><Relationship Type="http://schemas.openxmlformats.org/officeDocument/2006/relationships/hyperlink" Target="https://www.xiaohongshu.com/user/profile/5a1bb60a4eacab252da41bd8" TargetMode="External" Id="rId202" /><Relationship Type="http://schemas.openxmlformats.org/officeDocument/2006/relationships/hyperlink" Target="https://pgy.xiaohongshu.com/solar/pre-trade/blogger-detail/5b6471b7c5fd3c0001487e14?track_id=kolSimilar_5f73b095e529472bad1372d932c1f860&amp;source=Advertiser_Similar_Kol" TargetMode="External" Id="rId203" /><Relationship Type="http://schemas.openxmlformats.org/officeDocument/2006/relationships/hyperlink" Target="https://www.xiaohongshu.com/user/profile/5b6471b7c5fd3c0001487e14" TargetMode="External" Id="rId204" /><Relationship Type="http://schemas.openxmlformats.org/officeDocument/2006/relationships/hyperlink" Target="https://pgy.xiaohongshu.com/solar/pre-trade/blogger-detail/5a97f06f11be102313679d97?track_id=kolSimilar_5f73b095e529472bad1372d932c1f860&amp;source=Advertiser_Similar_Kol" TargetMode="External" Id="rId205" /><Relationship Type="http://schemas.openxmlformats.org/officeDocument/2006/relationships/hyperlink" Target="https://www.xiaohongshu.com/user/profile/5a97f06f11be102313679d97" TargetMode="External" Id="rId206" /><Relationship Type="http://schemas.openxmlformats.org/officeDocument/2006/relationships/hyperlink" Target="https://pgy.xiaohongshu.com/solar/pre-trade/blogger-detail/63a5266b000000002601349b?track_id=kolSimilar_5f73b095e529472bad1372d932c1f860&amp;source=Advertiser_Similar_Kol" TargetMode="External" Id="rId207" /><Relationship Type="http://schemas.openxmlformats.org/officeDocument/2006/relationships/hyperlink" Target="https://www.xiaohongshu.com/user/profile/63a5266b000000002601349b" TargetMode="External" Id="rId208" /><Relationship Type="http://schemas.openxmlformats.org/officeDocument/2006/relationships/hyperlink" Target="https://pgy.xiaohongshu.com/solar/pre-trade/blogger-detail/5bd6770701fd9e0001e98fe9?track_id=kolSimilar_5f73b095e529472bad1372d932c1f860&amp;source=Advertiser_Similar_Kol" TargetMode="External" Id="rId209" /><Relationship Type="http://schemas.openxmlformats.org/officeDocument/2006/relationships/hyperlink" Target="https://www.xiaohongshu.com/user/profile/5bd6770701fd9e0001e98fe9" TargetMode="External" Id="rId210" /><Relationship Type="http://schemas.openxmlformats.org/officeDocument/2006/relationships/hyperlink" Target="https://pgy.xiaohongshu.com/solar/pre-trade/blogger-detail/655229a5000000000403a7b6?track_id=kolSimilar_db54877342d74e699a23d291c229f810&amp;source=Advertiser_Similar_Kol" TargetMode="External" Id="rId211" /><Relationship Type="http://schemas.openxmlformats.org/officeDocument/2006/relationships/hyperlink" Target="https://www.xiaohongshu.com/user/profile/655229a5000000000403a7b6" TargetMode="External" Id="rId212" /><Relationship Type="http://schemas.openxmlformats.org/officeDocument/2006/relationships/hyperlink" Target="https://pgy.xiaohongshu.com/solar/pre-trade/blogger-detail/5fb8d8a90000000001007718?track_id=kolSimilar_a21ce1a79fc34d5bbee44b8ec8b39dbc&amp;source=Advertiser_Similar_Kol" TargetMode="External" Id="rId213" /><Relationship Type="http://schemas.openxmlformats.org/officeDocument/2006/relationships/hyperlink" Target="https://www.xiaohongshu.com/user/profile/5fb8d8a90000000001007718" TargetMode="External" Id="rId214" /><Relationship Type="http://schemas.openxmlformats.org/officeDocument/2006/relationships/hyperlink" Target="https://pgy.xiaohongshu.com/solar/pre-trade/blogger-detail/61bf0e0a0000000002024788?track_id=kolSimilar_a21ce1a79fc34d5bbee44b8ec8b39dbc&amp;source=Advertiser_Similar_Kol" TargetMode="External" Id="rId215" /><Relationship Type="http://schemas.openxmlformats.org/officeDocument/2006/relationships/hyperlink" Target="https://www.xiaohongshu.com/user/profile/61bf0e0a0000000002024788" TargetMode="External" Id="rId216" /><Relationship Type="http://schemas.openxmlformats.org/officeDocument/2006/relationships/hyperlink" Target="https://pgy.xiaohongshu.com/solar/pre-trade/blogger-detail/5b062cfe11be1027b2dba76b?track_id=kolSimilar_a21ce1a79fc34d5bbee44b8ec8b39dbc&amp;source=Advertiser_Similar_Kol" TargetMode="External" Id="rId217" /><Relationship Type="http://schemas.openxmlformats.org/officeDocument/2006/relationships/hyperlink" Target="https://www.xiaohongshu.com/user/profile/5b062cfe11be1027b2dba76b" TargetMode="External" Id="rId218" /><Relationship Type="http://schemas.openxmlformats.org/officeDocument/2006/relationships/hyperlink" Target="https://pgy.xiaohongshu.com/solar/pre-trade/blogger-detail/56d10bdeaed75804d84ebc10?track_id=kolSimilar_7e31c84d39844f4fb81f0b37dda2441e&amp;source=Advertiser_Similar_Kol" TargetMode="External" Id="rId219" /><Relationship Type="http://schemas.openxmlformats.org/officeDocument/2006/relationships/hyperlink" Target="https://www.xiaohongshu.com/user/profile/56d10bdeaed75804d84ebc10" TargetMode="External" Id="rId220" /><Relationship Type="http://schemas.openxmlformats.org/officeDocument/2006/relationships/hyperlink" Target="https://pgy.xiaohongshu.com/solar/pre-trade/blogger-detail/59e05a1044363b7c408a7561?track_id=kolSimilar_7e31c84d39844f4fb81f0b37dda2441e&amp;source=Advertiser_Similar_Kol" TargetMode="External" Id="rId221" /><Relationship Type="http://schemas.openxmlformats.org/officeDocument/2006/relationships/hyperlink" Target="https://www.xiaohongshu.com/user/profile/59e05a1044363b7c408a7561" TargetMode="External" Id="rId222" /><Relationship Type="http://schemas.openxmlformats.org/officeDocument/2006/relationships/hyperlink" Target="https://pgy.xiaohongshu.com/solar/pre-trade/blogger-detail/5d2a7794000000001200f429?track_id=kolSimilar_7e31c84d39844f4fb81f0b37dda2441e&amp;source=Advertiser_Similar_Kol" TargetMode="External" Id="rId223" /><Relationship Type="http://schemas.openxmlformats.org/officeDocument/2006/relationships/hyperlink" Target="https://www.xiaohongshu.com/user/profile/5d2a7794000000001200f429" TargetMode="External" Id="rId224" /><Relationship Type="http://schemas.openxmlformats.org/officeDocument/2006/relationships/hyperlink" Target="https://pgy.xiaohongshu.com/solar/pre-trade/blogger-detail/6090d83800000000010085ed?track_id=kolSimilar_fb821e2580bf4d049cbb04b2487b45bc&amp;source=Advertiser_Similar_Kol" TargetMode="External" Id="rId225" /><Relationship Type="http://schemas.openxmlformats.org/officeDocument/2006/relationships/hyperlink" Target="https://www.xiaohongshu.com/user/profile/6090d83800000000010085ed" TargetMode="External" Id="rId226" /><Relationship Type="http://schemas.openxmlformats.org/officeDocument/2006/relationships/hyperlink" Target="https://pgy.xiaohongshu.com/solar/pre-trade/blogger-detail/5a000df74eacab6929f24ce4?track_id=kolSimilar_345da337c4b94c33a6eb3a8d76e80a06&amp;source=Advertiser_Similar_Kol" TargetMode="External" Id="rId227" /><Relationship Type="http://schemas.openxmlformats.org/officeDocument/2006/relationships/hyperlink" Target="https://www.xiaohongshu.com/user/profile/5a000df74eacab6929f24ce4" TargetMode="External" Id="rId228" /><Relationship Type="http://schemas.openxmlformats.org/officeDocument/2006/relationships/hyperlink" Target="https://pgy.xiaohongshu.com/solar/pre-trade/blogger-detail/5b8f622e55c23100010c3184?track_id=kolSimilar_345da337c4b94c33a6eb3a8d76e80a06&amp;source=Advertiser_Similar_Kol" TargetMode="External" Id="rId229" /><Relationship Type="http://schemas.openxmlformats.org/officeDocument/2006/relationships/hyperlink" Target="https://www.xiaohongshu.com/user/profile/5b8f622e55c23100010c3184" TargetMode="External" Id="rId230" /><Relationship Type="http://schemas.openxmlformats.org/officeDocument/2006/relationships/hyperlink" Target="https://pgy.xiaohongshu.com/solar/pre-trade/blogger-detail/548256612e1d9320b11eb7c4?track_id=kolSimilar_01891343d6464fce89686f8cfa133b71&amp;source=Advertiser_Similar_Kol" TargetMode="External" Id="rId231" /><Relationship Type="http://schemas.openxmlformats.org/officeDocument/2006/relationships/hyperlink" Target="https://www.xiaohongshu.com/user/profile/548256612e1d9320b11eb7c4" TargetMode="External" Id="rId232" /><Relationship Type="http://schemas.openxmlformats.org/officeDocument/2006/relationships/hyperlink" Target="https://pgy.xiaohongshu.com/solar/pre-trade/blogger-detail/59f7c9734eacab1f46d7e41b?track_id=kolMatch_dd81364721dc437dacbeab67bc7a18f7&amp;source=Advertiser_Kol" TargetMode="External" Id="rId233" /><Relationship Type="http://schemas.openxmlformats.org/officeDocument/2006/relationships/hyperlink" Target="https://www.xiaohongshu.com/user/profile/59f7c9734eacab1f46d7e41b" TargetMode="External" Id="rId234" /><Relationship Type="http://schemas.openxmlformats.org/officeDocument/2006/relationships/hyperlink" Target="https://pgy.xiaohongshu.com/solar/pre-trade/blogger-detail/5cbc0702000000001102c42d?track_id=kolMatch_dfbd61a4df554795baa378b4a3ae964e&amp;source=Advertiser_Kol" TargetMode="External" Id="rId235" /><Relationship Type="http://schemas.openxmlformats.org/officeDocument/2006/relationships/hyperlink" Target="https://www.xiaohongshu.com/user/profile/5cbc0702000000001102c42d" TargetMode="External" Id="rId236" /><Relationship Type="http://schemas.openxmlformats.org/officeDocument/2006/relationships/hyperlink" Target="https://pgy.xiaohongshu.com/solar/pre-trade/blogger-detail/56a2d674b8c8b4483a3be100?track_id=kolMatch_cd652a86f6424b98a6d71058578cd75e&amp;source=Advertiser_Kol" TargetMode="External" Id="rId237" /><Relationship Type="http://schemas.openxmlformats.org/officeDocument/2006/relationships/hyperlink" Target="https://www.xiaohongshu.com/user/profile/56a2d674b8c8b4483a3be100" TargetMode="External" Id="rId238" /><Relationship Type="http://schemas.openxmlformats.org/officeDocument/2006/relationships/hyperlink" Target="https://pgy.xiaohongshu.com/solar/pre-trade/blogger-detail/5996979f5e87e753213cf296?track_id=kolMatch_cd652a86f6424b98a6d71058578cd75e&amp;source=Advertiser_Kol" TargetMode="External" Id="rId239" /><Relationship Type="http://schemas.openxmlformats.org/officeDocument/2006/relationships/hyperlink" Target="https://www.xiaohongshu.com/user/profile/5996979f5e87e753213cf296" TargetMode="External" Id="rId240" /><Relationship Type="http://schemas.openxmlformats.org/officeDocument/2006/relationships/hyperlink" Target="https://pgy.xiaohongshu.com/solar/pre-trade/blogger-detail/5555f921e58d137afa22d7d5?track_id=kolMatch_6bf4b0f79f06426dbf17c79c265ed8da&amp;source=Advertiser_Kol" TargetMode="External" Id="rId241" /><Relationship Type="http://schemas.openxmlformats.org/officeDocument/2006/relationships/hyperlink" Target="https://www.xiaohongshu.com/user/profile/5555f921e58d137afa22d7d5" TargetMode="External" Id="rId242" /><Relationship Type="http://schemas.openxmlformats.org/officeDocument/2006/relationships/hyperlink" Target="https://pgy.xiaohongshu.com/solar/pre-trade/blogger-detail/672ae54a000000001d02c0af?track_id=kolSimilar_db54877342d74e699a23d291c229f810&amp;source=Advertiser_Similar_Kol" TargetMode="External" Id="rId243" /><Relationship Type="http://schemas.openxmlformats.org/officeDocument/2006/relationships/hyperlink" Target="https://www.xiaohongshu.com/user/profile/672ae54a000000001d02c0af" TargetMode="External" Id="rId244" /><Relationship Type="http://schemas.openxmlformats.org/officeDocument/2006/relationships/hyperlink" Target="https://pgy.xiaohongshu.com/solar/pre-trade/blogger-detail/6071877d0000000001002cfd?track_id=kolSimilar_5d190bf56ad5467396c3ea3be025631c&amp;source=Advertiser_Similar_Kol" TargetMode="External" Id="rId245" /><Relationship Type="http://schemas.openxmlformats.org/officeDocument/2006/relationships/hyperlink" Target="https://www.xiaohongshu.com/user/profile/6071877d0000000001002cfd" TargetMode="External" Id="rId246" /><Relationship Type="http://schemas.openxmlformats.org/officeDocument/2006/relationships/hyperlink" Target="https://pgy.xiaohongshu.com/solar/pre-trade/blogger-detail/5b7251e2ca2c92000186323d?track_id=kolSimilar_5f73b095e529472bad1372d932c1f860&amp;source=Advertiser_Similar_Kol" TargetMode="External" Id="rId247" /><Relationship Type="http://schemas.openxmlformats.org/officeDocument/2006/relationships/hyperlink" Target="https://www.xiaohongshu.com/user/profile/5b7251e2ca2c92000186323d" TargetMode="External" Id="rId248" /><Relationship Type="http://schemas.openxmlformats.org/officeDocument/2006/relationships/hyperlink" Target="https://pgy.xiaohongshu.com/solar/pre-trade/blogger-detail/59f2dc5b11be1063dc1ada8f?track_id=kolSimilar_e8c332d6478245f59fa0ae222865783e&amp;source=Advertiser_Similar_Kol" TargetMode="External" Id="rId249" /><Relationship Type="http://schemas.openxmlformats.org/officeDocument/2006/relationships/hyperlink" Target="https://www.xiaohongshu.com/user/profile/59f2dc5b11be1063dc1ada8f" TargetMode="External" Id="rId250" /><Relationship Type="http://schemas.openxmlformats.org/officeDocument/2006/relationships/hyperlink" Target="https://pgy.xiaohongshu.com/solar/pre-trade/blogger-detail/5dc2e5ad000000000100ab6e?track_id=kolSimilar_e8c332d6478245f59fa0ae222865783e&amp;source=Advertiser_Similar_Kol" TargetMode="External" Id="rId251" /><Relationship Type="http://schemas.openxmlformats.org/officeDocument/2006/relationships/hyperlink" Target="https://www.xiaohongshu.com/user/profile/5dc2e5ad000000000100ab6e" TargetMode="External" Id="rId252" /><Relationship Type="http://schemas.openxmlformats.org/officeDocument/2006/relationships/hyperlink" Target="https://pgy.xiaohongshu.com/solar/pre-trade/blogger-detail/5dd60dce00000000010078bd?track_id=kolSimilar_e8c332d6478245f59fa0ae222865783e&amp;source=Advertiser_Similar_Kol" TargetMode="External" Id="rId253" /><Relationship Type="http://schemas.openxmlformats.org/officeDocument/2006/relationships/hyperlink" Target="https://www.xiaohongshu.com/user/profile/5dd60dce00000000010078bd" TargetMode="External" Id="rId254" /><Relationship Type="http://schemas.openxmlformats.org/officeDocument/2006/relationships/hyperlink" Target="https://pgy.xiaohongshu.com/solar/pre-trade/blogger-detail/5e527c4f0000000001000728?track_id=kolSimilar_e8c332d6478245f59fa0ae222865783e&amp;source=Advertiser_Similar_Kol" TargetMode="External" Id="rId255" /><Relationship Type="http://schemas.openxmlformats.org/officeDocument/2006/relationships/hyperlink" Target="https://www.xiaohongshu.com/user/profile/5e527c4f0000000001000728" TargetMode="External" Id="rId256" /><Relationship Type="http://schemas.openxmlformats.org/officeDocument/2006/relationships/hyperlink" Target="https://pgy.xiaohongshu.com/solar/pre-trade/blogger-detail/5bd3b8fd3b7be400017da80a?track_id=kolMatch_46185070b1a74e0d9519af7e57d906f1&amp;source=Advertiser_Kol" TargetMode="External" Id="rId257" /><Relationship Type="http://schemas.openxmlformats.org/officeDocument/2006/relationships/hyperlink" Target="https://www.xiaohongshu.com/user/profile/5bd3b8fd3b7be400017da80a" TargetMode="External" Id="rId258" /><Relationship Type="http://schemas.openxmlformats.org/officeDocument/2006/relationships/hyperlink" Target="https://pgy.xiaohongshu.com/solar/pre-trade/blogger-detail/5b7d938ff7e8b91830d7d905?track_id=kolMatch_fcf260738f3e4cce8a78064f885972a7&amp;source=Advertiser_Kol" TargetMode="External" Id="rId259" /><Relationship Type="http://schemas.openxmlformats.org/officeDocument/2006/relationships/hyperlink" Target="https://www.xiaohongshu.com/user/profile/5b7d938ff7e8b91830d7d905" TargetMode="External" Id="rId260" /><Relationship Type="http://schemas.openxmlformats.org/officeDocument/2006/relationships/hyperlink" Target="https://pgy.xiaohongshu.com/solar/pre-trade/blogger-detail/6226b2f70000000010006a9e?track_id=kolSimilar_01891343d6464fce89686f8cfa133b71&amp;source=Advertiser_Similar_Kol" TargetMode="External" Id="rId261" /><Relationship Type="http://schemas.openxmlformats.org/officeDocument/2006/relationships/hyperlink" Target="https://www.xiaohongshu.com/user/profile/6226b2f70000000010006a9e" TargetMode="External" Id="rId262" /><Relationship Type="http://schemas.openxmlformats.org/officeDocument/2006/relationships/hyperlink" Target="https://pgy.xiaohongshu.com/solar/pre-trade/blogger-detail/5785b7476a6a6949e43cadf7?track_id=kolSimilar_01891343d6464fce89686f8cfa133b71&amp;source=Advertiser_Similar_Kol" TargetMode="External" Id="rId263" /><Relationship Type="http://schemas.openxmlformats.org/officeDocument/2006/relationships/hyperlink" Target="https://www.xiaohongshu.com/user/profile/5785b7476a6a6949e43cadf7" TargetMode="External" Id="rId264" /><Relationship Type="http://schemas.openxmlformats.org/officeDocument/2006/relationships/hyperlink" Target="https://pgy.xiaohongshu.com/solar/pre-trade/blogger-detail/580c8ab950c4b42ecfa8c528?track_id=kolSimilar_01182e2358884c70918589d054aca5a3&amp;source=Advertiser_Similar_Kol" TargetMode="External" Id="rId265" /><Relationship Type="http://schemas.openxmlformats.org/officeDocument/2006/relationships/hyperlink" Target="https://www.xiaohongshu.com/user/profile/580c8ab950c4b42ecfa8c528" TargetMode="External" Id="rId266" /><Relationship Type="http://schemas.openxmlformats.org/officeDocument/2006/relationships/hyperlink" Target="https://pgy.xiaohongshu.com/solar/pre-trade/blogger-detail/596f3bac50c4b47bd5929889?track_id=kolSimilar_4ad74dd65b224d40a6db321450ae0221&amp;source=Advertiser_Similar_Kol" TargetMode="External" Id="rId267" /><Relationship Type="http://schemas.openxmlformats.org/officeDocument/2006/relationships/hyperlink" Target="https://www.xiaohongshu.com/user/profile/596f3bac50c4b47bd5929889" TargetMode="External" Id="rId268" /><Relationship Type="http://schemas.openxmlformats.org/officeDocument/2006/relationships/hyperlink" Target="https://pgy.xiaohongshu.com/solar/pre-trade/blogger-detail/646a384d000000002a0096fb?track_id=kolSimilar_4ad74dd65b224d40a6db321450ae0221&amp;source=Advertiser_Similar_Kol" TargetMode="External" Id="rId269" /><Relationship Type="http://schemas.openxmlformats.org/officeDocument/2006/relationships/hyperlink" Target="https://www.xiaohongshu.com/user/profile/646a384d000000002a0096fb" TargetMode="External" Id="rId270" /><Relationship Type="http://schemas.openxmlformats.org/officeDocument/2006/relationships/hyperlink" Target="https://pgy.xiaohongshu.com/solar/pre-trade/blogger-detail/5aaa02a111be1077d0bb1918?track_id=kolSimilar_4ad74dd65b224d40a6db321450ae0221&amp;source=Advertiser_Similar_Kol" TargetMode="External" Id="rId271" /><Relationship Type="http://schemas.openxmlformats.org/officeDocument/2006/relationships/hyperlink" Target="https://www.xiaohongshu.com/user/profile/5aaa02a111be1077d0bb1918" TargetMode="External" Id="rId272" /><Relationship Type="http://schemas.openxmlformats.org/officeDocument/2006/relationships/hyperlink" Target="https://pgy.xiaohongshu.com/solar/pre-trade/blogger-detail/5b32165c6b58b70fbe7e7b6d?track_id=kolSimilar_8da705e98fb941b5a8756f2de03e4ef3&amp;source=Advertiser_Similar_Kol" TargetMode="External" Id="rId273" /><Relationship Type="http://schemas.openxmlformats.org/officeDocument/2006/relationships/hyperlink" Target="https://www.xiaohongshu.com/user/profile/5b32165c6b58b70fbe7e7b6d" TargetMode="External" Id="rId274" /><Relationship Type="http://schemas.openxmlformats.org/officeDocument/2006/relationships/hyperlink" Target="https://pgy.xiaohongshu.com/solar/pre-trade/blogger-detail/5561304d484fb60b407e1a11?track_id=kolSearch_3cd355e9fdce4768b2be229ccfce418a&amp;source=Advertiser_Kol" TargetMode="External" Id="rId275" /><Relationship Type="http://schemas.openxmlformats.org/officeDocument/2006/relationships/hyperlink" Target="https://www.xiaohongshu.com/user/profile/5561304d484fb60b407e1a11" TargetMode="External" Id="rId276" /><Relationship Type="http://schemas.openxmlformats.org/officeDocument/2006/relationships/hyperlink" Target="https://pgy.xiaohongshu.com/solar/pre-trade/blogger-detail/5a9bfbf511be1014b6161c55?track_id=kolSearch_dfa9b8ff17784a7eb40bfc30e656eaea&amp;source=Advertiser_Kol" TargetMode="External" Id="rId277" /><Relationship Type="http://schemas.openxmlformats.org/officeDocument/2006/relationships/hyperlink" Target="https://www.xiaohongshu.com/user/profile/5a9bfbf511be1014b6161c55" TargetMode="External" Id="rId278" /><Relationship Type="http://schemas.openxmlformats.org/officeDocument/2006/relationships/hyperlink" Target="https://pgy.xiaohongshu.com/solar/pre-trade/blogger-detail/5c5134740000000010023396?track_id=kolSimilar_66e6921dc20149d4af28b02438b7707c&amp;source=Advertiser_Similar_Kol" TargetMode="External" Id="rId279" /><Relationship Type="http://schemas.openxmlformats.org/officeDocument/2006/relationships/hyperlink" Target="https://www.xiaohongshu.com/user/profile/5c5134740000000010023396" TargetMode="External" Id="rId280" /><Relationship Type="http://schemas.openxmlformats.org/officeDocument/2006/relationships/hyperlink" Target="https://pgy.xiaohongshu.com/solar/pre-trade/blogger-detail/565695c082ec397dd628e540?track_id=kolSimilar_47cf4b7ef4f34b89a32f77ad8b2578f6&amp;source=Advertiser_Similar_Kol" TargetMode="External" Id="rId281" /><Relationship Type="http://schemas.openxmlformats.org/officeDocument/2006/relationships/hyperlink" Target="https://www.xiaohongshu.com/user/profile/565695c082ec397dd628e540" TargetMode="External" Id="rId282" /><Relationship Type="http://schemas.openxmlformats.org/officeDocument/2006/relationships/hyperlink" Target="https://pgy.xiaohongshu.com/solar/pre-trade/blogger-detail/5bbbe4d385e5bd000107c1ff?track_id=kolSimilar_47cf4b7ef4f34b89a32f77ad8b2578f6&amp;source=Advertiser_Similar_Kol" TargetMode="External" Id="rId283" /><Relationship Type="http://schemas.openxmlformats.org/officeDocument/2006/relationships/hyperlink" Target="https://www.xiaohongshu.com/user/profile/5bbbe4d385e5bd000107c1ff" TargetMode="External" Id="rId284" /><Relationship Type="http://schemas.openxmlformats.org/officeDocument/2006/relationships/hyperlink" Target="https://pgy.xiaohongshu.com/solar/pre-trade/blogger-detail/5edbafff00000000010078bf?track_id=kolSimilar_8f850d90b1214d71a43650135a1b56a8&amp;source=Advertiser_Similar_Kol" TargetMode="External" Id="rId285" /><Relationship Type="http://schemas.openxmlformats.org/officeDocument/2006/relationships/hyperlink" Target="https://www.xiaohongshu.com/user/profile/5edbafff00000000010078bf" TargetMode="External" Id="rId286" /><Relationship Type="http://schemas.openxmlformats.org/officeDocument/2006/relationships/hyperlink" Target="https://pgy.xiaohongshu.com/solar/pre-trade/blogger-detail/5aea846d11be1057a2ee99d6?track_id=kolSimilar_8f850d90b1214d71a43650135a1b56a8&amp;source=Advertiser_Similar_Kol" TargetMode="External" Id="rId287" /><Relationship Type="http://schemas.openxmlformats.org/officeDocument/2006/relationships/hyperlink" Target="https://www.xiaohongshu.com/user/profile/5aea846d11be1057a2ee99d6" TargetMode="External" Id="rId288" /><Relationship Type="http://schemas.openxmlformats.org/officeDocument/2006/relationships/hyperlink" Target="https://pgy.xiaohongshu.com/solar/pre-trade/blogger-detail/5e64df1b0000000001009497?track_id=kolSimilar_bee5fa4fde86446a8b9fb3f9d7cf6dc5&amp;source=Advertiser_Similar_Kol" TargetMode="External" Id="rId289" /><Relationship Type="http://schemas.openxmlformats.org/officeDocument/2006/relationships/hyperlink" Target="https://www.xiaohongshu.com/user/profile/5e64df1b0000000001009497" TargetMode="External" Id="rId290" /><Relationship Type="http://schemas.openxmlformats.org/officeDocument/2006/relationships/hyperlink" Target="https://pgy.xiaohongshu.com/solar/pre-trade/blogger-detail/63ed72130000000027029fae?track_id=kolSimilar_42db9fd3ec084363bb5f4ce55ff58473&amp;source=Advertiser_Similar_Kol" TargetMode="External" Id="rId291" /><Relationship Type="http://schemas.openxmlformats.org/officeDocument/2006/relationships/hyperlink" Target="https://www.xiaohongshu.com/user/profile/63ed72130000000027029fae" TargetMode="External" Id="rId292" /><Relationship Type="http://schemas.openxmlformats.org/officeDocument/2006/relationships/hyperlink" Target="https://pgy.xiaohongshu.com/solar/pre-trade/blogger-detail/583adb4aa9b2ed51aa65191d?track_id=kolSimilar_42db9fd3ec084363bb5f4ce55ff58473&amp;source=Advertiser_Similar_Kol" TargetMode="External" Id="rId293" /><Relationship Type="http://schemas.openxmlformats.org/officeDocument/2006/relationships/hyperlink" Target="https://www.xiaohongshu.com/user/profile/583adb4aa9b2ed51aa65191d" TargetMode="External" Id="rId294" /><Relationship Type="http://schemas.openxmlformats.org/officeDocument/2006/relationships/hyperlink" Target="https://pgy.xiaohongshu.com/solar/pre-trade/blogger-detail/575d35a882ec39517815875a?track_id=kolMatch_0f3148a6a7fa4700a7a27fd91c5278c8&amp;source=Advertiser_Kol" TargetMode="External" Id="rId295" /><Relationship Type="http://schemas.openxmlformats.org/officeDocument/2006/relationships/hyperlink" Target="https://www.xiaohongshu.com/user/profile/575d35a882ec39517815875a" TargetMode="External" Id="rId296" /><Relationship Type="http://schemas.openxmlformats.org/officeDocument/2006/relationships/hyperlink" Target="https://pgy.xiaohongshu.com/solar/pre-trade/blogger-detail/59d8524151783a10751b30bd?track_id=kolMatch_3687438110cb47e394ac6fddd2e15179&amp;source=Advertiser_Kol" TargetMode="External" Id="rId297" /><Relationship Type="http://schemas.openxmlformats.org/officeDocument/2006/relationships/hyperlink" Target="https://www.xiaohongshu.com/user/profile/59d8524151783a10751b30bd" TargetMode="External" Id="rId298" /><Relationship Type="http://schemas.openxmlformats.org/officeDocument/2006/relationships/hyperlink" Target="https://pgy.xiaohongshu.com/solar/pre-trade/blogger-detail/593a2ee150c4b43d1ac386c8?track_id=kolMatch_ae6c2089f61d4cf89a92fb460f95e76a&amp;source=Advertiser_Kol" TargetMode="External" Id="rId299" /><Relationship Type="http://schemas.openxmlformats.org/officeDocument/2006/relationships/hyperlink" Target="https://www.xiaohongshu.com/user/profile/593a2ee150c4b43d1ac386c8" TargetMode="External" Id="rId300" /><Relationship Type="http://schemas.openxmlformats.org/officeDocument/2006/relationships/hyperlink" Target="https://pgy.xiaohongshu.com/solar/pre-trade/blogger-detail/59667ee250c4b41b0f456ffc?track_id=kolSimilar_3800a724e2c64cf8b7e479c58d0e23db&amp;source=Advertiser_Similar_Kol" TargetMode="External" Id="rId301" /><Relationship Type="http://schemas.openxmlformats.org/officeDocument/2006/relationships/hyperlink" Target="https://www.xiaohongshu.com/user/profile/59667ee250c4b41b0f456ffc" TargetMode="External" Id="rId302" /><Relationship Type="http://schemas.openxmlformats.org/officeDocument/2006/relationships/hyperlink" Target="https://pgy.xiaohongshu.com/solar/pre-trade/blogger-detail/575d786a346094605daa58b1?track_id=kolGeneralSearch_054180064e75425cae0e02a54d81d701&amp;source=Advertiser_Kol" TargetMode="External" Id="rId303" /><Relationship Type="http://schemas.openxmlformats.org/officeDocument/2006/relationships/hyperlink" Target="https://www.xiaohongshu.com/user/profile/575d786a346094605daa58b1" TargetMode="External" Id="rId304" /><Relationship Type="http://schemas.openxmlformats.org/officeDocument/2006/relationships/hyperlink" Target="https://pgy.xiaohongshu.com/solar/pre-trade/blogger-detail/6208c0800000000021025b08?track_id=kolGeneralSearch_60dc0d22790240e69b6f3660c6b18b97&amp;source=Advertiser_Kol" TargetMode="External" Id="rId305" /><Relationship Type="http://schemas.openxmlformats.org/officeDocument/2006/relationships/hyperlink" Target="https://www.xiaohongshu.com/user/profile/6208c0800000000021025b08" TargetMode="External" Id="rId306" /><Relationship Type="http://schemas.openxmlformats.org/officeDocument/2006/relationships/hyperlink" Target="https://pgy.xiaohongshu.com/solar/pre-trade/blogger-detail/5882f5af50c4b428f9d1e013?track_id=kolSimilar_cf3e362e9fb74cdf84d5f3b44d1a4bb8&amp;source=Advertiser_Similar_Kol" TargetMode="External" Id="rId307" /><Relationship Type="http://schemas.openxmlformats.org/officeDocument/2006/relationships/hyperlink" Target="https://www.xiaohongshu.com/user/profile/5882f5af50c4b428f9d1e013" TargetMode="External" Id="rId308" /><Relationship Type="http://schemas.openxmlformats.org/officeDocument/2006/relationships/hyperlink" Target="https://pgy.xiaohongshu.com/solar/pre-trade/blogger-detail/551cc0e0d39ea22190ce8027?track_id=kolSimilar_a99de8c6c1de40d4a013bedc61458a8e&amp;source=Advertiser_Similar_Kol" TargetMode="External" Id="rId309" /><Relationship Type="http://schemas.openxmlformats.org/officeDocument/2006/relationships/hyperlink" Target="https://www.xiaohongshu.com/user/profile/551cc0e0d39ea22190ce8027" TargetMode="External" Id="rId310" /><Relationship Type="http://schemas.openxmlformats.org/officeDocument/2006/relationships/hyperlink" Target="https://pgy.xiaohongshu.com/solar/pre-trade/blogger-detail/639aee9000000000260132ee?track_id=kolSearch_aacd39d4d58f42b4aede6bba9be96f28&amp;source=Advertiser_Kol" TargetMode="External" Id="rId311" /><Relationship Type="http://schemas.openxmlformats.org/officeDocument/2006/relationships/hyperlink" Target="https://www.xiaohongshu.com/user/profile/639aee9000000000260132ee" TargetMode="External" Id="rId312" /><Relationship Type="http://schemas.openxmlformats.org/officeDocument/2006/relationships/hyperlink" Target="https://pgy.xiaohongshu.com/solar/pre-trade/blogger-detail/578893593460945daf7c0a1a?track_id=kolSimilar_87f2fee2583e429e9d590d445475e648&amp;source=Advertiser_Similar_Kol" TargetMode="External" Id="rId313" /><Relationship Type="http://schemas.openxmlformats.org/officeDocument/2006/relationships/hyperlink" Target="https://www.xiaohongshu.com/user/profile/578893593460945daf7c0a1a" TargetMode="External" Id="rId314" /><Relationship Type="http://schemas.openxmlformats.org/officeDocument/2006/relationships/hyperlink" Target="https://pgy.xiaohongshu.com/solar/pre-trade/blogger-detail/5646884c44760813a6f99134?track_id=kolSimilar_87f2fee2583e429e9d590d445475e648&amp;source=Advertiser_Similar_Kol" TargetMode="External" Id="rId315" /><Relationship Type="http://schemas.openxmlformats.org/officeDocument/2006/relationships/hyperlink" Target="https://www.xiaohongshu.com/user/profile/5646884c44760813a6f99134" TargetMode="External" Id="rId316" /><Relationship Type="http://schemas.openxmlformats.org/officeDocument/2006/relationships/hyperlink" Target="https://pgy.xiaohongshu.com/solar/pre-trade/blogger-detail/5b61dc626b58b70a0b11cc6a?track_id=kolSimilar_87f2fee2583e429e9d590d445475e648&amp;source=Advertiser_Similar_Kol" TargetMode="External" Id="rId317" /><Relationship Type="http://schemas.openxmlformats.org/officeDocument/2006/relationships/hyperlink" Target="https://www.xiaohongshu.com/user/profile/5b61dc626b58b70a0b11cc6a" TargetMode="External" Id="rId318" /><Relationship Type="http://schemas.openxmlformats.org/officeDocument/2006/relationships/hyperlink" Target="https://pgy.xiaohongshu.com/solar/pre-trade/blogger-detail/61f5456e000000001000ab46?track_id=kolSimilar_5565f9b7979d4b10a1678f49cc1ad4b6&amp;source=Advertiser_Similar_Kol" TargetMode="External" Id="rId319" /><Relationship Type="http://schemas.openxmlformats.org/officeDocument/2006/relationships/hyperlink" Target="https://www.xiaohongshu.com/user/profile/61f5456e000000001000ab46" TargetMode="External" Id="rId320" /><Relationship Type="http://schemas.openxmlformats.org/officeDocument/2006/relationships/hyperlink" Target="https://pgy.xiaohongshu.com/solar/pre-trade/blogger-detail/65eaece4000000000500e812?track_id=kolSimilar_434b4125cbe241f2bf1936dcb193740a&amp;source=Advertiser_Similar_Kol" TargetMode="External" Id="rId321" /><Relationship Type="http://schemas.openxmlformats.org/officeDocument/2006/relationships/hyperlink" Target="https://www.xiaohongshu.com/user/profile/65eaece4000000000500e812" TargetMode="External" Id="rId322" /><Relationship Type="http://schemas.openxmlformats.org/officeDocument/2006/relationships/hyperlink" Target="https://pgy.xiaohongshu.com/solar/pre-trade/blogger-detail/58c8c39e82ec3929f642c27f?track_id=kolSimilar_434b4125cbe241f2bf1936dcb193740a&amp;source=Advertiser_Similar_Kol" TargetMode="External" Id="rId323" /><Relationship Type="http://schemas.openxmlformats.org/officeDocument/2006/relationships/hyperlink" Target="https://www.xiaohongshu.com/user/profile/65eaece4000000000500e812" TargetMode="External" Id="rId324" /><Relationship Type="http://schemas.openxmlformats.org/officeDocument/2006/relationships/hyperlink" Target="https://pgy.xiaohongshu.com/solar/pre-trade/blogger-detail/5f8f3aa9000000000101f6b5?track_id=kolSimilar_434b4125cbe241f2bf1936dcb193740a&amp;source=Advertiser_Similar_Kol" TargetMode="External" Id="rId325" /><Relationship Type="http://schemas.openxmlformats.org/officeDocument/2006/relationships/hyperlink" Target="https://www.xiaohongshu.com/user/profile/5f8f3aa9000000000101f6b5" TargetMode="External" Id="rId326" /><Relationship Type="http://schemas.openxmlformats.org/officeDocument/2006/relationships/hyperlink" Target="https://pgy.xiaohongshu.com/solar/pre-trade/blogger-detail/59e1f438de5fb4138561df21?track_id=kolSimilar_434b4125cbe241f2bf1936dcb193740a&amp;source=Advertiser_Similar_Kol" TargetMode="External" Id="rId327" /><Relationship Type="http://schemas.openxmlformats.org/officeDocument/2006/relationships/hyperlink" Target="https://www.xiaohongshu.com/user/profile/59e1f438de5fb4138561df21" TargetMode="External" Id="rId328" /><Relationship Type="http://schemas.openxmlformats.org/officeDocument/2006/relationships/hyperlink" Target="https://pgy.xiaohongshu.com/solar/pre-trade/blogger-detail/60061dd10000000001007f48?track_id=kolSimilar_52942df15dae496598c33e622116b455&amp;source=Advertiser_Similar_Kol" TargetMode="External" Id="rId329" /><Relationship Type="http://schemas.openxmlformats.org/officeDocument/2006/relationships/hyperlink" Target="https://www.xiaohongshu.com/user/profile/60061dd10000000001007f48" TargetMode="External" Id="rId330" /><Relationship Type="http://schemas.openxmlformats.org/officeDocument/2006/relationships/hyperlink" Target="https://pgy.xiaohongshu.com/solar/pre-trade/blogger-detail/639d6fe2000000002702bcec?track_id=kolSimilar_52942df15dae496598c33e622116b455&amp;source=Advertiser_Similar_Kol" TargetMode="External" Id="rId331" /><Relationship Type="http://schemas.openxmlformats.org/officeDocument/2006/relationships/hyperlink" Target="https://www.xiaohongshu.com/user/profile/639d6fe2000000002702bcec" TargetMode="External" Id="rId332" /><Relationship Type="http://schemas.openxmlformats.org/officeDocument/2006/relationships/hyperlink" Target="https://pgy.xiaohongshu.com/solar/pre-trade/blogger-detail/5a017a8111be103c490e4c9f?track_id=kolSimilar_2dc4900947d846bfb8ee1f82527c7a0d&amp;source=Advertiser_Similar_Kol" TargetMode="External" Id="rId333" /><Relationship Type="http://schemas.openxmlformats.org/officeDocument/2006/relationships/hyperlink" Target="https://www.xiaohongshu.com/user/profile/5a017a8111be103c490e4c9f" TargetMode="External" Id="rId334" /><Relationship Type="http://schemas.openxmlformats.org/officeDocument/2006/relationships/hyperlink" Target="https://pgy.xiaohongshu.com/solar/pre-trade/blogger-detail/63c0c3640000000026011ff2?track_id=kolSimilar_2dc4900947d846bfb8ee1f82527c7a0d&amp;source=Advertiser_Similar_Kol" TargetMode="External" Id="rId335" /><Relationship Type="http://schemas.openxmlformats.org/officeDocument/2006/relationships/hyperlink" Target="https://www.xiaohongshu.com/user/profile/63c0c3640000000026011ff2" TargetMode="External" Id="rId336" /><Relationship Type="http://schemas.openxmlformats.org/officeDocument/2006/relationships/hyperlink" Target="https://pgy.xiaohongshu.com/solar/pre-trade/blogger-detail/57a4ca7f6a6a6947d6f82023?track_id=kolSimilar_37268d40e03c43f68a6342e8fc04e1ae&amp;source=Advertiser_Similar_Kol" TargetMode="External" Id="rId337" /><Relationship Type="http://schemas.openxmlformats.org/officeDocument/2006/relationships/hyperlink" Target="https://www.xiaohongshu.com/user/profile/57a4ca7f6a6a6947d6f82023" TargetMode="External" Id="rId338" /><Relationship Type="http://schemas.openxmlformats.org/officeDocument/2006/relationships/hyperlink" Target="https://pgy.xiaohongshu.com/solar/pre-trade/blogger-detail/5e78841e000000000100bb84?track_id=kolSimilar_5d6c3909eefd474f8564320314dc9c20&amp;source=Advertiser_Similar_Kol" TargetMode="External" Id="rId339" /><Relationship Type="http://schemas.openxmlformats.org/officeDocument/2006/relationships/hyperlink" Target="https://www.xiaohongshu.com/user/profile/5e78841e000000000100bb84" TargetMode="External" Id="rId340" /><Relationship Type="http://schemas.openxmlformats.org/officeDocument/2006/relationships/hyperlink" Target="https://pgy.xiaohongshu.com/solar/pre-trade/blogger-detail/583bdfc150c4b44e6536218d?track_id=kolSimilar_5d6c3909eefd474f8564320314dc9c20&amp;source=Advertiser_Similar_Kol" TargetMode="External" Id="rId341" /><Relationship Type="http://schemas.openxmlformats.org/officeDocument/2006/relationships/hyperlink" Target="https://www.xiaohongshu.com/user/profile/583bdfc150c4b44e6536218d" TargetMode="External" Id="rId342" /><Relationship Type="http://schemas.openxmlformats.org/officeDocument/2006/relationships/hyperlink" Target="https://pgy.xiaohongshu.com/solar/pre-trade/blogger-detail/5b039e514eacab5c69e75132?track_id=kolSimilar_ee240ed23d6f483c901224db3d45d306&amp;source=Advertiser_Similar_Kol" TargetMode="External" Id="rId343" /><Relationship Type="http://schemas.openxmlformats.org/officeDocument/2006/relationships/hyperlink" Target="https://www.xiaohongshu.com/user/profile/5b039e514eacab5c69e75132" TargetMode="External" Id="rId344" /><Relationship Type="http://schemas.openxmlformats.org/officeDocument/2006/relationships/hyperlink" Target="https://pgy.xiaohongshu.com/solar/pre-trade/blogger-detail/596cbf0482ec396ddbd47926?track_id=kolSimilar_ee240ed23d6f483c901224db3d45d306&amp;source=Advertiser_Similar_Kol" TargetMode="External" Id="rId345" /><Relationship Type="http://schemas.openxmlformats.org/officeDocument/2006/relationships/hyperlink" Target="https://www.xiaohongshu.com/user/profile/596cbf0482ec396ddbd47926" TargetMode="External" Id="rId346" /><Relationship Type="http://schemas.openxmlformats.org/officeDocument/2006/relationships/hyperlink" Target="https://pgy.xiaohongshu.com/solar/pre-trade/blogger-detail/5d3832c9000000001102c6f9?track_id=kolMatch_fdb844e06a244a5c8eeeea54406b4840&amp;source=Advertiser_Kol" TargetMode="External" Id="rId347" /><Relationship Type="http://schemas.openxmlformats.org/officeDocument/2006/relationships/hyperlink" Target="https://www.xiaohongshu.com/user/profile/5d3832c9000000001102c6f9" TargetMode="External" Id="rId348" /><Relationship Type="http://schemas.openxmlformats.org/officeDocument/2006/relationships/hyperlink" Target="https://pgy.xiaohongshu.com/solar/pre-trade/blogger-detail/607544bf000000000100385c?track_id=kolMatch_fdb844e06a244a5c8eeeea54406b4840&amp;source=Advertiser_Kol" TargetMode="External" Id="rId349" /><Relationship Type="http://schemas.openxmlformats.org/officeDocument/2006/relationships/hyperlink" Target="https://www.xiaohongshu.com/user/profile/607544bf000000000100385c" TargetMode="External" Id="rId350" /><Relationship Type="http://schemas.openxmlformats.org/officeDocument/2006/relationships/hyperlink" Target="https://pgy.xiaohongshu.com/solar/pre-trade/blogger-detail/60053a66000000000100b146?track_id=kolMatch_fdb844e06a244a5c8eeeea54406b4840&amp;source=Advertiser_Kol" TargetMode="External" Id="rId351" /><Relationship Type="http://schemas.openxmlformats.org/officeDocument/2006/relationships/hyperlink" Target="https://www.xiaohongshu.com/user/profile/60053a66000000000100b146" TargetMode="External" Id="rId352" /><Relationship Type="http://schemas.openxmlformats.org/officeDocument/2006/relationships/hyperlink" Target="https://pgy.xiaohongshu.com/solar/pre-trade/blogger-detail/651fede3000000002302512b?track_id=kolMatch_fdb844e06a244a5c8eeeea54406b4840&amp;source=Advertiser_Kol" TargetMode="External" Id="rId353" /><Relationship Type="http://schemas.openxmlformats.org/officeDocument/2006/relationships/hyperlink" Target="https://www.xiaohongshu.com/user/profile/651fede3000000002302512b" TargetMode="External" Id="rId354" /><Relationship Type="http://schemas.openxmlformats.org/officeDocument/2006/relationships/hyperlink" Target="https://pgy.xiaohongshu.com/solar/pre-trade/blogger-detail/5a78f60f11be1036f49b3a9c?track_id=kolMatch_a9479604e4ea49289dbb68450c585a5d&amp;source=Advertiser_Kol" TargetMode="External" Id="rId355" /><Relationship Type="http://schemas.openxmlformats.org/officeDocument/2006/relationships/hyperlink" Target="https://www.xiaohongshu.com/user/profile/5a78f60f11be1036f49b3a9c" TargetMode="External" Id="rId356" /><Relationship Type="http://schemas.openxmlformats.org/officeDocument/2006/relationships/hyperlink" Target="https://pgy.xiaohongshu.com/solar/pre-trade/blogger-detail/5ab9d78211be104a5b479602?track_id=kolMatch_a9479604e4ea49289dbb68450c585a5d&amp;source=Advertiser_Kol" TargetMode="External" Id="rId357" /><Relationship Type="http://schemas.openxmlformats.org/officeDocument/2006/relationships/hyperlink" Target="https://www.xiaohongshu.com/user/profile/5ab9d78211be104a5b479602" TargetMode="External" Id="rId358" /><Relationship Type="http://schemas.openxmlformats.org/officeDocument/2006/relationships/hyperlink" Target="https://pgy.xiaohongshu.com/solar/pre-trade/blogger-detail/5efded3000000000010008e4?track_id=kolMatch_a9479604e4ea49289dbb68450c585a5d&amp;source=Advertiser_Kol" TargetMode="External" Id="rId359" /><Relationship Type="http://schemas.openxmlformats.org/officeDocument/2006/relationships/hyperlink" Target="https://www.xiaohongshu.com/user/profile/5efded3000000000010008e4" TargetMode="External" Id="rId360" /><Relationship Type="http://schemas.openxmlformats.org/officeDocument/2006/relationships/hyperlink" Target="https://pgy.xiaohongshu.com/solar/pre-trade/blogger-detail/5c530a34000000001b016497?track_id=kolMatch_40cd66ad6c4b4d1b97e0d14dfd9f237d&amp;source=Advertiser_Kol" TargetMode="External" Id="rId361" /><Relationship Type="http://schemas.openxmlformats.org/officeDocument/2006/relationships/hyperlink" Target="https://www.xiaohongshu.com/user/profile/5c530a34000000001b016497" TargetMode="External" Id="rId362" /><Relationship Type="http://schemas.openxmlformats.org/officeDocument/2006/relationships/hyperlink" Target="https://pgy.xiaohongshu.com/solar/pre-trade/blogger-detail/5a728a8b4eacab55f4389435?track_id=kolMatch_3379071a18274cdc8b2870e8c9afb12f&amp;source=Advertiser_Kol" TargetMode="External" Id="rId363" /><Relationship Type="http://schemas.openxmlformats.org/officeDocument/2006/relationships/hyperlink" Target="https://www.xiaohongshu.com/user/profile/5a728a8b4eacab55f4389435" TargetMode="External" Id="rId364" /><Relationship Type="http://schemas.openxmlformats.org/officeDocument/2006/relationships/hyperlink" Target="https://pgy.xiaohongshu.com/solar/pre-trade/blogger-detail/6633818a0000000003033423?track_id=kolMatch_46fe864742064ddbb1a659210da654ae&amp;source=Advertiser_Kol" TargetMode="External" Id="rId365" /><Relationship Type="http://schemas.openxmlformats.org/officeDocument/2006/relationships/hyperlink" Target="https://www.xiaohongshu.com/user/profile/6633818a0000000003033423" TargetMode="External" Id="rId366" /><Relationship Type="http://schemas.openxmlformats.org/officeDocument/2006/relationships/hyperlink" Target="https://pgy.xiaohongshu.com/solar/pre-trade/blogger-detail/59e027976eea881c2e59e726?track_id=kolMatch_46fe864742064ddbb1a659210da654ae&amp;source=Advertiser_Kol" TargetMode="External" Id="rId367" /><Relationship Type="http://schemas.openxmlformats.org/officeDocument/2006/relationships/hyperlink" Target="https://www.xiaohongshu.com/user/profile/59e027976eea881c2e59e726" TargetMode="External" Id="rId368" /><Relationship Type="http://schemas.openxmlformats.org/officeDocument/2006/relationships/hyperlink" Target="https://pgy.xiaohongshu.com/solar/pre-trade/blogger-detail/591b383982ec392dc12df06a?track_id=kolMatch_46fe864742064ddbb1a659210da654ae&amp;source=Advertiser_Kol" TargetMode="External" Id="rId369" /><Relationship Type="http://schemas.openxmlformats.org/officeDocument/2006/relationships/hyperlink" Target="https://www.xiaohongshu.com/user/profile/591b383982ec392dc12df06a" TargetMode="External" Id="rId370" /><Relationship Type="http://schemas.openxmlformats.org/officeDocument/2006/relationships/hyperlink" Target="https://pgy.xiaohongshu.com/solar/pre-trade/blogger-detail/5c73e09c000000001000f675?track_id=kolMatch_46fe864742064ddbb1a659210da654ae&amp;source=Advertiser_Kol" TargetMode="External" Id="rId371" /><Relationship Type="http://schemas.openxmlformats.org/officeDocument/2006/relationships/hyperlink" Target="https://www.xiaohongshu.com/user/profile/5c73e09c000000001000f675" TargetMode="External" Id="rId372" /><Relationship Type="http://schemas.openxmlformats.org/officeDocument/2006/relationships/hyperlink" Target="https://pgy.xiaohongshu.com/solar/pre-trade/blogger-detail/672b1c1f000000001d02f480?track_id=kolMatch_bb78f6a8c2f84a72afebd917afab609b&amp;source=Advertiser_Kol" TargetMode="External" Id="rId373" /><Relationship Type="http://schemas.openxmlformats.org/officeDocument/2006/relationships/hyperlink" Target="https://www.xiaohongshu.com/user/profile/672b1c1f000000001d02f480" TargetMode="External" Id="rId374" /><Relationship Type="http://schemas.openxmlformats.org/officeDocument/2006/relationships/hyperlink" Target="https://pgy.xiaohongshu.com/solar/pre-trade/blogger-detail/5f92de7e000000000101e7fe?track_id=kolMatch_bb78f6a8c2f84a72afebd917afab609b&amp;source=Advertiser_Kol" TargetMode="External" Id="rId375" /><Relationship Type="http://schemas.openxmlformats.org/officeDocument/2006/relationships/hyperlink" Target="https://www.xiaohongshu.com/user/profile/5f92de7e000000000101e7fe" TargetMode="External" Id="rId376" /><Relationship Type="http://schemas.openxmlformats.org/officeDocument/2006/relationships/hyperlink" Target="https://pgy.xiaohongshu.com/solar/pre-trade/blogger-detail/5ade03f34eacab2ecdbedb82?track_id=kolMatch_abc92dfd537549259c52ff8cd9edfb4b&amp;source=Advertiser_Kol" TargetMode="External" Id="rId377" /><Relationship Type="http://schemas.openxmlformats.org/officeDocument/2006/relationships/hyperlink" Target="https://www.xiaohongshu.com/user/profile/5ade03f34eacab2ecdbedb82" TargetMode="External" Id="rId378" /><Relationship Type="http://schemas.openxmlformats.org/officeDocument/2006/relationships/hyperlink" Target="https://pgy.xiaohongshu.com/solar/pre-trade/blogger-detail/5b324990e8ac2b476dc5f459?track_id=kolMatch_abc92dfd537549259c52ff8cd9edfb4b&amp;source=Advertiser_Kol" TargetMode="External" Id="rId379" /><Relationship Type="http://schemas.openxmlformats.org/officeDocument/2006/relationships/hyperlink" Target="https://www.xiaohongshu.com/user/profile/5b324990e8ac2b476dc5f459" TargetMode="External" Id="rId380" /><Relationship Type="http://schemas.openxmlformats.org/officeDocument/2006/relationships/hyperlink" Target="https://pgy.xiaohongshu.com/solar/pre-trade/blogger-detail/5fae8b090000000001003092?track_id=kolMatch_1bf7af07d3cc4d45b6e9959981f2ccf8&amp;source=Advertiser_Kol" TargetMode="External" Id="rId381" /><Relationship Type="http://schemas.openxmlformats.org/officeDocument/2006/relationships/hyperlink" Target="https://www.xiaohongshu.com/user/profile/5fae8b090000000001003092" TargetMode="External" Id="rId382" /><Relationship Type="http://schemas.openxmlformats.org/officeDocument/2006/relationships/hyperlink" Target="https://pgy.xiaohongshu.com/solar/pre-trade/blogger-detail/5b86542a331e3000017cd7e1?track_id=kolMatch_fd5dc0b254194ddf9981ca4308ccea75&amp;source=Advertiser_Kol" TargetMode="External" Id="rId383" /><Relationship Type="http://schemas.openxmlformats.org/officeDocument/2006/relationships/hyperlink" Target="https://www.xiaohongshu.com/user/profile/5b86542a331e3000017cd7e1" TargetMode="External" Id="rId384" /><Relationship Type="http://schemas.openxmlformats.org/officeDocument/2006/relationships/hyperlink" Target="https://pgy.xiaohongshu.com/solar/pre-trade/blogger-detail/564e8034a40e18356b5bcf61?track_id=kolMatch_fe3e470d0e4a4b6a98af341fddff6c66&amp;source=Advertiser_Kol" TargetMode="External" Id="rId385" /><Relationship Type="http://schemas.openxmlformats.org/officeDocument/2006/relationships/hyperlink" Target="https://www.xiaohongshu.com/user/profile/564e8034a40e18356b5bcf61" TargetMode="External" Id="rId386" /><Relationship Type="http://schemas.openxmlformats.org/officeDocument/2006/relationships/hyperlink" Target="https://pgy.xiaohongshu.com/solar/pre-trade/blogger-detail/5c08b651000000000700f4e0?track_id=kolMatch_eec1ca0761ff446ab53583a2fdb0e4b0&amp;source=Advertiser_Kol" TargetMode="External" Id="rId387" /><Relationship Type="http://schemas.openxmlformats.org/officeDocument/2006/relationships/hyperlink" Target="https://www.xiaohongshu.com/user/profile/5c08b651000000000700f4e0" TargetMode="External" Id="rId388" /><Relationship Type="http://schemas.openxmlformats.org/officeDocument/2006/relationships/hyperlink" Target="https://pgy.xiaohongshu.com/solar/pre-trade/blogger-detail/590043de50c4b428effa91e0?track_id=kolMatch_7b7c2b3b4757440c87675823077c032c&amp;source=Advertiser_Kol" TargetMode="External" Id="rId389" /><Relationship Type="http://schemas.openxmlformats.org/officeDocument/2006/relationships/hyperlink" Target="https://www.xiaohongshu.com/user/profile/590043de50c4b428effa91e0" TargetMode="External" Id="rId390" /><Relationship Type="http://schemas.openxmlformats.org/officeDocument/2006/relationships/hyperlink" Target="https://pgy.xiaohongshu.com/solar/pre-trade/blogger-detail/56a4b5f61c07df3347b9fb83?track_id=kolSimilar_ac63ea3e75e040bf9bb3d28ef1decef5&amp;source=Advertiser_Similar_Kol" TargetMode="External" Id="rId391" /><Relationship Type="http://schemas.openxmlformats.org/officeDocument/2006/relationships/hyperlink" Target="https://www.xiaohongshu.com/user/profile/56a4b5f61c07df3347b9fb83" TargetMode="External" Id="rId392" /><Relationship Type="http://schemas.openxmlformats.org/officeDocument/2006/relationships/hyperlink" Target="https://pgy.xiaohongshu.com/solar/pre-trade/blogger-detail/647c3958000000000f0061aa?track_id=kolSimilar_3f22f5cf5ff1495cbda860b05232bf56&amp;source=Advertiser_Similar_Kol" TargetMode="External" Id="rId393" /><Relationship Type="http://schemas.openxmlformats.org/officeDocument/2006/relationships/hyperlink" Target="https://www.xiaohongshu.com/user/profile/647c3958000000000f0061aa" TargetMode="External" Id="rId394" /><Relationship Type="http://schemas.openxmlformats.org/officeDocument/2006/relationships/hyperlink" Target="https://pgy.xiaohongshu.com/solar/pre-trade/blogger-detail/552a0b759c5a6e4dc7df52a2?track_id=kolGeneralSearch_00c311a775f94615b3fbfb609028c7b3&amp;source=Advertiser_Kol" TargetMode="External" Id="rId395" /><Relationship Type="http://schemas.openxmlformats.org/officeDocument/2006/relationships/hyperlink" Target="https://www.xiaohongshu.com/user/profile/552a0b759c5a6e4dc7df52a2" TargetMode="External" Id="rId396" /><Relationship Type="http://schemas.openxmlformats.org/officeDocument/2006/relationships/hyperlink" Target="https://pgy.xiaohongshu.com/solar/pre-trade/blogger-detail/5d0da42c000000001200fce3?track_id=kolGeneralSearch_898220e5882741b39b65225f7342af41&amp;source=Advertiser_Kol" TargetMode="External" Id="rId397" /><Relationship Type="http://schemas.openxmlformats.org/officeDocument/2006/relationships/hyperlink" Target="https://www.xiaohongshu.com/user/profile/5d0da42c000000001200fce3" TargetMode="External" Id="rId398" /><Relationship Type="http://schemas.openxmlformats.org/officeDocument/2006/relationships/hyperlink" Target="https://pgy.xiaohongshu.com/solar/pre-trade/blogger-detail/5e6c432b0000000001008fd0?track_id=kolMatch_7b7c2b3b4757440c87675823077c032c&amp;source=Advertiser_Kol" TargetMode="External" Id="rId399" /><Relationship Type="http://schemas.openxmlformats.org/officeDocument/2006/relationships/hyperlink" Target="https://www.xiaohongshu.com/user/profile/5e6c432b0000000001008fd0" TargetMode="External" Id="rId400" /><Relationship Type="http://schemas.openxmlformats.org/officeDocument/2006/relationships/hyperlink" Target="https://pgy.xiaohongshu.com/solar/pre-trade/blogger-detail/5ac03db2e8ac2b74a11fa261?track_id=kolMatch_7b7c2b3b4757440c87675823077c032c&amp;source=Advertiser_Kol" TargetMode="External" Id="rId401" /><Relationship Type="http://schemas.openxmlformats.org/officeDocument/2006/relationships/hyperlink" Target="https://www.xiaohongshu.com/user/profile/5ac03db2e8ac2b74a11fa261" TargetMode="External" Id="rId402" /><Relationship Type="http://schemas.openxmlformats.org/officeDocument/2006/relationships/hyperlink" Target="https://pgy.xiaohongshu.com/solar/pre-trade/blogger-detail/5c87b12a0000000011017ca9?track_id=kolMatch_5782abd733964a39adc92ed29b79704b&amp;source=Advertiser_Kol" TargetMode="External" Id="rId403" /><Relationship Type="http://schemas.openxmlformats.org/officeDocument/2006/relationships/hyperlink" Target="https://www.xiaohongshu.com/user/profile/5c87b12a0000000011017ca9" TargetMode="External" Id="rId404" /><Relationship Type="http://schemas.openxmlformats.org/officeDocument/2006/relationships/hyperlink" Target="https://pgy.xiaohongshu.com/solar/pre-trade/blogger-detail/5f07169800000000010045aa?track_id=kolMatch_0b41447102ef437a939ae61516ce945b&amp;source=Advertiser_Kol" TargetMode="External" Id="rId405" /><Relationship Type="http://schemas.openxmlformats.org/officeDocument/2006/relationships/hyperlink" Target="https://www.xiaohongshu.com/user/profile/5f07169800000000010045aa" TargetMode="External" Id="rId406" /><Relationship Type="http://schemas.openxmlformats.org/officeDocument/2006/relationships/hyperlink" Target="https://pgy.xiaohongshu.com/solar/pre-trade/blogger-detail/66265f6900000000070053c4?track_id=kolMatch_457d6baf52a4441bb734b73a6c5855e5&amp;source=Advertiser_Kol" TargetMode="External" Id="rId407" /><Relationship Type="http://schemas.openxmlformats.org/officeDocument/2006/relationships/hyperlink" Target="https://www.xiaohongshu.com/user/profile/66265f6900000000070053c4" TargetMode="External" Id="rId408" /><Relationship Type="http://schemas.openxmlformats.org/officeDocument/2006/relationships/hyperlink" Target="https://pgy.xiaohongshu.com/solar/pre-trade/blogger-detail/5861c9ef5e87e72566ed50c8?track_id=kolMatch_4c05e5ef58964c39a6418794f6a5d4d7&amp;source=Advertiser_Kol" TargetMode="External" Id="rId409" /><Relationship Type="http://schemas.openxmlformats.org/officeDocument/2006/relationships/hyperlink" Target="https://www.xiaohongshu.com/user/profile/5861c9ef5e87e72566ed50c8" TargetMode="External" Id="rId410" /><Relationship Type="http://schemas.openxmlformats.org/officeDocument/2006/relationships/hyperlink" Target="https://pgy.xiaohongshu.com/solar/pre-trade/blogger-detail/5c74ac850000000010030988?track_id=kolMatch_edea3bb4b6fd4ad099d2877bdff991cf&amp;source=Advertiser_Kol" TargetMode="External" Id="rId411" /><Relationship Type="http://schemas.openxmlformats.org/officeDocument/2006/relationships/hyperlink" Target="https://www.xiaohongshu.com/user/profile/5c74ac850000000010030988" TargetMode="External" Id="rId412" /><Relationship Type="http://schemas.openxmlformats.org/officeDocument/2006/relationships/hyperlink" Target="https://pgy.xiaohongshu.com/solar/pre-trade/blogger-detail/599a4a805e87e761d13cf2ba?track_id=kolMatch_7794a23a4b764c948cf43c5fc29e5d22&amp;source=Advertiser_Kol" TargetMode="External" Id="rId413" /><Relationship Type="http://schemas.openxmlformats.org/officeDocument/2006/relationships/hyperlink" Target="https://www.xiaohongshu.com/user/profile/599a4a805e87e761d13cf2ba" TargetMode="External" Id="rId414" /><Relationship Type="http://schemas.openxmlformats.org/officeDocument/2006/relationships/hyperlink" Target="https://pgy.xiaohongshu.com/solar/pre-trade/blogger-detail/685e6c7b000000001b023509?track_id=kolMatch_457d6baf52a4441bb734b73a6c5855e5&amp;source=Advertiser_Kol" TargetMode="External" Id="rId415" /><Relationship Type="http://schemas.openxmlformats.org/officeDocument/2006/relationships/hyperlink" Target="https://www.xiaohongshu.com/user/profile/685e6c7b000000001b023509" TargetMode="External" Id="rId416" /><Relationship Type="http://schemas.openxmlformats.org/officeDocument/2006/relationships/hyperlink" Target="https://pgy.xiaohongshu.com/solar/pre-trade/blogger-detail/66f4c025000000001d0228f8?track_id=kolMatch_edea3bb4b6fd4ad099d2877bdff991cf&amp;source=Advertiser_Kol" TargetMode="External" Id="rId417" /><Relationship Type="http://schemas.openxmlformats.org/officeDocument/2006/relationships/hyperlink" Target="https://www.xiaohongshu.com/user/profile/66f4c025000000001d0228f8" TargetMode="External" Id="rId418" /><Relationship Type="http://schemas.openxmlformats.org/officeDocument/2006/relationships/hyperlink" Target="https://pgy.xiaohongshu.com/solar/pre-trade/blogger-detail/5f89b527000000000101d549?track_id=kolMatch_a949334da5764b26aef731fec9acaa55&amp;source=Advertiser_Kol" TargetMode="External" Id="rId419" /><Relationship Type="http://schemas.openxmlformats.org/officeDocument/2006/relationships/hyperlink" Target="https://www.xiaohongshu.com/user/profile/5f89b527000000000101d549" TargetMode="External" Id="rId420" /><Relationship Type="http://schemas.openxmlformats.org/officeDocument/2006/relationships/hyperlink" Target="https://pgy.xiaohongshu.com/solar/pre-trade/blogger-detail/5eb6bf7d0000000001002541?track_id=kolSearch_7b44090721e346d3b949d6978bdc634e&amp;source=Advertiser_Kol" TargetMode="External" Id="rId421" /><Relationship Type="http://schemas.openxmlformats.org/officeDocument/2006/relationships/hyperlink" Target="https://www.xiaohongshu.com/user/profile/5eb6bf7d0000000001002541" TargetMode="External" Id="rId422" /><Relationship Type="http://schemas.openxmlformats.org/officeDocument/2006/relationships/hyperlink" Target="https://pgy.xiaohongshu.com/solar/pre-trade/blogger-detail/58d525d16a6a69726f126f21?track_id=kolSimilar_5d190bf56ad5467396c3ea3be025631c&amp;source=Advertiser_Similar_Kol" TargetMode="External" Id="rId423" /><Relationship Type="http://schemas.openxmlformats.org/officeDocument/2006/relationships/hyperlink" Target="https://www.xiaohongshu.com/user/profile/58d525d16a6a69726f126f21" TargetMode="External" Id="rId424" /><Relationship Type="http://schemas.openxmlformats.org/officeDocument/2006/relationships/hyperlink" Target="https://pgy.xiaohongshu.com/solar/pre-trade/blogger-detail/5cd43cf70000000017001b7c?track_id=kolMatch_4a14a0c60b4d4048bee7746d57d4b02f&amp;source=Advertiser_Kol" TargetMode="External" Id="rId425" /><Relationship Type="http://schemas.openxmlformats.org/officeDocument/2006/relationships/hyperlink" Target="https://www.xiaohongshu.com/user/profile/5cd43cf70000000017001b7c" TargetMode="External" Id="rId426" /><Relationship Type="http://schemas.openxmlformats.org/officeDocument/2006/relationships/hyperlink" Target="https://pgy.xiaohongshu.com/solar/pre-trade/blogger-detail/583cea8482ec3903834d1155?track_id=kolSimilar_35c093b598a244f48ec5156a972b031f&amp;source=Advertiser_Similar_Kol" TargetMode="External" Id="rId427" /><Relationship Type="http://schemas.openxmlformats.org/officeDocument/2006/relationships/hyperlink" Target="https://www.xiaohongshu.com/user/profile/583cea8482ec3903834d1155" TargetMode="External" Id="rId428" /><Relationship Type="http://schemas.openxmlformats.org/officeDocument/2006/relationships/hyperlink" Target="https://pgy.xiaohongshu.com/solar/pre-trade/blogger-detail/5bafaa483b41e50001d46a45?track_id=kolMatch_a31986b59d20486ca8aec09a079f6173&amp;source=Advertiser_Kol" TargetMode="External" Id="rId429" /><Relationship Type="http://schemas.openxmlformats.org/officeDocument/2006/relationships/hyperlink" Target="https://www.xiaohongshu.com/user/profile/5bafaa483b41e50001d46a45" TargetMode="External" Id="rId430" /><Relationship Type="http://schemas.openxmlformats.org/officeDocument/2006/relationships/hyperlink" Target="https://pgy.xiaohongshu.com/solar/pre-trade/blogger-detail/609e2264000000000101fc64?track_id=kolMatch_ee700f1397bf4b59b5de209dad8c032a&amp;source=Advertiser_Kol" TargetMode="External" Id="rId431" /><Relationship Type="http://schemas.openxmlformats.org/officeDocument/2006/relationships/hyperlink" Target="https://www.xiaohongshu.com/user/profile/609e2264000000000101fc64" TargetMode="External" Id="rId432" /><Relationship Type="http://schemas.openxmlformats.org/officeDocument/2006/relationships/hyperlink" Target="https://pgy.xiaohongshu.com/solar/pre-trade/blogger-detail/575df9de50c4b413a713745e?track_id=kolMatch_ee700f1397bf4b59b5de209dad8c032a&amp;source=Advertiser_Kol" TargetMode="External" Id="rId433" /><Relationship Type="http://schemas.openxmlformats.org/officeDocument/2006/relationships/hyperlink" Target="https://www.xiaohongshu.com/user/profile/575df9de50c4b413a713745e" TargetMode="External" Id="rId434" /><Relationship Type="http://schemas.openxmlformats.org/officeDocument/2006/relationships/hyperlink" Target="https://pgy.xiaohongshu.com/solar/pre-trade/blogger-detail/5faaaa090000000001001b6d?track_id=kolMatch_ee700f1397bf4b59b5de209dad8c032a&amp;source=Advertiser_Kol" TargetMode="External" Id="rId435" /><Relationship Type="http://schemas.openxmlformats.org/officeDocument/2006/relationships/hyperlink" Target="https://www.xiaohongshu.com/user/profile/5faaaa090000000001001b6d" TargetMode="External" Id="rId436" /><Relationship Type="http://schemas.openxmlformats.org/officeDocument/2006/relationships/hyperlink" Target="https://pgy.xiaohongshu.com/solar/pre-trade/blogger-detail/5bab065edffe0d0001a261d1?track_id=kolMatch_ee700f1397bf4b59b5de209dad8c032a&amp;source=Advertiser_Kol" TargetMode="External" Id="rId437" /><Relationship Type="http://schemas.openxmlformats.org/officeDocument/2006/relationships/hyperlink" Target="https://www.xiaohongshu.com/user/profile/5bab065edffe0d0001a261d1" TargetMode="External" Id="rId438" /><Relationship Type="http://schemas.openxmlformats.org/officeDocument/2006/relationships/hyperlink" Target="https://pgy.xiaohongshu.com/solar/pre-trade/blogger-detail/65991a2e000000002001d517?track_id=kolSearch_cb79df2bfde94042bc3c04de1d561667&amp;source=Advertiser_Kol" TargetMode="External" Id="rId439" /><Relationship Type="http://schemas.openxmlformats.org/officeDocument/2006/relationships/hyperlink" Target="https://www.xiaohongshu.com/user/profile/65991a2e000000002001d517" TargetMode="External" Id="rId440" /><Relationship Type="http://schemas.openxmlformats.org/officeDocument/2006/relationships/hyperlink" Target="https://pgy.xiaohongshu.com/solar/pre-trade/blogger-detail/555148acaf81470f28e94cfc?track_id=kolSimilar_074250501ec041a685fab27019a6be70&amp;source=Advertiser_Similar_Kol" TargetMode="External" Id="rId441" /><Relationship Type="http://schemas.openxmlformats.org/officeDocument/2006/relationships/hyperlink" Target="https://www.xiaohongshu.com/user/profile/555148acaf81470f28e94cfc" TargetMode="External" Id="rId442" /><Relationship Type="http://schemas.openxmlformats.org/officeDocument/2006/relationships/hyperlink" Target="https://pgy.xiaohongshu.com/solar/pre-trade/blogger-detail/5eb150a900000000010014c3?track_id=kolMatch_fef396a6860041b3857c27d7aca547f6&amp;source=Advertiser_Kol" TargetMode="External" Id="rId443" /><Relationship Type="http://schemas.openxmlformats.org/officeDocument/2006/relationships/hyperlink" Target="https://www.xiaohongshu.com/user/profile/5eb150a900000000010014c3" TargetMode="External" Id="rId444" /><Relationship Type="http://schemas.openxmlformats.org/officeDocument/2006/relationships/hyperlink" Target="https://pgy.xiaohongshu.com/solar/pre-trade/blogger-detail/5d6e1df100000000010090d8?track_id=kolMatch_d2e79d9186d3453e91c14e722548149d&amp;source=Advertiser_Kol" TargetMode="External" Id="rId445" /><Relationship Type="http://schemas.openxmlformats.org/officeDocument/2006/relationships/hyperlink" Target="https://www.xiaohongshu.com/user/profile/5d6e1df100000000010090d8" TargetMode="External" Id="rId446" /><Relationship Type="http://schemas.openxmlformats.org/officeDocument/2006/relationships/hyperlink" Target="https://pgy.xiaohongshu.com/solar/pre-trade/blogger-detail/6042f930000000000100253e?track_id=kolSimilar_a93b327146334007b66fa5d0ee6b6b59&amp;source=Advertiser_Similar_Kol" TargetMode="External" Id="rId447" /><Relationship Type="http://schemas.openxmlformats.org/officeDocument/2006/relationships/hyperlink" Target="https://www.xiaohongshu.com/user/profile/6042f930000000000100253e" TargetMode="External" Id="rId448" /><Relationship Type="http://schemas.openxmlformats.org/officeDocument/2006/relationships/hyperlink" Target="https://pgy.xiaohongshu.com/solar/pre-trade/blogger-detail/5e857ccc000000000100bea8?track_id=kolSimilar_97e5c0938dfd461180454a0152e9f136&amp;source=Advertiser_Similar_Kol" TargetMode="External" Id="rId449" /><Relationship Type="http://schemas.openxmlformats.org/officeDocument/2006/relationships/hyperlink" Target="https://www.xiaohongshu.com/user/profile/5e857ccc000000000100bea8" TargetMode="External" Id="rId450" /><Relationship Type="http://schemas.openxmlformats.org/officeDocument/2006/relationships/hyperlink" Target="https://pgy.xiaohongshu.com/solar/pre-trade/blogger-detail/6533eae10000000006004c8a?track_id=kolSimilar_9d1e24782ccf4cc593cb6bc3ce2c1ebb&amp;source=Advertiser_Similar_Kol" TargetMode="External" Id="rId451" /><Relationship Type="http://schemas.openxmlformats.org/officeDocument/2006/relationships/hyperlink" Target="https://www.xiaohongshu.com/user/profile/6533eae10000000006004c8a" TargetMode="External" Id="rId452" /><Relationship Type="http://schemas.openxmlformats.org/officeDocument/2006/relationships/hyperlink" Target="https://pgy.xiaohongshu.com/solar/pre-trade/blogger-detail/5ab7510d4eacab45e190fdb7?track_id=kolSimilar_136422d8e85b43c0ab0a3c2e37a11918&amp;source=Advertiser_Similar_Kol" TargetMode="External" Id="rId453" /><Relationship Type="http://schemas.openxmlformats.org/officeDocument/2006/relationships/hyperlink" Target="https://www.xiaohongshu.com/user/profile/5ab7510d4eacab45e190fdb7" TargetMode="External" Id="rId454" /><Relationship Type="http://schemas.openxmlformats.org/officeDocument/2006/relationships/hyperlink" Target="https://pgy.xiaohongshu.com/solar/pre-trade/blogger-detail/5e762da20000000001001eea?track_id=kolSimilar_c397fbfd516c4c98bd1d11e120d19146&amp;source=Advertiser_Similar_Kol" TargetMode="External" Id="rId455" /><Relationship Type="http://schemas.openxmlformats.org/officeDocument/2006/relationships/hyperlink" Target="https://www.xiaohongshu.com/user/profile/5e762da20000000001001eea" TargetMode="External" Id="rId456" /><Relationship Type="http://schemas.openxmlformats.org/officeDocument/2006/relationships/hyperlink" Target="https://pgy.xiaohongshu.com/solar/pre-trade/blogger-detail/669f8435000000002401d5d7?track_id=kolMatch_2f2985a15fe94142897124decaed1ddb&amp;source=Advertiser_Kol" TargetMode="External" Id="rId457" /><Relationship Type="http://schemas.openxmlformats.org/officeDocument/2006/relationships/hyperlink" Target="https://www.xiaohongshu.com/user/profile/669f8435000000002401d5d7" TargetMode="External" Id="rId458" /><Relationship Type="http://schemas.openxmlformats.org/officeDocument/2006/relationships/hyperlink" Target="https://pgy.xiaohongshu.com/solar/pre-trade/blogger-detail/5be66dea0c8b3600019878ca?track_id=kolMatch_0f8dbf46b3f5463da17b109b7f2f5253&amp;source=Advertiser_Kol" TargetMode="External" Id="rId459" /><Relationship Type="http://schemas.openxmlformats.org/officeDocument/2006/relationships/hyperlink" Target="https://www.xiaohongshu.com/user/profile/5be66dea0c8b3600019878ca" TargetMode="External" Id="rId460" /><Relationship Type="http://schemas.openxmlformats.org/officeDocument/2006/relationships/hyperlink" Target="https://pgy.xiaohongshu.com/solar/pre-trade/blogger-detail/5d2c8a8c000000001002890b?track_id=kolSimilar_5d190bf56ad5467396c3ea3be025631c&amp;source=Advertiser_Similar_Kol" TargetMode="External" Id="rId461" /><Relationship Type="http://schemas.openxmlformats.org/officeDocument/2006/relationships/hyperlink" Target="https://www.xiaohongshu.com/user/profile/5d2c8a8c000000001002890b" TargetMode="External" Id="rId462" /><Relationship Type="http://schemas.openxmlformats.org/officeDocument/2006/relationships/hyperlink" Target="https://pgy.xiaohongshu.com/solar/pre-trade/blogger-detail/615d65760000000002018dc4?track_id=kolMatch_0e79be37b3b94b5d9f6098323fd6714f&amp;source=Advertiser_Kol" TargetMode="External" Id="rId463" /><Relationship Type="http://schemas.openxmlformats.org/officeDocument/2006/relationships/hyperlink" Target="https://www.xiaohongshu.com/user/profile/615d65760000000002018dc4" TargetMode="External" Id="rId464" /><Relationship Type="http://schemas.openxmlformats.org/officeDocument/2006/relationships/hyperlink" Target="https://pgy.xiaohongshu.com/solar/pre-trade/blogger-detail/6040e2ef0000000001002f7a?track_id=kolSimilar_5d190bf56ad5467396c3ea3be025631c&amp;source=Advertiser_Similar_Kol" TargetMode="External" Id="rId465" /><Relationship Type="http://schemas.openxmlformats.org/officeDocument/2006/relationships/hyperlink" Target="https://www.xiaohongshu.com/user/profile/6040e2ef0000000001002f7a" TargetMode="External" Id="rId466" /><Relationship Type="http://schemas.openxmlformats.org/officeDocument/2006/relationships/hyperlink" Target="https://pgy.xiaohongshu.com/solar/pre-trade/blogger-detail/54b4f08fe77989182ab592d9?track_id=kolSimilar_82279018916443299579964c26e9d272&amp;source=Advertiser_Similar_Kol" TargetMode="External" Id="rId467" /><Relationship Type="http://schemas.openxmlformats.org/officeDocument/2006/relationships/hyperlink" Target="https://www.xiaohongshu.com/user/profile/54b4f08fe77989182ab592d9" TargetMode="External" Id="rId468" /><Relationship Type="http://schemas.openxmlformats.org/officeDocument/2006/relationships/hyperlink" Target="https://pgy.xiaohongshu.com/solar/pre-trade/blogger-detail/64d4b8cf0000000001029955?track_id=kolSimilar_c51930e89c1244cfb9a89441badc35ce&amp;source=Advertiser_Similar_Kol" TargetMode="External" Id="rId469" /><Relationship Type="http://schemas.openxmlformats.org/officeDocument/2006/relationships/hyperlink" Target="https://www.xiaohongshu.com/user/profile/64d4b8cf0000000001029955" TargetMode="External" Id="rId470" /><Relationship Type="http://schemas.openxmlformats.org/officeDocument/2006/relationships/hyperlink" Target="https://pgy.xiaohongshu.com/solar/pre-trade/blogger-detail/5b1ba5326b58b728c0235cb4?track_id=kolSimilar_82279018916443299579964c26e9d272&amp;source=Advertiser_Similar_Kol" TargetMode="External" Id="rId471" /><Relationship Type="http://schemas.openxmlformats.org/officeDocument/2006/relationships/hyperlink" Target="https://www.xiaohongshu.com/user/profile/5b1ba5326b58b728c0235cb4" TargetMode="External" Id="rId472" /><Relationship Type="http://schemas.openxmlformats.org/officeDocument/2006/relationships/hyperlink" Target="https://pgy.xiaohongshu.com/solar/pre-trade/blogger-detail/5a995da811be1053efef450c?track_id=kolSimilar_82279018916443299579964c26e9d272&amp;source=Advertiser_Similar_Kol" TargetMode="External" Id="rId473" /><Relationship Type="http://schemas.openxmlformats.org/officeDocument/2006/relationships/hyperlink" Target="https://www.xiaohongshu.com/user/profile/5a995da811be1053efef450c" TargetMode="External" Id="rId474" /><Relationship Type="http://schemas.openxmlformats.org/officeDocument/2006/relationships/hyperlink" Target="https://pgy.xiaohongshu.com/solar/pre-trade/blogger-detail/63116180000000000f005d2d?track_id=kolSimilar_c51930e89c1244cfb9a89441badc35ce&amp;source=Advertiser_Similar_Kol" TargetMode="External" Id="rId475" /><Relationship Type="http://schemas.openxmlformats.org/officeDocument/2006/relationships/hyperlink" Target="https://www.xiaohongshu.com/user/profile/63116180000000000f005d2d" TargetMode="External" Id="rId476" /><Relationship Type="http://schemas.openxmlformats.org/officeDocument/2006/relationships/hyperlink" Target="https://pgy.xiaohongshu.com/solar/pre-trade/blogger-detail/6213ab75000000001000b85d?track_id=kolSimilar_82279018916443299579964c26e9d272&amp;source=Advertiser_Similar_Kol" TargetMode="External" Id="rId477" /><Relationship Type="http://schemas.openxmlformats.org/officeDocument/2006/relationships/hyperlink" Target="https://www.xiaohongshu.com/user/profile/6213ab75000000001000b85d" TargetMode="External" Id="rId478" /><Relationship Type="http://schemas.openxmlformats.org/officeDocument/2006/relationships/hyperlink" Target="https://pgy.xiaohongshu.com/solar/pre-trade/blogger-detail/6539c674000000000200e42f?track_id=kolSimilar_82279018916443299579964c26e9d272&amp;source=Advertiser_Similar_Kol" TargetMode="External" Id="rId479" /><Relationship Type="http://schemas.openxmlformats.org/officeDocument/2006/relationships/hyperlink" Target="https://www.xiaohongshu.com/user/profile/6539c674000000000200e42f" TargetMode="External" Id="rId480" /><Relationship Type="http://schemas.openxmlformats.org/officeDocument/2006/relationships/hyperlink" Target="https://pgy.xiaohongshu.com/solar/pre-trade/blogger-detail/5e31a3bc0000000001001850?track_id=kolSimilar_975e45a9e86249dcb4cc75bb3b755aca&amp;source=Advertiser_Similar_Kol" TargetMode="External" Id="rId481" /><Relationship Type="http://schemas.openxmlformats.org/officeDocument/2006/relationships/hyperlink" Target="https://www.xiaohongshu.com/user/profile/5e31a3bc0000000001001850" TargetMode="External" Id="rId482" /><Relationship Type="http://schemas.openxmlformats.org/officeDocument/2006/relationships/hyperlink" Target="https://pgy.xiaohongshu.com/solar/pre-trade/blogger-detail/645ce6a1000000001f0302d9?track_id=kolSimilar_975e45a9e86249dcb4cc75bb3b755aca&amp;source=Advertiser_Similar_Kol" TargetMode="External" Id="rId483" /><Relationship Type="http://schemas.openxmlformats.org/officeDocument/2006/relationships/hyperlink" Target="https://www.xiaohongshu.com/user/profile/645ce6a1000000001f0302d9" TargetMode="External" Id="rId484" /><Relationship Type="http://schemas.openxmlformats.org/officeDocument/2006/relationships/hyperlink" Target="https://pgy.xiaohongshu.com/solar/pre-trade/blogger-detail/60632ffe00000000010021b4?track_id=kolMatch_7c5baa0d131247c886a5c50d970a80af&amp;source=Advertiser_Kol" TargetMode="External" Id="rId485" /><Relationship Type="http://schemas.openxmlformats.org/officeDocument/2006/relationships/hyperlink" Target="https://www.xiaohongshu.com/user/profile/60632ffe00000000010021b4" TargetMode="External" Id="rId486" /><Relationship Type="http://schemas.openxmlformats.org/officeDocument/2006/relationships/hyperlink" Target="https://pgy.xiaohongshu.com/solar/pre-trade/blogger-detail/5ab7110611be10177aacc8af?track_id=kolSimilar_5d190bf56ad5467396c3ea3be025631c&amp;source=Advertiser_Similar_Kol" TargetMode="External" Id="rId487" /><Relationship Type="http://schemas.openxmlformats.org/officeDocument/2006/relationships/hyperlink" Target="https://www.xiaohongshu.com/user/profile/5ab7110611be10177aacc8af" TargetMode="External" Id="rId488" /><Relationship Type="http://schemas.openxmlformats.org/officeDocument/2006/relationships/hyperlink" Target="https://pgy.xiaohongshu.com/solar/pre-trade/blogger-detail/5cf90b4d0000000006014bd9?track_id=kolSimilar_5d190bf56ad5467396c3ea3be025631c&amp;source=Advertiser_Similar_Kol" TargetMode="External" Id="rId489" /><Relationship Type="http://schemas.openxmlformats.org/officeDocument/2006/relationships/hyperlink" Target="https://www.xiaohongshu.com/user/profile/5cf90b4d0000000006014bd9" TargetMode="External" Id="rId490" /><Relationship Type="http://schemas.openxmlformats.org/officeDocument/2006/relationships/hyperlink" Target="https://pgy.xiaohongshu.com/solar/pre-trade/blogger-detail/590ad50e82ec394188cec513?track_id=kolSimilar_345da337c4b94c33a6eb3a8d76e80a06&amp;source=Advertiser_Similar_Kol" TargetMode="External" Id="rId491" /><Relationship Type="http://schemas.openxmlformats.org/officeDocument/2006/relationships/hyperlink" Target="https://www.xiaohongshu.com/user/profile/590ad50e82ec394188cec513" TargetMode="External" Id="rId492" /><Relationship Type="http://schemas.openxmlformats.org/officeDocument/2006/relationships/hyperlink" Target="https://pgy.xiaohongshu.com/solar/pre-trade/blogger-detail/651e3f660000000002012fc8?track_id=kolSimilar_6d63581172814e19ad117e811acf255f&amp;source=Advertiser_Similar_Kol" TargetMode="External" Id="rId493" /><Relationship Type="http://schemas.openxmlformats.org/officeDocument/2006/relationships/hyperlink" Target="https://www.xiaohongshu.com/user/profile/651e3f660000000002012fc8" TargetMode="External" Id="rId494" /><Relationship Type="http://schemas.openxmlformats.org/officeDocument/2006/relationships/hyperlink" Target="https://pgy.xiaohongshu.com/solar/pre-trade/blogger-detail/5c651f88000000001203f988?track_id=kolSimilar_6d63581172814e19ad117e811acf255f&amp;source=Advertiser_Similar_Kol" TargetMode="External" Id="rId495" /><Relationship Type="http://schemas.openxmlformats.org/officeDocument/2006/relationships/hyperlink" Target="https://www.xiaohongshu.com/user/profile/5c651f88000000001203f988" TargetMode="External" Id="rId496" /><Relationship Type="http://schemas.openxmlformats.org/officeDocument/2006/relationships/hyperlink" Target="https://pgy.xiaohongshu.com/solar/pre-trade/blogger-detail/58662c8e6a6a691e3f9847d8?track_id=kolSimilar_b331772232da4749b28845c9b948aa89&amp;source=Advertiser_Similar_Kol" TargetMode="External" Id="rId497" /><Relationship Type="http://schemas.openxmlformats.org/officeDocument/2006/relationships/hyperlink" Target="https://www.xiaohongshu.com/user/profile/58662c8e6a6a691e3f9847d8" TargetMode="External" Id="rId498" /><Relationship Type="http://schemas.openxmlformats.org/officeDocument/2006/relationships/hyperlink" Target="https://pgy.xiaohongshu.com/solar/pre-trade/blogger-detail/5e7193af000000000100499c?track_id=kolSimilar_6d63581172814e19ad117e811acf255f&amp;source=Advertiser_Similar_Kol" TargetMode="External" Id="rId499" /><Relationship Type="http://schemas.openxmlformats.org/officeDocument/2006/relationships/hyperlink" Target="https://www.xiaohongshu.com/user/profile/5e7193af000000000100499c" TargetMode="External" Id="rId500" /><Relationship Type="http://schemas.openxmlformats.org/officeDocument/2006/relationships/hyperlink" Target="https://pgy.xiaohongshu.com/solar/pre-trade/blogger-detail/5bd18752618f630001e5553a?track_id=kolSimilar_87da080d850d49a3b7ea73d5c3342718&amp;source=Advertiser_Similar_Kol" TargetMode="External" Id="rId501" /><Relationship Type="http://schemas.openxmlformats.org/officeDocument/2006/relationships/hyperlink" Target="https://www.xiaohongshu.com/user/profile/5bd18752618f630001e5553a" TargetMode="External" Id="rId502" /><Relationship Type="http://schemas.openxmlformats.org/officeDocument/2006/relationships/hyperlink" Target="https://pgy.xiaohongshu.com/solar/pre-trade/blogger-detail/65f3c541000000000500f81f?track_id=kolSimilar_72c5b784cd264feb8af751992680322d&amp;source=Advertiser_Similar_Kol" TargetMode="External" Id="rId503" /><Relationship Type="http://schemas.openxmlformats.org/officeDocument/2006/relationships/hyperlink" Target="https://www.xiaohongshu.com/user/profile/65f3c541000000000500f81f" TargetMode="External" Id="rId504" /><Relationship Type="http://schemas.openxmlformats.org/officeDocument/2006/relationships/hyperlink" Target="https://pgy.xiaohongshu.com/solar/pre-trade/blogger-detail/637508de000000001f01b909?track_id=kolSimilar_c2fae1fc41a34bf09b36ced8d7925d9d&amp;source=Advertiser_Similar_Kol" TargetMode="External" Id="rId505" /><Relationship Type="http://schemas.openxmlformats.org/officeDocument/2006/relationships/hyperlink" Target="https://www.xiaohongshu.com/user/profile/637508de000000001f01b909" TargetMode="External" Id="rId506" /><Relationship Type="http://schemas.openxmlformats.org/officeDocument/2006/relationships/hyperlink" Target="https://pgy.xiaohongshu.com/solar/pre-trade/blogger-detail/5d2303fa000000001003c77a?track_id=kolSimilar_c2fae1fc41a34bf09b36ced8d7925d9d&amp;source=Advertiser_Similar_Kol" TargetMode="External" Id="rId507" /><Relationship Type="http://schemas.openxmlformats.org/officeDocument/2006/relationships/hyperlink" Target="https://www.xiaohongshu.com/user/profile/5d2303fa000000001003c77a" TargetMode="External" Id="rId508" /><Relationship Type="http://schemas.openxmlformats.org/officeDocument/2006/relationships/hyperlink" Target="https://pgy.xiaohongshu.com/solar/pre-trade/blogger-detail/627cc60b000000002102320a?track_id=kolSimilar_c2fae1fc41a34bf09b36ced8d7925d9d&amp;source=Advertiser_Similar_Kol" TargetMode="External" Id="rId509" /><Relationship Type="http://schemas.openxmlformats.org/officeDocument/2006/relationships/hyperlink" Target="https://www.xiaohongshu.com/user/profile/627cc60b000000002102320a" TargetMode="External" Id="rId510" /><Relationship Type="http://schemas.openxmlformats.org/officeDocument/2006/relationships/hyperlink" Target="https://pgy.xiaohongshu.com/solar/pre-trade/blogger-detail/6076613f0000000001007992?track_id=kolSearch_f61a3276177b4f17b645f05ef6a29f89&amp;source=Advertiser_Kol" TargetMode="External" Id="rId511" /><Relationship Type="http://schemas.openxmlformats.org/officeDocument/2006/relationships/hyperlink" Target="https://www.xiaohongshu.com/user/profile/6076613f0000000001007992" TargetMode="External" Id="rId512" /><Relationship Type="http://schemas.openxmlformats.org/officeDocument/2006/relationships/hyperlink" Target="https://pgy.xiaohongshu.com/solar/pre-trade/blogger-detail/58c287f55e87e76ec5baf8f3?track_id=kolSimilar_c2fae1fc41a34bf09b36ced8d7925d9d&amp;source=Advertiser_Similar_Kol" TargetMode="External" Id="rId513" /><Relationship Type="http://schemas.openxmlformats.org/officeDocument/2006/relationships/hyperlink" Target="https://www.xiaohongshu.com/user/profile/58c287f55e87e76ec5baf8f3" TargetMode="External" Id="rId514" /><Relationship Type="http://schemas.openxmlformats.org/officeDocument/2006/relationships/hyperlink" Target="https://pgy.xiaohongshu.com/solar/pre-trade/blogger-detail/5a3d10bd11be105c884b529f?track_id=kolSimilar_739b5d9c34e34a68aa78e0d7e1e85e59&amp;source=Advertiser_Similar_Kol" TargetMode="External" Id="rId515" /><Relationship Type="http://schemas.openxmlformats.org/officeDocument/2006/relationships/hyperlink" Target="https://www.xiaohongshu.com/user/profile/5a3d10bd11be105c884b529f" TargetMode="External" Id="rId516" /><Relationship Type="http://schemas.openxmlformats.org/officeDocument/2006/relationships/hyperlink" Target="https://pgy.xiaohongshu.com/solar/pre-trade/blogger-detail/62a06e0c000000001501c232?track_id=kolSimilar_739b5d9c34e34a68aa78e0d7e1e85e59&amp;source=Advertiser_Similar_Kol" TargetMode="External" Id="rId517" /><Relationship Type="http://schemas.openxmlformats.org/officeDocument/2006/relationships/hyperlink" Target="https://www.xiaohongshu.com/user/profile/62a06e0c000000001501c232" TargetMode="External" Id="rId518" /><Relationship Type="http://schemas.openxmlformats.org/officeDocument/2006/relationships/hyperlink" Target="https://pgy.xiaohongshu.com/solar/pre-trade/blogger-detail/5f3caef90000000001000d2d?track_id=kolSearch_9e19ad19580d4d7787b4d9e3ce5e6c73&amp;source=Advertiser_Kol" TargetMode="External" Id="rId519" /><Relationship Type="http://schemas.openxmlformats.org/officeDocument/2006/relationships/hyperlink" Target="https://www.xiaohongshu.com/user/profile/5f3caef90000000001000d2d" TargetMode="External" Id="rId520" /><Relationship Type="http://schemas.openxmlformats.org/officeDocument/2006/relationships/hyperlink" Target="https://pgy.xiaohongshu.com/solar/pre-trade/blogger-detail/5d8db657000000000100108d?track_id=kolSearch_cef2ff08171b4043902d5e59c09b7b25&amp;source=Advertiser_Kol" TargetMode="External" Id="rId521" /><Relationship Type="http://schemas.openxmlformats.org/officeDocument/2006/relationships/hyperlink" Target="https://www.xiaohongshu.com/user/profile/5d8db657000000000100108d" TargetMode="External" Id="rId522" /><Relationship Type="http://schemas.openxmlformats.org/officeDocument/2006/relationships/hyperlink" Target="https://pgy.xiaohongshu.com/solar/pre-trade/blogger-detail/5f4b96100000000001006aad?track_id=kolSearch_d6af8b34d1544f6b8d1d979f23d882b8&amp;source=Advertiser_Kol" TargetMode="External" Id="rId523" /><Relationship Type="http://schemas.openxmlformats.org/officeDocument/2006/relationships/hyperlink" Target="https://www.xiaohongshu.com/user/profile/5f4b96100000000001006aad" TargetMode="External" Id="rId524" /><Relationship Type="http://schemas.openxmlformats.org/officeDocument/2006/relationships/hyperlink" Target="https://pgy.xiaohongshu.com/solar/pre-trade/blogger-detail/60cb42130000000001001e47?track_id=kolSearch_be042ff0d1ef44b2b20a225ff74593c2&amp;source=Advertiser_Kol" TargetMode="External" Id="rId525" /><Relationship Type="http://schemas.openxmlformats.org/officeDocument/2006/relationships/hyperlink" Target="https://www.xiaohongshu.com/user/profile/60cb42130000000001001e47" TargetMode="External" Id="rId526" /><Relationship Type="http://schemas.openxmlformats.org/officeDocument/2006/relationships/hyperlink" Target="https://pgy.xiaohongshu.com/solar/pre-trade/blogger-detail/5dcebff60000000001007994?track_id=kolMatch_d9a430ccbeb14863b75ec0e4d9a743a5&amp;source=Advertiser_Kol" TargetMode="External" Id="rId527" /><Relationship Type="http://schemas.openxmlformats.org/officeDocument/2006/relationships/hyperlink" Target="https://www.xiaohongshu.com/user/profile/5dcebff60000000001007994" TargetMode="External" Id="rId528" /><Relationship Type="http://schemas.openxmlformats.org/officeDocument/2006/relationships/hyperlink" Target="https://pgy.xiaohongshu.com/solar/pre-trade/blogger-detail/63caca4b0000000026010774?track_id=kolSimilar_5c736f366a25480ead39805f849785ab&amp;source=Advertiser_Similar_Kol" TargetMode="External" Id="rId529" /><Relationship Type="http://schemas.openxmlformats.org/officeDocument/2006/relationships/hyperlink" Target="https://www.xiaohongshu.com/user/profile/63caca4b0000000026010774" TargetMode="External" Id="rId530" /><Relationship Type="http://schemas.openxmlformats.org/officeDocument/2006/relationships/hyperlink" Target="https://pgy.xiaohongshu.com/solar/pre-trade/blogger-detail/5936da3182ec39441a4dbf21?track_id=kolSimilar_ef10f70c068c4aa3ad458393fa3ef797&amp;source=Advertiser_Similar_Kol" TargetMode="External" Id="rId531" /><Relationship Type="http://schemas.openxmlformats.org/officeDocument/2006/relationships/hyperlink" Target="https://www.xiaohongshu.com/user/profile/5936da3182ec39441a4dbf21" TargetMode="External" Id="rId532" /><Relationship Type="http://schemas.openxmlformats.org/officeDocument/2006/relationships/hyperlink" Target="https://pgy.xiaohongshu.com/solar/pre-trade/blogger-detail/5a159d424eacab1d91f5e1f0?track_id=kolSimilar_ef10f70c068c4aa3ad458393fa3ef797&amp;source=Advertiser_Similar_Kol" TargetMode="External" Id="rId533" /><Relationship Type="http://schemas.openxmlformats.org/officeDocument/2006/relationships/hyperlink" Target="https://www.xiaohongshu.com/user/profile/5a159d424eacab1d91f5e1f0" TargetMode="External" Id="rId534" /><Relationship Type="http://schemas.openxmlformats.org/officeDocument/2006/relationships/hyperlink" Target="https://pgy.xiaohongshu.com/solar/pre-trade/blogger-detail/5b8b489cd081470001fc11d0?track_id=kolSimilar_70e34f12eba642109ba6977a96c6b2ca&amp;source=Advertiser_Similar_Kol" TargetMode="External" Id="rId535" /><Relationship Type="http://schemas.openxmlformats.org/officeDocument/2006/relationships/hyperlink" Target="https://www.xiaohongshu.com/user/profile/5b8b489cd081470001fc11d0" TargetMode="External" Id="rId536" /><Relationship Type="http://schemas.openxmlformats.org/officeDocument/2006/relationships/hyperlink" Target="https://pgy.xiaohongshu.com/solar/pre-trade/blogger-detail/67ed6598000000000d00a691?track_id=kolMatch_d9a430ccbeb14863b75ec0e4d9a743a5&amp;source=Advertiser_Kol" TargetMode="External" Id="rId537" /><Relationship Type="http://schemas.openxmlformats.org/officeDocument/2006/relationships/hyperlink" Target="https://www.xiaohongshu.com/user/profile/67ed6598000000000d00a691" TargetMode="External" Id="rId538" /><Relationship Type="http://schemas.openxmlformats.org/officeDocument/2006/relationships/hyperlink" Target="https://pgy.xiaohongshu.com/solar/pre-trade/blogger-detail/565890e3b8c8b44df939bb39?track_id=kolSimilar_4d8bed45e4444f76bcd5346e4ed70437&amp;source=Advertiser_Similar_Kol" TargetMode="External" Id="rId539" /><Relationship Type="http://schemas.openxmlformats.org/officeDocument/2006/relationships/hyperlink" Target="https://www.xiaohongshu.com/user/profile/565890e3b8c8b44df939bb39" TargetMode="External" Id="rId540" /><Relationship Type="http://schemas.openxmlformats.org/officeDocument/2006/relationships/hyperlink" Target="https://pgy.xiaohongshu.com/solar/pre-trade/blogger-detail/614961b2000000000202622b?track_id=kolSimilar_4d8bed45e4444f76bcd5346e4ed70437&amp;source=Advertiser_Similar_Kol" TargetMode="External" Id="rId541" /><Relationship Type="http://schemas.openxmlformats.org/officeDocument/2006/relationships/hyperlink" Target="https://www.xiaohongshu.com/user/profile/614961b2000000000202622b" TargetMode="External" Id="rId542" /><Relationship Type="http://schemas.openxmlformats.org/officeDocument/2006/relationships/hyperlink" Target="https://pgy.xiaohongshu.com/solar/pre-trade/blogger-detail/637cdcf5000000001f0162a4?track_id=kolSimilar_b77b2aa814d241eaa5acba08b309444c&amp;source=Advertiser_Similar_Kol" TargetMode="External" Id="rId543" /><Relationship Type="http://schemas.openxmlformats.org/officeDocument/2006/relationships/hyperlink" Target="https://www.xiaohongshu.com/user/profile/637cdcf5000000001f0162a4" TargetMode="External" Id="rId544" /><Relationship Type="http://schemas.openxmlformats.org/officeDocument/2006/relationships/hyperlink" Target="https://pgy.xiaohongshu.com/solar/pre-trade/blogger-detail/661ccab40000000007006cd4?track_id=kolSimilar_ef3d4d30b7d14eca8cfed2890ead0602&amp;source=Advertiser_Similar_Kol" TargetMode="External" Id="rId545" /><Relationship Type="http://schemas.openxmlformats.org/officeDocument/2006/relationships/hyperlink" Target="https://www.xiaohongshu.com/user/profile/661ccab40000000007006cd4" TargetMode="External" Id="rId546" /><Relationship Type="http://schemas.openxmlformats.org/officeDocument/2006/relationships/hyperlink" Target="https://pgy.xiaohongshu.com/solar/pre-trade/blogger-detail/65f80cd7000000000600ceb2?track_id=kolSimilar_b77b2aa814d241eaa5acba08b309444c&amp;source=Advertiser_Similar_Kol" TargetMode="External" Id="rId547" /><Relationship Type="http://schemas.openxmlformats.org/officeDocument/2006/relationships/hyperlink" Target="https://www.xiaohongshu.com/user/profile/65f80cd7000000000600ceb2" TargetMode="External" Id="rId548" /><Relationship Type="http://schemas.openxmlformats.org/officeDocument/2006/relationships/hyperlink" Target="https://pgy.xiaohongshu.com/solar/pre-trade/blogger-detail/5ed36686000000000101ce68?track_id=kolSimilar_5c736f366a25480ead39805f849785ab&amp;source=Advertiser_Similar_Kol" TargetMode="External" Id="rId549" /><Relationship Type="http://schemas.openxmlformats.org/officeDocument/2006/relationships/hyperlink" Target="https://www.xiaohongshu.com/user/profile/5ed36686000000000101ce68" TargetMode="External" Id="rId550" /><Relationship Type="http://schemas.openxmlformats.org/officeDocument/2006/relationships/hyperlink" Target="https://pgy.xiaohongshu.com/solar/pre-trade/blogger-detail/57304c9aaed7582cd5444121" TargetMode="External" Id="rId551" /><Relationship Type="http://schemas.openxmlformats.org/officeDocument/2006/relationships/hyperlink" Target="https://www.xiaohongshu.com/user/profile/57304c9aaed7582cd5444121" TargetMode="External" Id="rId552" /><Relationship Type="http://schemas.openxmlformats.org/officeDocument/2006/relationships/hyperlink" Target="https://pgy.xiaohongshu.com/solar/pre-trade/blogger-detail/682d7893000000000a03e333?track_id=kolSimilar_c7fec81938b047ddb2ce37d843ef6403&amp;source=Advertiser_Similar_Kol" TargetMode="External" Id="rId553" /><Relationship Type="http://schemas.openxmlformats.org/officeDocument/2006/relationships/hyperlink" Target="https://www.xiaohongshu.com/user/profile/682d7893000000000a03e333" TargetMode="External" Id="rId554" /><Relationship Type="http://schemas.openxmlformats.org/officeDocument/2006/relationships/hyperlink" Target="https://pgy.xiaohongshu.com/solar/pre-trade/blogger-detail/62194221000000002102a5b3?track_id=kolSimilar_0d1b58ce720847b583bbf496226450ae&amp;source=Advertiser_Similar_Kol" TargetMode="External" Id="rId555" /><Relationship Type="http://schemas.openxmlformats.org/officeDocument/2006/relationships/hyperlink" Target="https://www.xiaohongshu.com/user/profile/62194221000000002102a5b3" TargetMode="External" Id="rId556" /><Relationship Type="http://schemas.openxmlformats.org/officeDocument/2006/relationships/hyperlink" Target="https://pgy.xiaohongshu.com/solar/pre-trade/blogger-detail/5b683447c5abfc0001e56361?track_id=kolSimilar_c7fec81938b047ddb2ce37d843ef6403&amp;source=Advertiser_Similar_Kol" TargetMode="External" Id="rId557" /><Relationship Type="http://schemas.openxmlformats.org/officeDocument/2006/relationships/hyperlink" Target="https://www.xiaohongshu.com/user/profile/5b683447c5abfc0001e56361" TargetMode="External" Id="rId558" /><Relationship Type="http://schemas.openxmlformats.org/officeDocument/2006/relationships/hyperlink" Target="https://pgy.xiaohongshu.com/solar/pre-trade/blogger-detail/5622f41082718c13a27491ce?track_id=kolSimilar_c7fec81938b047ddb2ce37d843ef6403&amp;source=Advertiser_Similar_Kol" TargetMode="External" Id="rId559" /><Relationship Type="http://schemas.openxmlformats.org/officeDocument/2006/relationships/hyperlink" Target="https://www.xiaohongshu.com/user/profile/5622f41082718c13a27491ce" TargetMode="External" Id="rId560" /><Relationship Type="http://schemas.openxmlformats.org/officeDocument/2006/relationships/hyperlink" Target="https://pgy.xiaohongshu.com/solar/pre-trade/blogger-detail/57825c1b6a6a692bc38e325b?track_id=kolSimilar_ebf36afe2d864c1fb1fed00eb374202b&amp;source=Advertiser_Similar_Kol" TargetMode="External" Id="rId561" /><Relationship Type="http://schemas.openxmlformats.org/officeDocument/2006/relationships/hyperlink" Target="https://www.xiaohongshu.com/user/profile/57825c1b6a6a692bc38e325b" TargetMode="External" Id="rId562" /><Relationship Type="http://schemas.openxmlformats.org/officeDocument/2006/relationships/hyperlink" Target="https://pgy.xiaohongshu.com/solar/pre-trade/blogger-detail/5bebee905b27940001823545?track_id=kolSimilar_ebf36afe2d864c1fb1fed00eb374202b&amp;source=Advertiser_Similar_Kol" TargetMode="External" Id="rId563" /><Relationship Type="http://schemas.openxmlformats.org/officeDocument/2006/relationships/hyperlink" Target="https://www.xiaohongshu.com/user/profile/5bebee905b27940001823545" TargetMode="External" Id="rId564" /><Relationship Type="http://schemas.openxmlformats.org/officeDocument/2006/relationships/hyperlink" Target="https://pgy.xiaohongshu.com/solar/pre-trade/blogger-detail/6683906a000000000b030c3d?track_id=kolSimilar_0d1b58ce720847b583bbf496226450ae&amp;source=Advertiser_Similar_Kol" TargetMode="External" Id="rId565" /><Relationship Type="http://schemas.openxmlformats.org/officeDocument/2006/relationships/hyperlink" Target="https://www.xiaohongshu.com/user/profile/6683906a000000000b030c3d" TargetMode="External" Id="rId566" /><Relationship Type="http://schemas.openxmlformats.org/officeDocument/2006/relationships/hyperlink" Target="https://pgy.xiaohongshu.com/solar/pre-trade/blogger-detail/5e5ce9a60000000001009905?track_id=kolSimilar_ebf36afe2d864c1fb1fed00eb374202b&amp;source=Advertiser_Similar_Kol" TargetMode="External" Id="rId567" /><Relationship Type="http://schemas.openxmlformats.org/officeDocument/2006/relationships/hyperlink" Target="https://www.xiaohongshu.com/user/profile/5e5ce9a60000000001009905" TargetMode="External" Id="rId568" /><Relationship Type="http://schemas.openxmlformats.org/officeDocument/2006/relationships/hyperlink" Target="https://pgy.xiaohongshu.com/solar/pre-trade/blogger-detail/5b07a0a211be102b2b759500?track_id=kolSimilar_070ec85889024adf8a796595295e28eb&amp;source=Advertiser_Similar_Kol" TargetMode="External" Id="rId569" /><Relationship Type="http://schemas.openxmlformats.org/officeDocument/2006/relationships/hyperlink" Target="https://www.xiaohongshu.com/user/profile/5b07a0a211be102b2b759500" TargetMode="External" Id="rId570" /><Relationship Type="http://schemas.openxmlformats.org/officeDocument/2006/relationships/hyperlink" Target="https://pgy.xiaohongshu.com/solar/pre-trade/blogger-detail/603073e5000000000100434c?track_id=kolSimilar_bc8e8121ec084e3c97b3f06b6c0de663&amp;source=Advertiser_Similar_Kol" TargetMode="External" Id="rId571" /><Relationship Type="http://schemas.openxmlformats.org/officeDocument/2006/relationships/hyperlink" Target="https://www.xiaohongshu.com/user/profile/603073e5000000000100434c" TargetMode="External" Id="rId572" /><Relationship Type="http://schemas.openxmlformats.org/officeDocument/2006/relationships/hyperlink" Target="https://pgy.xiaohongshu.com/solar/pre-trade/blogger-detail/623fa90c000000002102b6b2?track_id=kolSimilar_c397fbfd516c4c98bd1d11e120d19146&amp;source=Advertiser_Similar_Kol" TargetMode="External" Id="rId573" /><Relationship Type="http://schemas.openxmlformats.org/officeDocument/2006/relationships/hyperlink" Target="https://www.xiaohongshu.com/user/profile/623fa90c000000002102b6b2" TargetMode="External" Id="rId574" /><Relationship Type="http://schemas.openxmlformats.org/officeDocument/2006/relationships/hyperlink" Target="https://pgy.xiaohongshu.com/solar/pre-trade/blogger-detail/5a8c16b94eacab718b4efec1?track_id=kolSearch_dd97aa6a9e4140818d6885eb41cc49df&amp;source=Advertiser_Kol" TargetMode="External" Id="rId575" /><Relationship Type="http://schemas.openxmlformats.org/officeDocument/2006/relationships/hyperlink" Target="https://www.xiaohongshu.com/user/profile/5a8c16b94eacab718b4efec1" TargetMode="External" Id="rId576" /><Relationship Type="http://schemas.openxmlformats.org/officeDocument/2006/relationships/hyperlink" Target="https://pgy.xiaohongshu.com/solar/pre-trade/blogger-detail/5c7ea1aa000000001602a180?track_id=kolSimilar_b9d75b67b52f40eeb5bca2c8a3f09093&amp;source=Advertiser_Similar_Kol" TargetMode="External" Id="rId577" /><Relationship Type="http://schemas.openxmlformats.org/officeDocument/2006/relationships/hyperlink" Target="https://www.xiaohongshu.com/user/profile/5c7ea1aa000000001602a180" TargetMode="External" Id="rId578" /><Relationship Type="http://schemas.openxmlformats.org/officeDocument/2006/relationships/hyperlink" Target="https://pgy.xiaohongshu.com/solar/pre-trade/blogger-detail/650a7a41000000000200f029?track_id=kolSimilar_b9d75b67b52f40eeb5bca2c8a3f09093&amp;source=Advertiser_Similar_Kol" TargetMode="External" Id="rId579" /><Relationship Type="http://schemas.openxmlformats.org/officeDocument/2006/relationships/hyperlink" Target="https://www.xiaohongshu.com/user/profile/650a7a41000000000200f029" TargetMode="External" Id="rId580" /><Relationship Type="http://schemas.openxmlformats.org/officeDocument/2006/relationships/hyperlink" Target="https://pgy.xiaohongshu.com/solar/pre-trade/blogger-detail/58ebdd8a6a6a696bff3e7836?track_id=kolMatch_9ab907c8fa474419b6b42ea44a7ef03b&amp;source=Advertiser_Kol" TargetMode="External" Id="rId581" /><Relationship Type="http://schemas.openxmlformats.org/officeDocument/2006/relationships/hyperlink" Target="https://www.xiaohongshu.com/user/profile/58ebdd8a6a6a696bff3e7836" TargetMode="External" Id="rId582" /><Relationship Type="http://schemas.openxmlformats.org/officeDocument/2006/relationships/hyperlink" Target="https://pgy.xiaohongshu.com/solar/pre-trade/blogger-detail/58bbb4c05e87e73fcfe47ae8?track_id=kolMatch_665beeb609e34ef3b4191997af19c313&amp;source=Advertiser_Kol" TargetMode="External" Id="rId583" /><Relationship Type="http://schemas.openxmlformats.org/officeDocument/2006/relationships/hyperlink" Target="https://www.xiaohongshu.com/user/profile/58bbb4c05e87e73fcfe47ae8" TargetMode="External" Id="rId584" /><Relationship Type="http://schemas.openxmlformats.org/officeDocument/2006/relationships/hyperlink" Target="https://pgy.xiaohongshu.com/solar/pre-trade/blogger-detail/67e681cb000000000a03c126?track_id=kolMatch_3687438110cb47e394ac6fddd2e15179&amp;source=Advertiser_Kol" TargetMode="External" Id="rId585" /><Relationship Type="http://schemas.openxmlformats.org/officeDocument/2006/relationships/hyperlink" Target="https://www.xiaohongshu.com/user/profile/67e681cb000000000a03c126" TargetMode="External" Id="rId586" /><Relationship Type="http://schemas.openxmlformats.org/officeDocument/2006/relationships/hyperlink" Target="https://pgy.xiaohongshu.com/solar/pre-trade/blogger-detail/6565825b000000003c01e9e2?track_id=kolMatch_e60d689fa57840d69eb5287816e5a318&amp;source=Advertiser_Kol" TargetMode="External" Id="rId587" /><Relationship Type="http://schemas.openxmlformats.org/officeDocument/2006/relationships/hyperlink" Target="https://www.xiaohongshu.com/user/profile/6565825b000000003c01e9e2" TargetMode="External" Id="rId588" /><Relationship Type="http://schemas.openxmlformats.org/officeDocument/2006/relationships/hyperlink" Target="https://pgy.xiaohongshu.com/solar/pre-trade/blogger-detail/55d1d96de4b1cf26b61d65a5?track_id=kolMatch_4b52f038803f4a02be23dc8211d4b654&amp;source=Advertiser_Kol" TargetMode="External" Id="rId589" /><Relationship Type="http://schemas.openxmlformats.org/officeDocument/2006/relationships/hyperlink" Target="https://www.xiaohongshu.com/user/profile/55d1d96de4b1cf26b61d65a5" TargetMode="External" Id="rId590" /><Relationship Type="http://schemas.openxmlformats.org/officeDocument/2006/relationships/hyperlink" Target="https://pgy.xiaohongshu.com/solar/pre-trade/blogger-detail/6062e7fc0000000001002502?track_id=kolSearch_40a9719a6f304e15b1a3030835f06ba5&amp;source=Advertiser_Kol" TargetMode="External" Id="rId591" /><Relationship Type="http://schemas.openxmlformats.org/officeDocument/2006/relationships/hyperlink" Target="https://www.xiaohongshu.com/user/profile/6062e7fc0000000001002502" TargetMode="External" Id="rId592" /><Relationship Type="http://schemas.openxmlformats.org/officeDocument/2006/relationships/hyperlink" Target="https://pgy.xiaohongshu.com/solar/pre-trade/blogger-detail/566e6e85b8ce1a6858474bf9?track_id=kolMatch_561d44a7a4d04465b9ce2a35cf09d095&amp;source=Advertiser_Kol" TargetMode="External" Id="rId593" /><Relationship Type="http://schemas.openxmlformats.org/officeDocument/2006/relationships/hyperlink" Target="https://www.xiaohongshu.com/user/profile/566e6e85b8ce1a6858474bf9" TargetMode="External" Id="rId594" /><Relationship Type="http://schemas.openxmlformats.org/officeDocument/2006/relationships/hyperlink" Target="https://pgy.xiaohongshu.com/solar/pre-trade/blogger-detail/60bf99fc0000000001000029?track_id=kolMatch_e60d689fa57840d69eb5287816e5a318&amp;source=Advertiser_Kol" TargetMode="External" Id="rId595" /><Relationship Type="http://schemas.openxmlformats.org/officeDocument/2006/relationships/hyperlink" Target="https://www.xiaohongshu.com/user/profile/60bf99fc0000000001000029" TargetMode="External" Id="rId596" /><Relationship Type="http://schemas.openxmlformats.org/officeDocument/2006/relationships/hyperlink" Target="https://pgy.xiaohongshu.com/solar/pre-trade/blogger-detail/5eb7ee6f0000000001007511?track_id=kolMatch_1a11f3efb5774eb1b9b83dc13e830a48&amp;source=Advertiser_Kol" TargetMode="External" Id="rId597" /><Relationship Type="http://schemas.openxmlformats.org/officeDocument/2006/relationships/hyperlink" Target="https://www.xiaohongshu.com/user/profile/5eb7ee6f0000000001007511" TargetMode="External" Id="rId598" /><Relationship Type="http://schemas.openxmlformats.org/officeDocument/2006/relationships/hyperlink" Target="https://pgy.xiaohongshu.com/solar/pre-trade/blogger-detail/5ed9bb28000000000101f1b9?track_id=kolSimilar_cca0c4108bb14333a2a379e15ea390fa&amp;source=Advertiser_Similar_Kol" TargetMode="External" Id="rId599" /><Relationship Type="http://schemas.openxmlformats.org/officeDocument/2006/relationships/hyperlink" Target="https://www.xiaohongshu.com/user/profile/5ed9bb28000000000101f1b9" TargetMode="External" Id="rId600" /><Relationship Type="http://schemas.openxmlformats.org/officeDocument/2006/relationships/hyperlink" Target="https://pgy.xiaohongshu.com/solar/pre-trade/blogger-detail/5657ed837c5bb8258f1dbb45?track_id=kolSimilar_645af52923a64011b6e7e94caf85bb98&amp;source=Advertiser_Similar_Kol" TargetMode="External" Id="rId601" /><Relationship Type="http://schemas.openxmlformats.org/officeDocument/2006/relationships/hyperlink" Target="https://www.xiaohongshu.com/user/profile/5657ed837c5bb8258f1dbb45" TargetMode="External" Id="rId602" /><Relationship Type="http://schemas.openxmlformats.org/officeDocument/2006/relationships/hyperlink" Target="https://pgy.xiaohongshu.com/solar/pre-trade/blogger-detail/666e57880000000003032e41?track_id=kolMatch_7cf9b93a44b44a6cb5cae99c838dc678&amp;source=Advertiser_Kol" TargetMode="External" Id="rId603" /><Relationship Type="http://schemas.openxmlformats.org/officeDocument/2006/relationships/hyperlink" Target="https://www.xiaohongshu.com/user/profile/666e57880000000003032e41" TargetMode="External" Id="rId604" /><Relationship Type="http://schemas.openxmlformats.org/officeDocument/2006/relationships/hyperlink" Target="https://pgy.xiaohongshu.com/solar/pre-trade/blogger-detail/65e87ae200000000050088cf?track_id=kolMatch_1bf7af07d3cc4d45b6e9959981f2ccf8&amp;source=Advertiser_Kol" TargetMode="External" Id="rId605" /><Relationship Type="http://schemas.openxmlformats.org/officeDocument/2006/relationships/hyperlink" Target="https://www.xiaohongshu.com/user/profile/65e87ae200000000050088cf" TargetMode="External" Id="rId606" /><Relationship Type="http://schemas.openxmlformats.org/officeDocument/2006/relationships/hyperlink" Target="https://pgy.xiaohongshu.com/solar/pre-trade/blogger-detail/67fa31470000000010025e19?track_id=kolSimilar_e04cc496a1604aa6bf9fd005d8528631&amp;source=Advertiser_Similar_Kol" TargetMode="External" Id="rId607" /><Relationship Type="http://schemas.openxmlformats.org/officeDocument/2006/relationships/hyperlink" Target="https://www.xiaohongshu.com/user/profile/67fa31470000000010025e19" TargetMode="External" Id="rId608" /><Relationship Type="http://schemas.openxmlformats.org/officeDocument/2006/relationships/hyperlink" Target="https://pgy.xiaohongshu.com/solar/pre-trade/blogger-detail/59b1728f5e87e74ae7153032?track_id=kolSimilar_e04cc496a1604aa6bf9fd005d8528631&amp;source=Advertiser_Similar_Kol" TargetMode="External" Id="rId609" /><Relationship Type="http://schemas.openxmlformats.org/officeDocument/2006/relationships/hyperlink" Target="https://www.xiaohongshu.com/user/profile/59b1728f5e87e74ae7153032" TargetMode="External" Id="rId610" /><Relationship Type="http://schemas.openxmlformats.org/officeDocument/2006/relationships/hyperlink" Target="https://pgy.xiaohongshu.com/solar/pre-trade/blogger-detail/64eb24e200000000010114a4?track_id=kolMatch_36b2e3c1ae7a4f13ba44b212481296f2&amp;source=Advertiser_Kol" TargetMode="External" Id="rId611" /><Relationship Type="http://schemas.openxmlformats.org/officeDocument/2006/relationships/hyperlink" Target="https://www.xiaohongshu.com/user/profile/64eb24e200000000010114a4" TargetMode="External" Id="rId612" /><Relationship Type="http://schemas.openxmlformats.org/officeDocument/2006/relationships/hyperlink" Target="https://pgy.xiaohongshu.com/solar/pre-trade/blogger-detail/6550babc000000000802d4c5?track_id=kolMatch_096c2c2c84f4471c87b8bfa424508080&amp;source=Advertiser_Kol" TargetMode="External" Id="rId613" /><Relationship Type="http://schemas.openxmlformats.org/officeDocument/2006/relationships/hyperlink" Target="https://www.xiaohongshu.com/user/profile/6550babc000000000802d4c5" TargetMode="External" Id="rId614" /><Relationship Type="http://schemas.openxmlformats.org/officeDocument/2006/relationships/hyperlink" Target="https://pgy.xiaohongshu.com/solar/pre-trade/blogger-detail/63b3c73d0000000027028c8d?track_id=kolMatch_096c2c2c84f4471c87b8bfa424508080&amp;source=Advertiser_Kol" TargetMode="External" Id="rId615" /><Relationship Type="http://schemas.openxmlformats.org/officeDocument/2006/relationships/hyperlink" Target="https://www.xiaohongshu.com/user/profile/63b3c73d0000000027028c8d" TargetMode="External" Id="rId616" /><Relationship Type="http://schemas.openxmlformats.org/officeDocument/2006/relationships/hyperlink" Target="https://pgy.xiaohongshu.com/solar/pre-trade/blogger-detail/5aeb01e54eacab19fa539f31?track_id=kolMatch_77ab434ac52e48d683826de0677ff400&amp;source=Advertiser_Kol" TargetMode="External" Id="rId617" /><Relationship Type="http://schemas.openxmlformats.org/officeDocument/2006/relationships/hyperlink" Target="https://www.xiaohongshu.com/user/profile/5aeb01e54eacab19fa539f31" TargetMode="External" Id="rId618" /><Relationship Type="http://schemas.openxmlformats.org/officeDocument/2006/relationships/hyperlink" Target="https://pgy.xiaohongshu.com/solar/pre-trade/blogger-detail/6682180c00000000030306fe?track_id=kolMatch_e5fc2a871a21406f92289669b784bc38&amp;source=Advertiser_Kol" TargetMode="External" Id="rId619" /><Relationship Type="http://schemas.openxmlformats.org/officeDocument/2006/relationships/hyperlink" Target="https://www.xiaohongshu.com/user/profile/6682180c00000000030306fe" TargetMode="External" Id="rId620" /><Relationship Type="http://schemas.openxmlformats.org/officeDocument/2006/relationships/hyperlink" Target="https://pgy.xiaohongshu.com/solar/pre-trade/blogger-detail/5cf3d38f0000000005035b2c?track_id=kolMatch_36b2e3c1ae7a4f13ba44b212481296f2&amp;source=Advertiser_Kol" TargetMode="External" Id="rId621" /><Relationship Type="http://schemas.openxmlformats.org/officeDocument/2006/relationships/hyperlink" Target="https://www.xiaohongshu.com/user/profile/5cf3d38f0000000005035b2c" TargetMode="External" Id="rId622" /><Relationship Type="http://schemas.openxmlformats.org/officeDocument/2006/relationships/hyperlink" Target="https://pgy.xiaohongshu.com/solar/pre-trade/blogger-detail/5b504f6e11be105d6c4b5eec?track_id=kolMatch_49aee212e05e40c7a430eaa9a9c9985f&amp;source=Advertiser_Kol" TargetMode="External" Id="rId623" /><Relationship Type="http://schemas.openxmlformats.org/officeDocument/2006/relationships/hyperlink" Target="https://www.xiaohongshu.com/user/profile/5b504f6e11be105d6c4b5eec" TargetMode="External" Id="rId624" /><Relationship Type="http://schemas.openxmlformats.org/officeDocument/2006/relationships/hyperlink" Target="https://pgy.xiaohongshu.com/solar/pre-trade/blogger-detail/6125a7530000000001005d8b?track_id=kolMatch_49aee212e05e40c7a430eaa9a9c9985f&amp;source=Advertiser_Kol" TargetMode="External" Id="rId625" /><Relationship Type="http://schemas.openxmlformats.org/officeDocument/2006/relationships/hyperlink" Target="https://www.xiaohongshu.com/user/profile/6125a7530000000001005d8b" TargetMode="External" Id="rId626" /><Relationship Type="http://schemas.openxmlformats.org/officeDocument/2006/relationships/hyperlink" Target="https://pgy.xiaohongshu.com/solar/pre-trade/blogger-detail/5725e93e82ec3923a4faea24?track_id=kolMatch_ae946d7824954535874d7f1802b69fd0&amp;source=Advertiser_Kol" TargetMode="External" Id="rId627" /><Relationship Type="http://schemas.openxmlformats.org/officeDocument/2006/relationships/hyperlink" Target="https://www.xiaohongshu.com/user/profile/5725e93e82ec3923a4faea24" TargetMode="External" Id="rId628" /><Relationship Type="http://schemas.openxmlformats.org/officeDocument/2006/relationships/hyperlink" Target="https://pgy.xiaohongshu.com/solar/pre-trade/blogger-detail/55cffbc45894467d469a4a9f?track_id=kolMatch_ae946d7824954535874d7f1802b69fd0&amp;source=Advertiser_Kol" TargetMode="External" Id="rId629" /><Relationship Type="http://schemas.openxmlformats.org/officeDocument/2006/relationships/hyperlink" Target="https://www.xiaohongshu.com/user/profile/55cffbc45894467d469a4a9f" TargetMode="External" Id="rId630" /><Relationship Type="http://schemas.openxmlformats.org/officeDocument/2006/relationships/hyperlink" Target="https://pgy.xiaohongshu.com/solar/pre-trade/blogger-detail/5d2f5781000000001102d77a?track_id=kolMatch_7038bb23ff424f69a45ae247ee0a18b7&amp;source=Advertiser_Kol" TargetMode="External" Id="rId631" /><Relationship Type="http://schemas.openxmlformats.org/officeDocument/2006/relationships/hyperlink" Target="https://www.xiaohongshu.com/user/profile/5d2f5781000000001102d77a" TargetMode="External" Id="rId632" /><Relationship Type="http://schemas.openxmlformats.org/officeDocument/2006/relationships/hyperlink" Target="https://pgy.xiaohongshu.com/solar/pre-trade/blogger-detail/6507b30400000000170222db?track_id=kolMatch_fff06c7694834daa975199c074ea99e6&amp;source=Advertiser_Kol" TargetMode="External" Id="rId633" /><Relationship Type="http://schemas.openxmlformats.org/officeDocument/2006/relationships/hyperlink" Target="https://www.xiaohongshu.com/user/profile/6507b30400000000170222db" TargetMode="External" Id="rId634" /><Relationship Type="http://schemas.openxmlformats.org/officeDocument/2006/relationships/hyperlink" Target="https://pgy.xiaohongshu.com/solar/pre-trade/blogger-detail/65713dbc000000001902c807?track_id=kolMatch_fff06c7694834daa975199c074ea99e6&amp;source=Advertiser_Kol" TargetMode="External" Id="rId635" /><Relationship Type="http://schemas.openxmlformats.org/officeDocument/2006/relationships/hyperlink" Target="https://www.xiaohongshu.com/user/profile/65713dbc000000001902c807" TargetMode="External" Id="rId636" /><Relationship Type="http://schemas.openxmlformats.org/officeDocument/2006/relationships/hyperlink" Target="https://pgy.xiaohongshu.com/solar/pre-trade/blogger-detail/62bfde38000000001b0266ce?track_id=kolMatch_51c4efee50e349f585b665b2d89c9ab7&amp;source=Advertiser_Kol" TargetMode="External" Id="rId637" /><Relationship Type="http://schemas.openxmlformats.org/officeDocument/2006/relationships/hyperlink" Target="https://www.xiaohongshu.com/user/profile/62bfde38000000001b0266ce" TargetMode="External" Id="rId638" /><Relationship Type="http://schemas.openxmlformats.org/officeDocument/2006/relationships/hyperlink" Target="https://pgy.xiaohongshu.com/solar/pre-trade/blogger-detail/5d2dfae1000000001601d10d?track_id=kolSimilar_0b85449c395d45ac83a12330ca553281&amp;source=Advertiser_Kol" TargetMode="External" Id="rId639" /><Relationship Type="http://schemas.openxmlformats.org/officeDocument/2006/relationships/hyperlink" Target="https://www.xiaohongshu.com/user/profile/5d2dfae1000000001601d10d" TargetMode="External" Id="rId640" /><Relationship Type="http://schemas.openxmlformats.org/officeDocument/2006/relationships/hyperlink" Target="https://pgy.xiaohongshu.com/solar/pre-trade/blogger-detail/621997ed0000000002024973?track_id=kolMatch_edea3bb4b6fd4ad099d2877bdff991cf&amp;source=Advertiser_Kol" TargetMode="External" Id="rId641" /><Relationship Type="http://schemas.openxmlformats.org/officeDocument/2006/relationships/hyperlink" Target="https://www.xiaohongshu.com/explore/6981f863000000000b00a634?xsec_token=MB5AH61CH-QFKBlV0Wja-h1FqygD0a-Y-1zyDo8J-qCPY=&amp;xsec_source=pc_pgy" TargetMode="External" Id="rId642" /><Relationship Type="http://schemas.openxmlformats.org/officeDocument/2006/relationships/hyperlink" Target="https://pgy.xiaohongshu.com/solar/pre-trade/blogger-detail/6777d88500000000180145f1?track_id=kolMatch_8f8850001ca14de6b97f58a2f1ce423c&amp;source=Advertiser_Kol" TargetMode="External" Id="rId643" /><Relationship Type="http://schemas.openxmlformats.org/officeDocument/2006/relationships/hyperlink" Target="https://www.xiaohongshu.com/user/profile/6777d88500000000180145f1" TargetMode="External" Id="rId644" /><Relationship Type="http://schemas.openxmlformats.org/officeDocument/2006/relationships/hyperlink" Target="https://pgy.xiaohongshu.com/solar/pre-trade/blogger-detail/65dcc83e000000001701b3f2?track_id=kolSimilar_0da02a891023492787a43ec08334918d&amp;source=Advertiser_Similar_Kol" TargetMode="External" Id="rId645" /><Relationship Type="http://schemas.openxmlformats.org/officeDocument/2006/relationships/hyperlink" Target="https://www.xiaohongshu.com/user/profile/65dcc83e000000001701b3f2" TargetMode="External" Id="rId646" /><Relationship Type="http://schemas.openxmlformats.org/officeDocument/2006/relationships/hyperlink" Target="https://pgy.xiaohongshu.com/solar/pre-trade/blogger-detail/5a73ecf411be1061dd115524?track_id=kolSimilar_0da02a891023492787a43ec08334918d&amp;source=Advertiser_Similar_Kol" TargetMode="External" Id="rId647" /><Relationship Type="http://schemas.openxmlformats.org/officeDocument/2006/relationships/hyperlink" Target="https://www.xiaohongshu.com/user/profile/5a73ecf411be1061dd115524" TargetMode="External" Id="rId648" /><Relationship Type="http://schemas.openxmlformats.org/officeDocument/2006/relationships/hyperlink" Target="https://pgy.xiaohongshu.com/solar/pre-trade/blogger-detail/63b00fc300000000260136c7?track_id=kolSimilar_37297718eba34e2fb25841b3aebf02cf&amp;source=Advertiser_Similar_Kol" TargetMode="External" Id="rId649" /><Relationship Type="http://schemas.openxmlformats.org/officeDocument/2006/relationships/hyperlink" Target="https://www.xiaohongshu.com/user/profile/63b00fc300000000260136c7" TargetMode="External" Id="rId650" /><Relationship Type="http://schemas.openxmlformats.org/officeDocument/2006/relationships/hyperlink" Target="https://pgy.xiaohongshu.com/solar/pre-trade/blogger-detail/643037cd000000001201248a?track_id=kolSimilar_37297718eba34e2fb25841b3aebf02cf&amp;source=Advertiser_Similar_Kol" TargetMode="External" Id="rId651" /><Relationship Type="http://schemas.openxmlformats.org/officeDocument/2006/relationships/hyperlink" Target="https://www.xiaohongshu.com/user/profile/643037cd000000001201248a" TargetMode="External" Id="rId652" /><Relationship Type="http://schemas.openxmlformats.org/officeDocument/2006/relationships/hyperlink" Target="https://pgy.xiaohongshu.com/solar/pre-trade/blogger-detail/64321d92000000000d0190e3?track_id=kolSimilar_6cfcc1edfb554f4f8df8852cbd7a16ec&amp;source=Advertiser_Similar_Kol" TargetMode="External" Id="rId653" /><Relationship Type="http://schemas.openxmlformats.org/officeDocument/2006/relationships/hyperlink" Target="https://www.xiaohongshu.com/user/profile/64321d92000000000d0190e3" TargetMode="External" Id="rId654" /><Relationship Type="http://schemas.openxmlformats.org/officeDocument/2006/relationships/hyperlink" Target="https://pgy.xiaohongshu.com/solar/pre-trade/blogger-detail/580f309a7fc5b809c027abe0?track_id=kolSimilar_85fc24a35b514ed8a55c762eca935da3&amp;source=Advertiser_Similar_Kol" TargetMode="External" Id="rId655" /><Relationship Type="http://schemas.openxmlformats.org/officeDocument/2006/relationships/hyperlink" Target="https://www.xiaohongshu.com/user/profile/580f309a7fc5b809c027abe0" TargetMode="External" Id="rId656" /><Relationship Type="http://schemas.openxmlformats.org/officeDocument/2006/relationships/hyperlink" Target="https://pgy.xiaohongshu.com/solar/pre-trade/blogger-detail/54b66e932e1d9379c959590b?track_id=kolSimilar_69efdbcbc8e74378a199e856df4b41fc&amp;source=Advertiser_Similar_Kol" TargetMode="External" Id="rId657" /><Relationship Type="http://schemas.openxmlformats.org/officeDocument/2006/relationships/hyperlink" Target="https://www.xiaohongshu.com/user/profile/54b66e932e1d9379c959590b" TargetMode="External" Id="rId658" /><Relationship Type="http://schemas.openxmlformats.org/officeDocument/2006/relationships/hyperlink" Target="https://pgy.xiaohongshu.com/solar/pre-trade/blogger-detail/580068ec6a6a69271c9037f4?track_id=kolMatch_ca517d14f29849daa4ce6e4ec363f7fc&amp;source=Advertiser_Kol" TargetMode="External" Id="rId659" /><Relationship Type="http://schemas.openxmlformats.org/officeDocument/2006/relationships/hyperlink" Target="https://www.xiaohongshu.com/user/profile/580068ec6a6a69271c9037f4" TargetMode="External" Id="rId660" /><Relationship Type="http://schemas.openxmlformats.org/officeDocument/2006/relationships/hyperlink" Target="https://pgy.xiaohongshu.com/solar/pre-trade/blogger-detail/54efdf3bb4c4d663474f0beb?track_id=kolMatch_ca517d14f29849daa4ce6e4ec363f7fc&amp;source=Advertiser_Kol" TargetMode="External" Id="rId661" /><Relationship Type="http://schemas.openxmlformats.org/officeDocument/2006/relationships/hyperlink" Target="https://www.xiaohongshu.com/user/profile/54efdf3bb4c4d663474f0beb" TargetMode="External" Id="rId662" /><Relationship Type="http://schemas.openxmlformats.org/officeDocument/2006/relationships/hyperlink" Target="https://pgy.xiaohongshu.com/solar/pre-trade/blogger-detail/5faa8ecd000000000101daa4?track_id=kolGeneralSearch_e9dee322837b46648099a31bafc0bad2&amp;source=Advertiser_Kol" TargetMode="External" Id="rId663" /><Relationship Type="http://schemas.openxmlformats.org/officeDocument/2006/relationships/hyperlink" Target="https://www.xiaohongshu.com/user/profile/5faa8ecd000000000101daa4" TargetMode="External" Id="rId664" /><Relationship Type="http://schemas.openxmlformats.org/officeDocument/2006/relationships/hyperlink" Target="https://pgy.xiaohongshu.com/solar/pre-trade/blogger-detail/659ba8d0000000002200793b?track_id=kolSearch_6ccc31e880644eafb66dd525a86d4738&amp;source=Advertiser_Kol" TargetMode="External" Id="rId665" /><Relationship Type="http://schemas.openxmlformats.org/officeDocument/2006/relationships/hyperlink" Target="https://www.xiaohongshu.com/user/profile/659ba8d0000000002200793b" TargetMode="External" Id="rId666" /><Relationship Type="http://schemas.openxmlformats.org/officeDocument/2006/relationships/hyperlink" Target="https://pgy.xiaohongshu.com/solar/pre-trade/blogger-detail/58524d6950c4b422e9cadd81?track_id=kolSimilar_4875b032bcbf4cce89d2b788564c9862&amp;source=Advertiser_Similar_Kol" TargetMode="External" Id="rId667" /><Relationship Type="http://schemas.openxmlformats.org/officeDocument/2006/relationships/hyperlink" Target="https://www.xiaohongshu.com/user/profile/58524d6950c4b422e9cadd81" TargetMode="External" Id="rId668" /><Relationship Type="http://schemas.openxmlformats.org/officeDocument/2006/relationships/hyperlink" Target="https://pgy.xiaohongshu.com/solar/pre-trade/blogger-detail/5a7fb47911be101644d3a916?track_id=kolSearch_bd80cd4c8ef740f08c928652b8e9873d&amp;source=Advertiser_Kol" TargetMode="External" Id="rId669" /><Relationship Type="http://schemas.openxmlformats.org/officeDocument/2006/relationships/hyperlink" Target="https://www.xiaohongshu.com/user/profile/5a7fb47911be101644d3a916" TargetMode="External" Id="rId670" /><Relationship Type="http://schemas.openxmlformats.org/officeDocument/2006/relationships/hyperlink" Target="https://pgy.xiaohongshu.com/solar/pre-trade/blogger-detail/6543800c000000000400abbe?track_id=kolGeneralSearch_b6eaa83fe4264dffb6877db4923b5cd8&amp;source=Advertiser_Kol" TargetMode="External" Id="rId671" /><Relationship Type="http://schemas.openxmlformats.org/officeDocument/2006/relationships/hyperlink" Target="https://www.xiaohongshu.com/user/profile/6543800c000000000400abbe" TargetMode="External" Id="rId672" /><Relationship Type="http://schemas.openxmlformats.org/officeDocument/2006/relationships/hyperlink" Target="https://pgy.xiaohongshu.com/solar/pre-trade/blogger-detail/66e171b9000000001d033e9b?track_id=kolSimilar_2ce8d8ec14db4bf7b1a567b5b9aefe5f&amp;source=Advertiser_Similar_Kol" TargetMode="External" Id="rId673" /><Relationship Type="http://schemas.openxmlformats.org/officeDocument/2006/relationships/hyperlink" Target="https://www.xiaohongshu.com/user/profile/66e171b9000000001d033e9b" TargetMode="External" Id="rId674" /><Relationship Type="http://schemas.openxmlformats.org/officeDocument/2006/relationships/hyperlink" Target="https://pgy.xiaohongshu.com/solar/pre-trade/blogger-detail/5db46d1a0000000001006fe5?track_id=kolSimilar_2ce8d8ec14db4bf7b1a567b5b9aefe5f&amp;source=Advertiser_Similar_Kol" TargetMode="External" Id="rId675" /><Relationship Type="http://schemas.openxmlformats.org/officeDocument/2006/relationships/hyperlink" Target="https://www.xiaohongshu.com/user/profile/5db46d1a0000000001006fe5" TargetMode="External" Id="rId676" /><Relationship Type="http://schemas.openxmlformats.org/officeDocument/2006/relationships/hyperlink" Target="https://pgy.xiaohongshu.com/solar/pre-trade/blogger-detail/5bf1833c0bdb020001e402e5?track_id=kolSimilar_2ce8d8ec14db4bf7b1a567b5b9aefe5f&amp;source=Advertiser_Similar_Kol" TargetMode="External" Id="rId677" /><Relationship Type="http://schemas.openxmlformats.org/officeDocument/2006/relationships/hyperlink" Target="https://www.xiaohongshu.com/user/profile/5bf1833c0bdb020001e402e5" TargetMode="External" Id="rId678" /><Relationship Type="http://schemas.openxmlformats.org/officeDocument/2006/relationships/hyperlink" Target="https://pgy.xiaohongshu.com/solar/pre-trade/blogger-detail/6357d3aa000000001802d3bd?track_id=kolSimilar_2ce8d8ec14db4bf7b1a567b5b9aefe5f&amp;source=Advertiser_Similar_Kol" TargetMode="External" Id="rId679" /><Relationship Type="http://schemas.openxmlformats.org/officeDocument/2006/relationships/hyperlink" Target="https://www.xiaohongshu.com/user/profile/6357d3aa000000001802d3bd" TargetMode="External" Id="rId680" /><Relationship Type="http://schemas.openxmlformats.org/officeDocument/2006/relationships/hyperlink" Target="https://pgy.xiaohongshu.com/solar/pre-trade/blogger-detail/5a7eeceb4eacab4bc10da15a?track_id=kolSimilar_7b08f94ba6c84459a1b60151ee612c1c&amp;source=Advertiser_Similar_Kol" TargetMode="External" Id="rId681" /><Relationship Type="http://schemas.openxmlformats.org/officeDocument/2006/relationships/hyperlink" Target="https://www.xiaohongshu.com/user/profile/5a7eeceb4eacab4bc10da15a" TargetMode="External" Id="rId682" /><Relationship Type="http://schemas.openxmlformats.org/officeDocument/2006/relationships/hyperlink" Target="https://pgy.xiaohongshu.com/solar/pre-trade/blogger-detail/54923104b4c4d6721ae5bb5c?track_id=kolMatch_0c08c7e3e3c04fe183a5ab3e115810c4&amp;source=Advertiser_Kol" TargetMode="External" Id="rId683" /><Relationship Type="http://schemas.openxmlformats.org/officeDocument/2006/relationships/hyperlink" Target="https://www.xiaohongshu.com/user/profile/54923104b4c4d6721ae5bb5c" TargetMode="External" Id="rId684" /><Relationship Type="http://schemas.openxmlformats.org/officeDocument/2006/relationships/hyperlink" Target="https://pgy.xiaohongshu.com/solar/pre-trade/blogger-detail/5e5ec9af000000000100201a?track_id=kolMatch_0c08c7e3e3c04fe183a5ab3e115810c4&amp;source=Advertiser_Kol" TargetMode="External" Id="rId685" /><Relationship Type="http://schemas.openxmlformats.org/officeDocument/2006/relationships/hyperlink" Target="https://www.xiaohongshu.com/user/profile/5e5ec9af000000000100201a" TargetMode="External" Id="rId686" /><Relationship Type="http://schemas.openxmlformats.org/officeDocument/2006/relationships/hyperlink" Target="https://pgy.xiaohongshu.com/solar/pre-trade/blogger-detail/58cdebca5e87e734faea601a?track_id=kolSimilar_ebf36afe2d864c1fb1fed00eb374202b&amp;source=Advertiser_Similar_Kol" TargetMode="External" Id="rId687" /><Relationship Type="http://schemas.openxmlformats.org/officeDocument/2006/relationships/hyperlink" Target="https://www.xiaohongshu.com/user/profile/58cdebca5e87e734faea601a" TargetMode="External" Id="rId688" /></Relationships>
</file>

<file path=xl/worksheets/_rels/sheet2.xml.rels><Relationships xmlns="http://schemas.openxmlformats.org/package/2006/relationships"><Relationship Type="http://schemas.openxmlformats.org/officeDocument/2006/relationships/hyperlink" Target="https://pgy.xiaohongshu.com/solar/pre-trade/blogger-detail/66a89e08000000001d030a3d?track_id=kolMatch_d1745de758dc422794010fc583d98bed&amp;source=Advertiser_Kol" TargetMode="External" Id="rId1" /><Relationship Type="http://schemas.openxmlformats.org/officeDocument/2006/relationships/hyperlink" Target="https://www.xiaohongshu.com/user/profile/66a89e08000000001d030a3d" TargetMode="External" Id="rId2" /><Relationship Type="http://schemas.openxmlformats.org/officeDocument/2006/relationships/hyperlink" Target="https://www.xiaohongshu.com/explore/698ff804000000000a03e2da?xsec_token=MBsSDBM4ukcdWKaT6DseBFEb0SrQEuJdl6kXxe5kkRwho=&amp;xsec_source=pc_pgy" TargetMode="External" Id="rId3" /><Relationship Type="http://schemas.openxmlformats.org/officeDocument/2006/relationships/hyperlink" Target="https://pgy.xiaohongshu.com/solar/pre-trade/blogger-detail/6766be9800000000180176e2?track_id=kolSimilar_2f4063ec3358455399b8afe229b09290&amp;source=Advertiser_Similar_Kol" TargetMode="External" Id="rId4" /><Relationship Type="http://schemas.openxmlformats.org/officeDocument/2006/relationships/hyperlink" Target="https://www.xiaohongshu.com/user/profile/6766be9800000000180176e2" TargetMode="External" Id="rId5" /><Relationship Type="http://schemas.openxmlformats.org/officeDocument/2006/relationships/hyperlink" Target="https://pgy.xiaohongshu.com/solar/pre-trade/blogger-detail/61a768ab0000000010009fbb?track_id=kolSimilar_9ceb2672c00e4c4b9ea53a31f1c945a9&amp;source=Advertiser_Similar_Kol" TargetMode="External" Id="rId6" /><Relationship Type="http://schemas.openxmlformats.org/officeDocument/2006/relationships/hyperlink" Target="https://www.xiaohongshu.com/user/profile/61a768ab0000000010009fbb" TargetMode="External" Id="rId7" /><Relationship Type="http://schemas.openxmlformats.org/officeDocument/2006/relationships/hyperlink" Target="https://pgy.xiaohongshu.com/solar/pre-trade/blogger-detail/5d037cf200000000120226ec?track_id=kolSimilar_2ed5f923a2ad48ed8a8077e5eb363a60&amp;source=Advertiser_Similar_Kol" TargetMode="External" Id="rId8" /><Relationship Type="http://schemas.openxmlformats.org/officeDocument/2006/relationships/hyperlink" Target="https://www.xiaohongshu.com/user/profile/5d037cf200000000120226ec" TargetMode="External" Id="rId9" /><Relationship Type="http://schemas.openxmlformats.org/officeDocument/2006/relationships/hyperlink" Target="https://pgy.xiaohongshu.com/solar/pre-trade/blogger-detail/58df26ae50c4b41e86ba9811?track_id=kolSearch_53f484f560cf4dc39bc1d97670d05d80&amp;source=Advertiser_Kol" TargetMode="External" Id="rId10" /><Relationship Type="http://schemas.openxmlformats.org/officeDocument/2006/relationships/hyperlink" Target="https://pgy.xiaohongshu.com/solar/pre-trade/blogger-detail/56586dd97c5bb835be78c80a?track_id=kolSimilar_e702f93d41f84e15952933fbc533d580&amp;source=Advertiser_Similar_Kol" TargetMode="External" Id="rId11" /><Relationship Type="http://schemas.openxmlformats.org/officeDocument/2006/relationships/hyperlink" Target="https://www.xiaohongshu.com/user/profile/56586dd97c5bb835be78c80a" TargetMode="External" Id="rId12" /><Relationship Type="http://schemas.openxmlformats.org/officeDocument/2006/relationships/hyperlink" Target="https://pgy.xiaohongshu.com/solar/pre-trade/blogger-detail/5d1c4b130000000010027ea5?track_id=kolSearch_bae4a1ff96d446789c8b54cdbda30d8b&amp;source=Advertiser_Kol_1" TargetMode="External" Id="rId13" /><Relationship Type="http://schemas.openxmlformats.org/officeDocument/2006/relationships/hyperlink" Target="https://pgy.xiaohongshu.com/solar/pre-trade/blogger-detail/5cee3f6b0000000018030cca?track_id=kolSimilar_1bc940eb10344e3599eb4e99fdbd89fc&amp;source=Advertiser_Similar_Kol" TargetMode="External" Id="rId14" /><Relationship Type="http://schemas.openxmlformats.org/officeDocument/2006/relationships/hyperlink" Target="https://www.xiaohongshu.com/user/profile/5cee3f6b0000000018030cca" TargetMode="External" Id="rId15" /><Relationship Type="http://schemas.openxmlformats.org/officeDocument/2006/relationships/hyperlink" Target="https://pgy.xiaohongshu.com/solar/pre-trade/blogger-detail/5f22fe480000000001004796?track_id=kolSearch_318ccd412599498b9297a8de3e959585&amp;source=Advertiser_Kol" TargetMode="External" Id="rId16" /><Relationship Type="http://schemas.openxmlformats.org/officeDocument/2006/relationships/hyperlink" Target="https://pgy.xiaohongshu.com/solar/pre-trade/blogger-detail/55050be52e1d9359054f4dca?track_id=kolMatch_7794a23a4b764c948cf43c5fc29e5d22&amp;source=Advertiser_Kol" TargetMode="External" Id="rId17" /><Relationship Type="http://schemas.openxmlformats.org/officeDocument/2006/relationships/hyperlink" Target="https://www.xiaohongshu.com/user/profile/55050be52e1d9359054f4dca" TargetMode="External" Id="rId18" /><Relationship Type="http://schemas.openxmlformats.org/officeDocument/2006/relationships/hyperlink" Target="https://pgy.xiaohongshu.com/solar/pre-trade/blogger-detail/594fba4982ec397bde1c9998?track_id=kolSimilar_345da337c4b94c33a6eb3a8d76e80a06&amp;source=Advertiser_Similar_Kol" TargetMode="External" Id="rId19" /><Relationship Type="http://schemas.openxmlformats.org/officeDocument/2006/relationships/hyperlink" Target="https://www.xiaohongshu.com/user/profile/594fba4982ec397bde1c9998" TargetMode="External" Id="rId20" /><Relationship Type="http://schemas.openxmlformats.org/officeDocument/2006/relationships/hyperlink" Target="https://pgy.xiaohongshu.com/solar/pre-trade/blogger-detail/5e63c2f400000000010031b4?track_id=kolSimilar_6313be65406b49cfb3959f5afa60978c&amp;source=Advertiser_Similar_Kol" TargetMode="External" Id="rId21" /><Relationship Type="http://schemas.openxmlformats.org/officeDocument/2006/relationships/hyperlink" Target="https://www.xiaohongshu.com/user/profile/5e63c2f400000000010031b4" TargetMode="External" Id="rId22" /><Relationship Type="http://schemas.openxmlformats.org/officeDocument/2006/relationships/hyperlink" Target="https://pgy.xiaohongshu.com/solar/pre-trade/blogger-detail/65f161a0000000000500a702?track_id=kolSimilar_01891343d6464fce89686f8cfa133b71&amp;source=Advertiser_Similar_Kol" TargetMode="External" Id="rId23" /><Relationship Type="http://schemas.openxmlformats.org/officeDocument/2006/relationships/hyperlink" Target="https://www.xiaohongshu.com/user/profile/65f161a0000000000500a702" TargetMode="External" Id="rId24" /><Relationship Type="http://schemas.openxmlformats.org/officeDocument/2006/relationships/hyperlink" Target="https://pgy.xiaohongshu.com/solar/pre-trade/blogger-detail/58c512875e87e7399e3d6d8c?track_id=kolSearch_8fcde953374c416faf72f3c7729c788f&amp;source=Advertiser_Kol" TargetMode="External" Id="rId25" /><Relationship Type="http://schemas.openxmlformats.org/officeDocument/2006/relationships/hyperlink" Target="https://pgy.xiaohongshu.com/solar/pre-trade/blogger-detail/570926d31c07df1c125dcbdf?track_id=kolSearch_8ce95ce6b8744714ac37a54d19aad910&amp;source=Advertiser_Kol" TargetMode="External" Id="rId26" /><Relationship Type="http://schemas.openxmlformats.org/officeDocument/2006/relationships/drawing" Target="/xl/drawings/drawing1.xml" Id="rId27" /></Relationships>
</file>

<file path=xl/worksheets/_rels/sheet3.xml.rels><Relationships xmlns="http://schemas.openxmlformats.org/package/2006/relationships"><Relationship Type="http://schemas.openxmlformats.org/officeDocument/2006/relationships/hyperlink" Target="https://pgy.xiaohongshu.com/solar/pre-trade/blogger-detail/6051c5660000000001003999?track_id=kolMatch_e5d4f1c458fd42dda1d84a9d8e94cbcd&amp;source=Advertiser_Kol" TargetMode="External" Id="rId1" /><Relationship Type="http://schemas.openxmlformats.org/officeDocument/2006/relationships/hyperlink" Target="https://www.xiaohongshu.com/user/profile/6051c5660000000001003999" TargetMode="External" Id="rId2" /><Relationship Type="http://schemas.openxmlformats.org/officeDocument/2006/relationships/hyperlink" Target="https://pgy.xiaohongshu.com/solar/pre-trade/blogger-detail/5ad174534eacab6488b4a7b6?track_id=kolMatch_e5d4f1c458fd42dda1d84a9d8e94cbcd&amp;source=Advertiser_Kol" TargetMode="External" Id="rId3" /><Relationship Type="http://schemas.openxmlformats.org/officeDocument/2006/relationships/hyperlink" Target="https://www.xiaohongshu.com/user/profile/5ad174534eacab6488b4a7b6" TargetMode="External" Id="rId4" /><Relationship Type="http://schemas.openxmlformats.org/officeDocument/2006/relationships/hyperlink" Target="https://pgy.xiaohongshu.com/solar/pre-trade/blogger-detail/6673d6b5000000001e009fb7?track_id=kolMatch_e5d4f1c458fd42dda1d84a9d8e94cbcd&amp;source=Advertiser_Kol" TargetMode="External" Id="rId5" /><Relationship Type="http://schemas.openxmlformats.org/officeDocument/2006/relationships/hyperlink" Target="https://www.xiaohongshu.com/user/profile/6673d6b5000000001e009fb7" TargetMode="External" Id="rId6" /><Relationship Type="http://schemas.openxmlformats.org/officeDocument/2006/relationships/hyperlink" Target="https://pgy.xiaohongshu.com/solar/pre-trade/blogger-detail/58381a1082ec3913e86dc0a5?track_id=kolMatch_097bbcb74a5f4e0d9c7e3df2d920f8cf&amp;source=Advertiser_Kol" TargetMode="External" Id="rId7" /><Relationship Type="http://schemas.openxmlformats.org/officeDocument/2006/relationships/hyperlink" Target="https://www.xiaohongshu.com/user/profile/58381a1082ec3913e86dc0a5" TargetMode="External" Id="rId8" /><Relationship Type="http://schemas.openxmlformats.org/officeDocument/2006/relationships/hyperlink" Target="https://pgy.xiaohongshu.com/solar/pre-trade/blogger-detail/5d2b29f60000000010015c6d?track_id=kolMatch_097bbcb74a5f4e0d9c7e3df2d920f8cf&amp;source=Advertiser_Kol" TargetMode="External" Id="rId9" /><Relationship Type="http://schemas.openxmlformats.org/officeDocument/2006/relationships/hyperlink" Target="https://www.xiaohongshu.com/user/profile/5d2b29f60000000010015c6d" TargetMode="External" Id="rId10" /><Relationship Type="http://schemas.openxmlformats.org/officeDocument/2006/relationships/hyperlink" Target="https://pgy.xiaohongshu.com/solar/pre-trade/blogger-detail/6661d8f8000000000b0304cd?track_id=kolMatch_116e304b51a040989cc928afb0c6e818&amp;source=Advertiser_Kol" TargetMode="External" Id="rId11" /><Relationship Type="http://schemas.openxmlformats.org/officeDocument/2006/relationships/hyperlink" Target="https://www.xiaohongshu.com/user/profile/6661d8f8000000000b0304cd" TargetMode="External" Id="rId12" /><Relationship Type="http://schemas.openxmlformats.org/officeDocument/2006/relationships/hyperlink" Target="https://pgy.xiaohongshu.com/solar/pre-trade/blogger-detail/5902959f82ec39046a041ee6?track_id=kolMatch_116e304b51a040989cc928afb0c6e818&amp;source=Advertiser_Kol" TargetMode="External" Id="rId13" /><Relationship Type="http://schemas.openxmlformats.org/officeDocument/2006/relationships/hyperlink" Target="https://www.xiaohongshu.com/user/profile/5902959f82ec39046a041ee6" TargetMode="External" Id="rId14" /><Relationship Type="http://schemas.openxmlformats.org/officeDocument/2006/relationships/hyperlink" Target="https://pgy.xiaohongshu.com/solar/pre-trade/blogger-detail/5a2a3d7111be10599ff4912a?track_id=kolMatch_116e304b51a040989cc928afb0c6e818&amp;source=Advertiser_Kol" TargetMode="External" Id="rId15" /><Relationship Type="http://schemas.openxmlformats.org/officeDocument/2006/relationships/hyperlink" Target="https://www.xiaohongshu.com/user/profile/5a2a3d7111be10599ff4912a" TargetMode="External" Id="rId16" /><Relationship Type="http://schemas.openxmlformats.org/officeDocument/2006/relationships/hyperlink" Target="https://pgy.xiaohongshu.com/solar/pre-trade/blogger-detail/65e23917000000000500a638?track_id=kolMatch_4cab5520dd18420fb13ac967a9a30f6d&amp;source=Advertiser_Kol" TargetMode="External" Id="rId17" /><Relationship Type="http://schemas.openxmlformats.org/officeDocument/2006/relationships/hyperlink" Target="https://www.xiaohongshu.com/user/profile/65e23917000000000500a638" TargetMode="External" Id="rId18" /><Relationship Type="http://schemas.openxmlformats.org/officeDocument/2006/relationships/hyperlink" Target="https://pgy.xiaohongshu.com/solar/pre-trade/blogger-detail/62ba37dd000000001b0254a5?track_id=kolMatch_f09eb6f5346c4659bd79b498d7478c0c&amp;source=Advertiser_Kol" TargetMode="External" Id="rId19" /><Relationship Type="http://schemas.openxmlformats.org/officeDocument/2006/relationships/hyperlink" Target="https://www.xiaohongshu.com/user/profile/62ba37dd000000001b0254a5" TargetMode="External" Id="rId20" /><Relationship Type="http://schemas.openxmlformats.org/officeDocument/2006/relationships/hyperlink" Target="https://pgy.xiaohongshu.com/solar/pre-trade/blogger-detail/66bf5cce000000001d032b64?track_id=kolMatch_4cab5520dd18420fb13ac967a9a30f6d&amp;source=Advertiser_Kol" TargetMode="External" Id="rId21" /><Relationship Type="http://schemas.openxmlformats.org/officeDocument/2006/relationships/hyperlink" Target="https://www.xiaohongshu.com/user/profile/66bf5cce000000001d032b64" TargetMode="External" Id="rId22" /><Relationship Type="http://schemas.openxmlformats.org/officeDocument/2006/relationships/hyperlink" Target="https://pgy.xiaohongshu.com/solar/pre-trade/blogger-detail/6678e0660000000007005c29?track_id=kolMatch_4cab5520dd18420fb13ac967a9a30f6d&amp;source=Advertiser_Kol" TargetMode="External" Id="rId23" /><Relationship Type="http://schemas.openxmlformats.org/officeDocument/2006/relationships/hyperlink" Target="https://www.xiaohongshu.com/user/profile/6678e0660000000007005c29" TargetMode="External" Id="rId24" /><Relationship Type="http://schemas.openxmlformats.org/officeDocument/2006/relationships/hyperlink" Target="https://pgy.xiaohongshu.com/solar/pre-trade/blogger-detail/5739f87a5e87e74cf6e4b93f?track_id=kolMatch_9de4fd3b2ef842d2a493d1f259f2803c&amp;source=Advertiser_Kol" TargetMode="External" Id="rId25" /><Relationship Type="http://schemas.openxmlformats.org/officeDocument/2006/relationships/hyperlink" Target="https://www.xiaohongshu.com/user/profile/5739f87a5e87e74cf6e4b93f" TargetMode="External" Id="rId26" /><Relationship Type="http://schemas.openxmlformats.org/officeDocument/2006/relationships/hyperlink" Target="https://pgy.xiaohongshu.com/solar/pre-trade/blogger-detail/5dd3693c0000000001008c1c?track_id=kolMatch_9de4fd3b2ef842d2a493d1f259f2803c&amp;source=Advertiser_Kol" TargetMode="External" Id="rId27" /><Relationship Type="http://schemas.openxmlformats.org/officeDocument/2006/relationships/hyperlink" Target="https://www.xiaohongshu.com/user/profile/5dd3693c0000000001008c1c" TargetMode="External" Id="rId28" /><Relationship Type="http://schemas.openxmlformats.org/officeDocument/2006/relationships/hyperlink" Target="https://pgy.xiaohongshu.com/solar/pre-trade/blogger-detail/5fb7d7e7000000000101ea2d?track_id=kolMatch_9de4fd3b2ef842d2a493d1f259f2803c&amp;source=Advertiser_Kol" TargetMode="External" Id="rId29" /><Relationship Type="http://schemas.openxmlformats.org/officeDocument/2006/relationships/hyperlink" Target="https://www.xiaohongshu.com/user/profile/5fb7d7e7000000000101ea2d" TargetMode="External" Id="rId30" /><Relationship Type="http://schemas.openxmlformats.org/officeDocument/2006/relationships/hyperlink" Target="https://pgy.xiaohongshu.com/solar/pre-trade/blogger-detail/554f0df6b203d9114e8d9b3f?track_id=kolMatch_9de4fd3b2ef842d2a493d1f259f2803c&amp;source=Advertiser_Kol" TargetMode="External" Id="rId31" /><Relationship Type="http://schemas.openxmlformats.org/officeDocument/2006/relationships/hyperlink" Target="https://www.xiaohongshu.com/user/profile/554f0df6b203d9114e8d9b3f" TargetMode="External" Id="rId32" /><Relationship Type="http://schemas.openxmlformats.org/officeDocument/2006/relationships/hyperlink" Target="https://pgy.xiaohongshu.com/solar/pre-trade/blogger-detail/68ed9a23000000003700048b?track_id=kolMatch_9de4fd3b2ef842d2a493d1f259f2803c&amp;source=Advertiser_Kol" TargetMode="External" Id="rId33" /><Relationship Type="http://schemas.openxmlformats.org/officeDocument/2006/relationships/hyperlink" Target="https://www.xiaohongshu.com/user/profile/68ed9a23000000003700048b" TargetMode="External" Id="rId34" /><Relationship Type="http://schemas.openxmlformats.org/officeDocument/2006/relationships/hyperlink" Target="https://pgy.xiaohongshu.com/solar/pre-trade/blogger-detail/594b707e5e87e773f506d280?track_id=kolMatch_6ef72ac6c0e04e74bb662952230175e4&amp;source=Advertiser_Kol" TargetMode="External" Id="rId35" /><Relationship Type="http://schemas.openxmlformats.org/officeDocument/2006/relationships/hyperlink" Target="https://www.xiaohongshu.com/user/profile/594b707e5e87e773f506d280" TargetMode="External" Id="rId36" /><Relationship Type="http://schemas.openxmlformats.org/officeDocument/2006/relationships/hyperlink" Target="https://pgy.xiaohongshu.com/solar/pre-trade/blogger-detail/5cf20e24000000001003c189?track_id=kolMatch_6ef72ac6c0e04e74bb662952230175e4&amp;source=Advertiser_Kol" TargetMode="External" Id="rId37" /><Relationship Type="http://schemas.openxmlformats.org/officeDocument/2006/relationships/hyperlink" Target="https://www.xiaohongshu.com/user/profile/5cf20e24000000001003c189" TargetMode="External" Id="rId38" /><Relationship Type="http://schemas.openxmlformats.org/officeDocument/2006/relationships/hyperlink" Target="https://pgy.xiaohongshu.com/solar/pre-trade/blogger-detail/5e98559900000000010046ed?track_id=kolMatch_721ba45f35674b4b8eb7d2844ab5fbd9&amp;source=Advertiser_Kol" TargetMode="External" Id="rId39" /><Relationship Type="http://schemas.openxmlformats.org/officeDocument/2006/relationships/hyperlink" Target="https://www.xiaohongshu.com/user/profile/5e98559900000000010046ed" TargetMode="External" Id="rId40" /><Relationship Type="http://schemas.openxmlformats.org/officeDocument/2006/relationships/hyperlink" Target="https://pgy.xiaohongshu.com/solar/pre-trade/blogger-detail/5df7be23000000000100b1ec?track_id=kolMatch_721ba45f35674b4b8eb7d2844ab5fbd9&amp;source=Advertiser_Kol" TargetMode="External" Id="rId41" /><Relationship Type="http://schemas.openxmlformats.org/officeDocument/2006/relationships/hyperlink" Target="https://www.xiaohongshu.com/user/profile/5df7be23000000000100b1ec" TargetMode="External" Id="rId42" /><Relationship Type="http://schemas.openxmlformats.org/officeDocument/2006/relationships/hyperlink" Target="https://pgy.xiaohongshu.com/solar/pre-trade/blogger-detail/60b4cb350000000001001d4a?track_id=kolMatch_721ba45f35674b4b8eb7d2844ab5fbd9&amp;source=Advertiser_Kol" TargetMode="External" Id="rId43" /><Relationship Type="http://schemas.openxmlformats.org/officeDocument/2006/relationships/hyperlink" Target="https://www.xiaohongshu.com/user/profile/60b4cb350000000001001d4a" TargetMode="External" Id="rId44" /><Relationship Type="http://schemas.openxmlformats.org/officeDocument/2006/relationships/hyperlink" Target="https://pgy.xiaohongshu.com/solar/pre-trade/blogger-detail/64894776000000002b00a89a?track_id=kolMatch_721ba45f35674b4b8eb7d2844ab5fbd9&amp;source=Advertiser_Kol" TargetMode="External" Id="rId45" /><Relationship Type="http://schemas.openxmlformats.org/officeDocument/2006/relationships/hyperlink" Target="https://www.xiaohongshu.com/user/profile/64894776000000002b00a89a" TargetMode="External" Id="rId46" /><Relationship Type="http://schemas.openxmlformats.org/officeDocument/2006/relationships/hyperlink" Target="https://pgy.xiaohongshu.com/solar/pre-trade/blogger-detail/5a1b881011be10317ba5d982?track_id=kolMatch_bc754cfce7c445638826d58cb5c2e52f&amp;source=Advertiser_Kol" TargetMode="External" Id="rId47" /><Relationship Type="http://schemas.openxmlformats.org/officeDocument/2006/relationships/hyperlink" Target="https://www.xiaohongshu.com/user/profile/5a1b881011be10317ba5d982" TargetMode="External" Id="rId48" /><Relationship Type="http://schemas.openxmlformats.org/officeDocument/2006/relationships/hyperlink" Target="https://pgy.xiaohongshu.com/solar/pre-trade/blogger-detail/59ae51f16a6a692176c60f62?track_id=kolMatch_bc754cfce7c445638826d58cb5c2e52f&amp;source=Advertiser_Kol" TargetMode="External" Id="rId49" /><Relationship Type="http://schemas.openxmlformats.org/officeDocument/2006/relationships/hyperlink" Target="https://www.xiaohongshu.com/user/profile/59ae51f16a6a692176c60f62" TargetMode="External" Id="rId50" /><Relationship Type="http://schemas.openxmlformats.org/officeDocument/2006/relationships/hyperlink" Target="https://pgy.xiaohongshu.com/solar/pre-trade/blogger-detail/5bf7c6c9f1a8c70001143464?track_id=kolMatch_bc754cfce7c445638826d58cb5c2e52f&amp;source=Advertiser_Kol" TargetMode="External" Id="rId51" /><Relationship Type="http://schemas.openxmlformats.org/officeDocument/2006/relationships/hyperlink" Target="https://www.xiaohongshu.com/user/profile/5bf7c6c9f1a8c70001143464" TargetMode="External" Id="rId52" /><Relationship Type="http://schemas.openxmlformats.org/officeDocument/2006/relationships/hyperlink" Target="https://pgy.xiaohongshu.com/solar/pre-trade/blogger-detail/65547da8000000000203538e?track_id=kolMatch_bc754cfce7c445638826d58cb5c2e52f&amp;source=Advertiser_Kol" TargetMode="External" Id="rId53" /><Relationship Type="http://schemas.openxmlformats.org/officeDocument/2006/relationships/hyperlink" Target="https://www.xiaohongshu.com/user/profile/65547da8000000000203538e" TargetMode="External" Id="rId54" /><Relationship Type="http://schemas.openxmlformats.org/officeDocument/2006/relationships/hyperlink" Target="https://pgy.xiaohongshu.com/solar/pre-trade/blogger-detail/62f72cf5000000001e01de01?track_id=kolMatch_bc754cfce7c445638826d58cb5c2e52f&amp;source=Advertiser_Kol" TargetMode="External" Id="rId55" /><Relationship Type="http://schemas.openxmlformats.org/officeDocument/2006/relationships/hyperlink" Target="https://www.xiaohongshu.com/user/profile/62f72cf5000000001e01de01" TargetMode="External" Id="rId56" /><Relationship Type="http://schemas.openxmlformats.org/officeDocument/2006/relationships/hyperlink" Target="https://pgy.xiaohongshu.com/solar/pre-trade/blogger-detail/6725053b000000001d02fab9?track_id=kolMatch_bc754cfce7c445638826d58cb5c2e52f&amp;source=Advertiser_Kol" TargetMode="External" Id="rId57" /><Relationship Type="http://schemas.openxmlformats.org/officeDocument/2006/relationships/hyperlink" Target="https://www.xiaohongshu.com/user/profile/6725053b000000001d02fab9" TargetMode="External" Id="rId58" /><Relationship Type="http://schemas.openxmlformats.org/officeDocument/2006/relationships/hyperlink" Target="https://pgy.xiaohongshu.com/solar/pre-trade/blogger-detail/64e33aa60000000001004c4f?track_id=kolMatch_6d78c13969b04660b2cfbcfe6287bf56&amp;source=Advertiser_Kol" TargetMode="External" Id="rId59" /><Relationship Type="http://schemas.openxmlformats.org/officeDocument/2006/relationships/hyperlink" Target="https://www.xiaohongshu.com/user/profile/64e33aa60000000001004c4f" TargetMode="External" Id="rId60" /><Relationship Type="http://schemas.openxmlformats.org/officeDocument/2006/relationships/hyperlink" Target="https://pgy.xiaohongshu.com/solar/pre-trade/blogger-detail/5d32a5f0000000001603b852?track_id=kolMatch_6d78c13969b04660b2cfbcfe6287bf56&amp;source=Advertiser_Kol" TargetMode="External" Id="rId61" /><Relationship Type="http://schemas.openxmlformats.org/officeDocument/2006/relationships/hyperlink" Target="https://www.xiaohongshu.com/user/profile/5d32a5f0000000001603b852" TargetMode="External" Id="rId62" /><Relationship Type="http://schemas.openxmlformats.org/officeDocument/2006/relationships/hyperlink" Target="https://pgy.xiaohongshu.com/solar/pre-trade/blogger-detail/66114f5000000000030308e7?track_id=kolMatch_6d78c13969b04660b2cfbcfe6287bf56&amp;source=Advertiser_Kol" TargetMode="External" Id="rId63" /><Relationship Type="http://schemas.openxmlformats.org/officeDocument/2006/relationships/hyperlink" Target="https://www.xiaohongshu.com/user/profile/66114f5000000000030308e7" TargetMode="External" Id="rId64" /><Relationship Type="http://schemas.openxmlformats.org/officeDocument/2006/relationships/hyperlink" Target="https://pgy.xiaohongshu.com/solar/pre-trade/blogger-detail/5e87c108000000000100bb41?track_id=kolMatch_6d78c13969b04660b2cfbcfe6287bf56&amp;source=Advertiser_Kol" TargetMode="External" Id="rId65" /><Relationship Type="http://schemas.openxmlformats.org/officeDocument/2006/relationships/hyperlink" Target="https://www.xiaohongshu.com/user/profile/5e87c108000000000100bb41" TargetMode="External" Id="rId66" /><Relationship Type="http://schemas.openxmlformats.org/officeDocument/2006/relationships/hyperlink" Target="https://pgy.xiaohongshu.com/solar/pre-trade/blogger-detail/606b0adf00000000010059ea?track_id=kolMatch_6d78c13969b04660b2cfbcfe6287bf56&amp;source=Advertiser_Kol" TargetMode="External" Id="rId67" /><Relationship Type="http://schemas.openxmlformats.org/officeDocument/2006/relationships/hyperlink" Target="https://www.xiaohongshu.com/user/profile/606b0adf00000000010059ea" TargetMode="External" Id="rId68" /><Relationship Type="http://schemas.openxmlformats.org/officeDocument/2006/relationships/hyperlink" Target="https://pgy.xiaohongshu.com/solar/pre-trade/blogger-detail/5dfc32b20000000001006bf0?track_id=kolMatch_6d78c13969b04660b2cfbcfe6287bf56&amp;source=Advertiser_Kol" TargetMode="External" Id="rId69" /><Relationship Type="http://schemas.openxmlformats.org/officeDocument/2006/relationships/hyperlink" Target="https://www.xiaohongshu.com/user/profile/5dfc32b20000000001006bf0" TargetMode="External" Id="rId70" /><Relationship Type="http://schemas.openxmlformats.org/officeDocument/2006/relationships/hyperlink" Target="https://pgy.xiaohongshu.com/solar/pre-trade/blogger-detail/5cf70b2a000000001201c074?track_id=kolMatch_19aecebf69214ff9b95e7ba5cb9b3a6e&amp;source=Advertiser_Kol" TargetMode="External" Id="rId71" /><Relationship Type="http://schemas.openxmlformats.org/officeDocument/2006/relationships/hyperlink" Target="https://www.xiaohongshu.com/user/profile/5cf70b2a000000001201c074" TargetMode="External" Id="rId72" /><Relationship Type="http://schemas.openxmlformats.org/officeDocument/2006/relationships/hyperlink" Target="https://pgy.xiaohongshu.com/solar/pre-trade/blogger-detail/6732c3600000000001003ac5?track_id=kolMatch_19aecebf69214ff9b95e7ba5cb9b3a6e&amp;source=Advertiser_Kol" TargetMode="External" Id="rId73" /><Relationship Type="http://schemas.openxmlformats.org/officeDocument/2006/relationships/hyperlink" Target="https://www.xiaohongshu.com/user/profile/6732c3600000000001003ac5" TargetMode="External" Id="rId74" /><Relationship Type="http://schemas.openxmlformats.org/officeDocument/2006/relationships/hyperlink" Target="https://pgy.xiaohongshu.com/solar/pre-trade/blogger-detail/67b5ea5c000000000e01f773?track_id=kolMatch_19aecebf69214ff9b95e7ba5cb9b3a6e&amp;source=Advertiser_Kol" TargetMode="External" Id="rId75" /><Relationship Type="http://schemas.openxmlformats.org/officeDocument/2006/relationships/hyperlink" Target="https://www.xiaohongshu.com/user/profile/67b5ea5c000000000e01f773" TargetMode="External" Id="rId76" /><Relationship Type="http://schemas.openxmlformats.org/officeDocument/2006/relationships/hyperlink" Target="https://pgy.xiaohongshu.com/solar/pre-trade/blogger-detail/644d391c000000001f0323bb?track_id=kolMatch_19aecebf69214ff9b95e7ba5cb9b3a6e&amp;source=Advertiser_Kol" TargetMode="External" Id="rId77" /><Relationship Type="http://schemas.openxmlformats.org/officeDocument/2006/relationships/hyperlink" Target="https://www.xiaohongshu.com/user/profile/644d391c000000001f0323bb" TargetMode="External" Id="rId78" /><Relationship Type="http://schemas.openxmlformats.org/officeDocument/2006/relationships/hyperlink" Target="https://pgy.xiaohongshu.com/solar/pre-trade/blogger-detail/5c20b7aa0000000006024d01?track_id=kolMatch_19aecebf69214ff9b95e7ba5cb9b3a6e&amp;source=Advertiser_Kol" TargetMode="External" Id="rId79" /><Relationship Type="http://schemas.openxmlformats.org/officeDocument/2006/relationships/hyperlink" Target="https://www.xiaohongshu.com/user/profile/5c20b7aa0000000006024d01" TargetMode="External" Id="rId80" /><Relationship Type="http://schemas.openxmlformats.org/officeDocument/2006/relationships/hyperlink" Target="https://pgy.xiaohongshu.com/solar/pre-trade/blogger-detail/67a9ad03000000000d00be48?track_id=kolMatch_19aecebf69214ff9b95e7ba5cb9b3a6e&amp;source=Advertiser_Kol" TargetMode="External" Id="rId81" /><Relationship Type="http://schemas.openxmlformats.org/officeDocument/2006/relationships/hyperlink" Target="https://www.xiaohongshu.com/user/profile/67a9ad03000000000d00be48" TargetMode="External" Id="rId82" /><Relationship Type="http://schemas.openxmlformats.org/officeDocument/2006/relationships/hyperlink" Target="https://pgy.xiaohongshu.com/solar/pre-trade/blogger-detail/59bb33d644363b7b96a616df?track_id=kolSimilar_4c91733a2cfc467cbf45644cf17d9996&amp;source=Advertiser_Similar_Kol" TargetMode="External" Id="rId83" /><Relationship Type="http://schemas.openxmlformats.org/officeDocument/2006/relationships/hyperlink" Target="https://www.xiaohongshu.com/user/profile/59bb33d644363b7b96a616df" TargetMode="External" Id="rId84" /><Relationship Type="http://schemas.openxmlformats.org/officeDocument/2006/relationships/hyperlink" Target="https://pgy.xiaohongshu.com/solar/pre-trade/blogger-detail/65f431f8000000000d0264ea?track_id=kolSimilar_3956dbac581d45b9ae5895fb24c8b25f&amp;source=Advertiser_Similar_Kol" TargetMode="External" Id="rId85" /><Relationship Type="http://schemas.openxmlformats.org/officeDocument/2006/relationships/hyperlink" Target="https://www.xiaohongshu.com/user/profile/65f431f8000000000d0264ea" TargetMode="External" Id="rId86" /><Relationship Type="http://schemas.openxmlformats.org/officeDocument/2006/relationships/hyperlink" Target="https://pgy.xiaohongshu.com/solar/pre-trade/blogger-detail/65e82eee000000000500d4f4?track_id=kolSimilar_3956dbac581d45b9ae5895fb24c8b25f&amp;source=Advertiser_Similar_Kol" TargetMode="External" Id="rId87" /><Relationship Type="http://schemas.openxmlformats.org/officeDocument/2006/relationships/hyperlink" Target="https://www.xiaohongshu.com/user/profile/65e82eee000000000500d4f4" TargetMode="External" Id="rId88" /><Relationship Type="http://schemas.openxmlformats.org/officeDocument/2006/relationships/hyperlink" Target="https://pgy.xiaohongshu.com/solar/pre-trade/blogger-detail/676689c0000000001801f2bc?track_id=kolSimilar_3956dbac581d45b9ae5895fb24c8b25f&amp;source=Advertiser_Similar_Kol" TargetMode="External" Id="rId89" /><Relationship Type="http://schemas.openxmlformats.org/officeDocument/2006/relationships/hyperlink" Target="https://www.xiaohongshu.com/user/profile/676689c0000000001801f2bc" TargetMode="External" Id="rId90" /><Relationship Type="http://schemas.openxmlformats.org/officeDocument/2006/relationships/hyperlink" Target="https://pgy.xiaohongshu.com/solar/pre-trade/blogger-detail/5c2390eb000000000700cab7?track_id=kolMatch_7674c4980520418ea6c2713a665d0a42&amp;source=Advertiser_Kol" TargetMode="External" Id="rId91" /><Relationship Type="http://schemas.openxmlformats.org/officeDocument/2006/relationships/hyperlink" Target="https://www.xiaohongshu.com/user/profile/5c2390eb000000000700cab7" TargetMode="External" Id="rId92" /><Relationship Type="http://schemas.openxmlformats.org/officeDocument/2006/relationships/hyperlink" Target="https://pgy.xiaohongshu.com/solar/pre-trade/blogger-detail/58a274e57fc5b808dc2335d1?track_id=kolMatch_7674c4980520418ea6c2713a665d0a42&amp;source=Advertiser_Kol" TargetMode="External" Id="rId93" /><Relationship Type="http://schemas.openxmlformats.org/officeDocument/2006/relationships/hyperlink" Target="https://www.xiaohongshu.com/user/profile/58a274e57fc5b808dc2335d1" TargetMode="External" Id="rId94" /><Relationship Type="http://schemas.openxmlformats.org/officeDocument/2006/relationships/hyperlink" Target="https://pgy.xiaohongshu.com/solar/pre-trade/blogger-detail/5f1fd31700000000010052da?track_id=kolMatch_7674c4980520418ea6c2713a665d0a42&amp;source=Advertiser_Kol" TargetMode="External" Id="rId95" /><Relationship Type="http://schemas.openxmlformats.org/officeDocument/2006/relationships/hyperlink" Target="https://www.xiaohongshu.com/user/profile/5f1fd31700000000010052da" TargetMode="External" Id="rId96" /><Relationship Type="http://schemas.openxmlformats.org/officeDocument/2006/relationships/hyperlink" Target="https://pgy.xiaohongshu.com/solar/pre-trade/blogger-detail/6272568d000000002102b864?track_id=kolMatch_7674c4980520418ea6c2713a665d0a42&amp;source=Advertiser_Kol" TargetMode="External" Id="rId97" /><Relationship Type="http://schemas.openxmlformats.org/officeDocument/2006/relationships/hyperlink" Target="https://www.xiaohongshu.com/user/profile/6272568d000000002102b864" TargetMode="External" Id="rId98" /><Relationship Type="http://schemas.openxmlformats.org/officeDocument/2006/relationships/hyperlink" Target="https://pgy.xiaohongshu.com/solar/pre-trade/blogger-detail/605851b8000000000101c886?track_id=kolMatch_7674c4980520418ea6c2713a665d0a42&amp;source=Advertiser_Kol" TargetMode="External" Id="rId99" /><Relationship Type="http://schemas.openxmlformats.org/officeDocument/2006/relationships/hyperlink" Target="https://www.xiaohongshu.com/user/profile/605851b8000000000101c886" TargetMode="External" Id="rId100" /><Relationship Type="http://schemas.openxmlformats.org/officeDocument/2006/relationships/hyperlink" Target="https://pgy.xiaohongshu.com/solar/pre-trade/blogger-detail/65741019000000002002cb3b?track_id=kolMatch_7674c4980520418ea6c2713a665d0a42&amp;source=Advertiser_Kol" TargetMode="External" Id="rId101" /><Relationship Type="http://schemas.openxmlformats.org/officeDocument/2006/relationships/hyperlink" Target="https://www.xiaohongshu.com/user/profile/65741019000000002002cb3b" TargetMode="External" Id="rId102" /><Relationship Type="http://schemas.openxmlformats.org/officeDocument/2006/relationships/hyperlink" Target="https://pgy.xiaohongshu.com/solar/pre-trade/blogger-detail/6717543b000000001d023d06?track_id=kolMatch_7674c4980520418ea6c2713a665d0a42&amp;source=Advertiser_Kol" TargetMode="External" Id="rId103" /><Relationship Type="http://schemas.openxmlformats.org/officeDocument/2006/relationships/hyperlink" Target="https://www.xiaohongshu.com/user/profile/6717543b000000001d023d06" TargetMode="External" Id="rId104" /><Relationship Type="http://schemas.openxmlformats.org/officeDocument/2006/relationships/hyperlink" Target="https://pgy.xiaohongshu.com/solar/pre-trade/blogger-detail/674859be000000001d02d449?track_id=kolMatch_7674c4980520418ea6c2713a665d0a42&amp;source=Advertiser_Kol" TargetMode="External" Id="rId105" /><Relationship Type="http://schemas.openxmlformats.org/officeDocument/2006/relationships/hyperlink" Target="https://www.xiaohongshu.com/user/profile/674859be000000001d02d449" TargetMode="External" Id="rId106" /><Relationship Type="http://schemas.openxmlformats.org/officeDocument/2006/relationships/hyperlink" Target="https://pgy.xiaohongshu.com/solar/pre-trade/blogger-detail/5d24a8f50000000011036b97?track_id=kolMatch_7674c4980520418ea6c2713a665d0a42&amp;source=Advertiser_Kol" TargetMode="External" Id="rId107" /><Relationship Type="http://schemas.openxmlformats.org/officeDocument/2006/relationships/hyperlink" Target="https://www.xiaohongshu.com/user/profile/5d24a8f50000000011036b97" TargetMode="External" Id="rId108" /><Relationship Type="http://schemas.openxmlformats.org/officeDocument/2006/relationships/hyperlink" Target="https://pgy.xiaohongshu.com/solar/pre-trade/blogger-detail/59ded007de5fb452c18dffc1?track_id=kolMatch_7674c4980520418ea6c2713a665d0a42&amp;source=Advertiser_Kol" TargetMode="External" Id="rId109" /><Relationship Type="http://schemas.openxmlformats.org/officeDocument/2006/relationships/hyperlink" Target="https://www.xiaohongshu.com/user/profile/59ded007de5fb452c18dffc1" TargetMode="External" Id="rId110" /><Relationship Type="http://schemas.openxmlformats.org/officeDocument/2006/relationships/hyperlink" Target="https://pgy.xiaohongshu.com/solar/pre-trade/blogger-detail/675538d5000000001d02ce1c?track_id=kolMatch_a0eb7724d8304aee9ca1cc93a1707c6b&amp;source=Advertiser_Kol" TargetMode="External" Id="rId111" /><Relationship Type="http://schemas.openxmlformats.org/officeDocument/2006/relationships/hyperlink" Target="https://www.xiaohongshu.com/user/profile/675538d5000000001d02ce1c" TargetMode="External" Id="rId112" /><Relationship Type="http://schemas.openxmlformats.org/officeDocument/2006/relationships/hyperlink" Target="https://pgy.xiaohongshu.com/solar/pre-trade/blogger-detail/673c354d000000001d02d017?track_id=kolMatch_a0eb7724d8304aee9ca1cc93a1707c6b&amp;source=Advertiser_Kol" TargetMode="External" Id="rId113" /><Relationship Type="http://schemas.openxmlformats.org/officeDocument/2006/relationships/hyperlink" Target="https://www.xiaohongshu.com/user/profile/673c354d000000001d02d017" TargetMode="External" Id="rId114" /><Relationship Type="http://schemas.openxmlformats.org/officeDocument/2006/relationships/hyperlink" Target="https://pgy.xiaohongshu.com/solar/pre-trade/blogger-detail/63b21ea3000000002702b145?track_id=kolMatch_a0eb7724d8304aee9ca1cc93a1707c6b&amp;source=Advertiser_Kol" TargetMode="External" Id="rId115" /><Relationship Type="http://schemas.openxmlformats.org/officeDocument/2006/relationships/hyperlink" Target="https://www.xiaohongshu.com/user/profile/63b21ea3000000002702b145" TargetMode="External" Id="rId116" /><Relationship Type="http://schemas.openxmlformats.org/officeDocument/2006/relationships/hyperlink" Target="https://pgy.xiaohongshu.com/solar/pre-trade/blogger-detail/5fc5a26e00000000010015c3?track_id=kolMatch_a0eb7724d8304aee9ca1cc93a1707c6b&amp;source=Advertiser_Kol" TargetMode="External" Id="rId117" /><Relationship Type="http://schemas.openxmlformats.org/officeDocument/2006/relationships/hyperlink" Target="https://www.xiaohongshu.com/user/profile/5fc5a26e00000000010015c3" TargetMode="External" Id="rId118" /><Relationship Type="http://schemas.openxmlformats.org/officeDocument/2006/relationships/hyperlink" Target="https://pgy.xiaohongshu.com/solar/pre-trade/blogger-detail/5dad1e34000000000100427d?track_id=kolMatch_a0eb7724d8304aee9ca1cc93a1707c6b&amp;source=Advertiser_Kol" TargetMode="External" Id="rId119" /><Relationship Type="http://schemas.openxmlformats.org/officeDocument/2006/relationships/hyperlink" Target="https://www.xiaohongshu.com/user/profile/5dad1e34000000000100427d" TargetMode="External" Id="rId120" /><Relationship Type="http://schemas.openxmlformats.org/officeDocument/2006/relationships/hyperlink" Target="https://pgy.xiaohongshu.com/solar/pre-trade/blogger-detail/5c22cca70000000007027acb?track_id=kolMatch_a0eb7724d8304aee9ca1cc93a1707c6b&amp;source=Advertiser_Kol" TargetMode="External" Id="rId121" /><Relationship Type="http://schemas.openxmlformats.org/officeDocument/2006/relationships/hyperlink" Target="https://www.xiaohongshu.com/user/profile/5c22cca70000000007027acb" TargetMode="External" Id="rId122" /><Relationship Type="http://schemas.openxmlformats.org/officeDocument/2006/relationships/hyperlink" Target="https://pgy.xiaohongshu.com/solar/pre-trade/blogger-detail/650f91900000000016038706?track_id=kolMatch_a0eb7724d8304aee9ca1cc93a1707c6b&amp;source=Advertiser_Kol" TargetMode="External" Id="rId123" /><Relationship Type="http://schemas.openxmlformats.org/officeDocument/2006/relationships/hyperlink" Target="https://www.xiaohongshu.com/user/profile/650f91900000000016038706" TargetMode="External" Id="rId124" /><Relationship Type="http://schemas.openxmlformats.org/officeDocument/2006/relationships/hyperlink" Target="https://pgy.xiaohongshu.com/solar/pre-trade/blogger-detail/6299c5680000000021028183?track_id=kolMatch_a0eb7724d8304aee9ca1cc93a1707c6b&amp;source=Advertiser_Kol" TargetMode="External" Id="rId125" /><Relationship Type="http://schemas.openxmlformats.org/officeDocument/2006/relationships/hyperlink" Target="https://www.xiaohongshu.com/user/profile/6299c5680000000021028183" TargetMode="External" Id="rId126" /><Relationship Type="http://schemas.openxmlformats.org/officeDocument/2006/relationships/hyperlink" Target="https://pgy.xiaohongshu.com/solar/pre-trade/blogger-detail/68e650f8000000003702b8a4?track_id=kolMatch_18e414f8a1444dc19c2653c383d046e6&amp;source=Advertiser_Kol" TargetMode="External" Id="rId127" /><Relationship Type="http://schemas.openxmlformats.org/officeDocument/2006/relationships/hyperlink" Target="https://www.xiaohongshu.com/user/profile/68e650f8000000003702b8a4" TargetMode="External" Id="rId128" /><Relationship Type="http://schemas.openxmlformats.org/officeDocument/2006/relationships/hyperlink" Target="https://pgy.xiaohongshu.com/solar/pre-trade/blogger-detail/66a33382000000000b0328dd?track_id=kolMatch_18e414f8a1444dc19c2653c383d046e6&amp;source=Advertiser_Kol" TargetMode="External" Id="rId129" /><Relationship Type="http://schemas.openxmlformats.org/officeDocument/2006/relationships/hyperlink" Target="https://www.xiaohongshu.com/user/profile/66a33382000000000b0328dd" TargetMode="External" Id="rId130" /><Relationship Type="http://schemas.openxmlformats.org/officeDocument/2006/relationships/hyperlink" Target="https://pgy.xiaohongshu.com/solar/pre-trade/blogger-detail/63f8d451000000000f0111bc?track_id=kolMatch_18e414f8a1444dc19c2653c383d046e6&amp;source=Advertiser_Kol" TargetMode="External" Id="rId131" /><Relationship Type="http://schemas.openxmlformats.org/officeDocument/2006/relationships/hyperlink" Target="https://www.xiaohongshu.com/user/profile/63f8d451000000000f0111bc" TargetMode="External" Id="rId132" /><Relationship Type="http://schemas.openxmlformats.org/officeDocument/2006/relationships/hyperlink" Target="https://pgy.xiaohongshu.com/solar/pre-trade/blogger-detail/5ff1e5df00000000010044ef?track_id=kolMatch_dd8c9e8c989a45939e5a259b006f2e4d&amp;source=Advertiser_Kol" TargetMode="External" Id="rId133" /><Relationship Type="http://schemas.openxmlformats.org/officeDocument/2006/relationships/hyperlink" Target="https://www.xiaohongshu.com/user/profile/5ff1e5df00000000010044ef" TargetMode="External" Id="rId134" /><Relationship Type="http://schemas.openxmlformats.org/officeDocument/2006/relationships/hyperlink" Target="https://pgy.xiaohongshu.com/solar/pre-trade/blogger-detail/6231c8bd0000000010005fd3?track_id=kolMatch_8230e88bdb4b486db85bb62517de76b6&amp;source=Advertiser_Kol" TargetMode="External" Id="rId135" /><Relationship Type="http://schemas.openxmlformats.org/officeDocument/2006/relationships/hyperlink" Target="https://www.xiaohongshu.com/user/profile/6231c8bd0000000010005fd3" TargetMode="External" Id="rId136" /><Relationship Type="http://schemas.openxmlformats.org/officeDocument/2006/relationships/hyperlink" Target="https://pgy.xiaohongshu.com/solar/pre-trade/blogger-detail/5fab63e10000000001008558?track_id=kolMatch_8230e88bdb4b486db85bb62517de76b6&amp;source=Advertiser_Kol" TargetMode="External" Id="rId137" /><Relationship Type="http://schemas.openxmlformats.org/officeDocument/2006/relationships/hyperlink" Target="https://www.xiaohongshu.com/user/profile/5fab63e10000000001008558" TargetMode="External" Id="rId138" /><Relationship Type="http://schemas.openxmlformats.org/officeDocument/2006/relationships/hyperlink" Target="https://pgy.xiaohongshu.com/solar/pre-trade/blogger-detail/64cd22af000000002b0086c3?track_id=kolMatch_8230e88bdb4b486db85bb62517de76b6&amp;source=Advertiser_Kol" TargetMode="External" Id="rId139" /><Relationship Type="http://schemas.openxmlformats.org/officeDocument/2006/relationships/hyperlink" Target="https://www.xiaohongshu.com/user/profile/64cd22af000000002b0086c3" TargetMode="External" Id="rId140" /><Relationship Type="http://schemas.openxmlformats.org/officeDocument/2006/relationships/hyperlink" Target="https://pgy.xiaohongshu.com/solar/pre-trade/blogger-detail/5c7273060000000010003bd8?track_id=kolMatch_8230e88bdb4b486db85bb62517de76b6&amp;source=Advertiser_Kol" TargetMode="External" Id="rId141" /><Relationship Type="http://schemas.openxmlformats.org/officeDocument/2006/relationships/hyperlink" Target="https://www.xiaohongshu.com/user/profile/5c7273060000000010003bd8" TargetMode="External" Id="rId142" /><Relationship Type="http://schemas.openxmlformats.org/officeDocument/2006/relationships/hyperlink" Target="https://pgy.xiaohongshu.com/solar/pre-trade/blogger-detail/6673fe0f0000000007004e4f?track_id=kolMatch_8230e88bdb4b486db85bb62517de76b6&amp;source=Advertiser_Kol" TargetMode="External" Id="rId143" /><Relationship Type="http://schemas.openxmlformats.org/officeDocument/2006/relationships/hyperlink" Target="https://www.xiaohongshu.com/user/profile/6673fe0f0000000007004e4f" TargetMode="External" Id="rId144" /><Relationship Type="http://schemas.openxmlformats.org/officeDocument/2006/relationships/hyperlink" Target="https://pgy.xiaohongshu.com/solar/pre-trade/blogger-detail/649bf748000000000b016212?track_id=kolMatch_8230e88bdb4b486db85bb62517de76b6&amp;source=Advertiser_Kol" TargetMode="External" Id="rId145" /><Relationship Type="http://schemas.openxmlformats.org/officeDocument/2006/relationships/hyperlink" Target="https://www.xiaohongshu.com/user/profile/649bf748000000000b016212" TargetMode="External" Id="rId146" /><Relationship Type="http://schemas.openxmlformats.org/officeDocument/2006/relationships/hyperlink" Target="https://pgy.xiaohongshu.com/solar/pre-trade/blogger-detail/599e830c6a6a696da5a56754?track_id=kolMatch_8230e88bdb4b486db85bb62517de76b6&amp;source=Advertiser_Kol" TargetMode="External" Id="rId147" /><Relationship Type="http://schemas.openxmlformats.org/officeDocument/2006/relationships/hyperlink" Target="https://www.xiaohongshu.com/user/profile/599e830c6a6a696da5a56754" TargetMode="External" Id="rId148" /><Relationship Type="http://schemas.openxmlformats.org/officeDocument/2006/relationships/hyperlink" Target="https://pgy.xiaohongshu.com/solar/pre-trade/blogger-detail/680ce0b3000000000a03d5f0?track_id=kolMatch_8230e88bdb4b486db85bb62517de76b6&amp;source=Advertiser_Kol" TargetMode="External" Id="rId149" /><Relationship Type="http://schemas.openxmlformats.org/officeDocument/2006/relationships/hyperlink" Target="https://www.xiaohongshu.com/user/profile/680ce0b3000000000a03d5f0" TargetMode="External" Id="rId150" /><Relationship Type="http://schemas.openxmlformats.org/officeDocument/2006/relationships/hyperlink" Target="https://pgy.xiaohongshu.com/solar/pre-trade/blogger-detail/5db43bbc000000000100547b?track_id=kolMatch_dd8c9e8c989a45939e5a259b006f2e4d&amp;source=Advertiser_Kol" TargetMode="External" Id="rId151" /><Relationship Type="http://schemas.openxmlformats.org/officeDocument/2006/relationships/hyperlink" Target="https://www.xiaohongshu.com/user/profile/5db43bbc000000000100547b" TargetMode="External" Id="rId152" /><Relationship Type="http://schemas.openxmlformats.org/officeDocument/2006/relationships/hyperlink" Target="https://pgy.xiaohongshu.com/solar/pre-trade/blogger-detail/5afac32011be1044f1c0cbcb?track_id=kolMatch_d78519dc2d86498690b1f22927c28c53&amp;source=Advertiser_Kol" TargetMode="External" Id="rId153" /><Relationship Type="http://schemas.openxmlformats.org/officeDocument/2006/relationships/hyperlink" Target="https://www.xiaohongshu.com/user/profile/5afac32011be1044f1c0cbcb" TargetMode="External" Id="rId154" /><Relationship Type="http://schemas.openxmlformats.org/officeDocument/2006/relationships/hyperlink" Target="https://pgy.xiaohongshu.com/solar/pre-trade/blogger-detail/5fae7dca000000000101d8c5?track_id=kolMatch_4d0f177ed4254c2a896e9d60d484124d&amp;source=Advertiser_Kol" TargetMode="External" Id="rId155" /><Relationship Type="http://schemas.openxmlformats.org/officeDocument/2006/relationships/hyperlink" Target="https://www.xiaohongshu.com/user/profile/5fae7dca000000000101d8c5" TargetMode="External" Id="rId156" /><Relationship Type="http://schemas.openxmlformats.org/officeDocument/2006/relationships/hyperlink" Target="https://pgy.xiaohongshu.com/solar/pre-trade/blogger-detail/5ceff0c10000000011027153?track_id=kolMatch_4d0f177ed4254c2a896e9d60d484124d&amp;source=Advertiser_Kol" TargetMode="External" Id="rId157" /><Relationship Type="http://schemas.openxmlformats.org/officeDocument/2006/relationships/hyperlink" Target="https://www.xiaohongshu.com/user/profile/5ceff0c10000000011027153" TargetMode="External" Id="rId158" /><Relationship Type="http://schemas.openxmlformats.org/officeDocument/2006/relationships/hyperlink" Target="https://pgy.xiaohongshu.com/solar/pre-trade/blogger-detail/61a9d194000000001000c9a2?track_id=kolMatch_dd8c9e8c989a45939e5a259b006f2e4d&amp;source=Advertiser_Kol" TargetMode="External" Id="rId159" /><Relationship Type="http://schemas.openxmlformats.org/officeDocument/2006/relationships/hyperlink" Target="https://www.xiaohongshu.com/user/profile/61a9d194000000001000c9a2" TargetMode="External" Id="rId160" /><Relationship Type="http://schemas.openxmlformats.org/officeDocument/2006/relationships/hyperlink" Target="https://pgy.xiaohongshu.com/solar/pre-trade/blogger-detail/6591216b0000000022003c19?track_id=kolMatch_dd8c9e8c989a45939e5a259b006f2e4d&amp;source=Advertiser_Kol" TargetMode="External" Id="rId161" /><Relationship Type="http://schemas.openxmlformats.org/officeDocument/2006/relationships/hyperlink" Target="https://www.xiaohongshu.com/user/profile/6591216b0000000022003c19" TargetMode="External" Id="rId162" /><Relationship Type="http://schemas.openxmlformats.org/officeDocument/2006/relationships/hyperlink" Target="https://pgy.xiaohongshu.com/solar/pre-trade/blogger-detail/633adc63000000001802a8ba?track_id=kolMatch_dd8c9e8c989a45939e5a259b006f2e4d&amp;source=Advertiser_Kol" TargetMode="External" Id="rId163" /><Relationship Type="http://schemas.openxmlformats.org/officeDocument/2006/relationships/hyperlink" Target="https://www.xiaohongshu.com/user/profile/633adc63000000001802a8ba" TargetMode="External" Id="rId164" /><Relationship Type="http://schemas.openxmlformats.org/officeDocument/2006/relationships/hyperlink" Target="https://pgy.xiaohongshu.com/solar/pre-trade/blogger-detail/567565369eb57844adfcea1f?track_id=kolMatch_dd8c9e8c989a45939e5a259b006f2e4d&amp;source=Advertiser_Kol" TargetMode="External" Id="rId165" /><Relationship Type="http://schemas.openxmlformats.org/officeDocument/2006/relationships/hyperlink" Target="https://www.xiaohongshu.com/user/profile/567565369eb57844adfcea1f" TargetMode="External" Id="rId166" /><Relationship Type="http://schemas.openxmlformats.org/officeDocument/2006/relationships/hyperlink" Target="https://pgy.xiaohongshu.com/solar/pre-trade/blogger-detail/664819040000000007004c29?track_id=kolMatch_dd8c9e8c989a45939e5a259b006f2e4d&amp;source=Advertiser_Kol" TargetMode="External" Id="rId167" /><Relationship Type="http://schemas.openxmlformats.org/officeDocument/2006/relationships/hyperlink" Target="https://www.xiaohongshu.com/user/profile/664819040000000007004c29" TargetMode="External" Id="rId168" /><Relationship Type="http://schemas.openxmlformats.org/officeDocument/2006/relationships/hyperlink" Target="https://pgy.xiaohongshu.com/solar/pre-trade/blogger-detail/5fabc44c0000000001001024?track_id=kolMatch_b3070604ce7340b7961df4a2c7add478&amp;source=Advertiser_Kol" TargetMode="External" Id="rId169" /><Relationship Type="http://schemas.openxmlformats.org/officeDocument/2006/relationships/hyperlink" Target="https://www.xiaohongshu.com/user/profile/5fabc44c0000000001001024" TargetMode="External" Id="rId170" /><Relationship Type="http://schemas.openxmlformats.org/officeDocument/2006/relationships/hyperlink" Target="https://pgy.xiaohongshu.com/solar/pre-trade/blogger-detail/67c17493000000000e02c98b?track_id=kolMatch_5a8b798434114d7aa20688dcd095b104&amp;source=Advertiser_Kol" TargetMode="External" Id="rId171" /><Relationship Type="http://schemas.openxmlformats.org/officeDocument/2006/relationships/hyperlink" Target="https://www.xiaohongshu.com/user/profile/67c17493000000000e02c98b" TargetMode="External" Id="rId172" /><Relationship Type="http://schemas.openxmlformats.org/officeDocument/2006/relationships/hyperlink" Target="https://pgy.xiaohongshu.com/solar/pre-trade/blogger-detail/634821d7000000001901cf1c?track_id=kolMatch_8230e88bdb4b486db85bb62517de76b6&amp;source=Advertiser_Kol" TargetMode="External" Id="rId173" /><Relationship Type="http://schemas.openxmlformats.org/officeDocument/2006/relationships/hyperlink" Target="https://www.xiaohongshu.com/user/profile/634821d7000000001901cf1c" TargetMode="External" Id="rId174" /><Relationship Type="http://schemas.openxmlformats.org/officeDocument/2006/relationships/hyperlink" Target="https://pgy.xiaohongshu.com/solar/pre-trade/blogger-detail/578307cb5e87e71b46c90c7e?track_id=kolMatch_dd8c9e8c989a45939e5a259b006f2e4d&amp;source=Advertiser_Kol" TargetMode="External" Id="rId175" /><Relationship Type="http://schemas.openxmlformats.org/officeDocument/2006/relationships/hyperlink" Target="https://www.xiaohongshu.com/user/profile/578307cb5e87e71b46c90c7e" TargetMode="External" Id="rId176" /><Relationship Type="http://schemas.openxmlformats.org/officeDocument/2006/relationships/hyperlink" Target="https://pgy.xiaohongshu.com/solar/pre-trade/blogger-detail/58eca05b5e87e77358557276?track_id=kolMatch_dd8c9e8c989a45939e5a259b006f2e4d&amp;source=Advertiser_Kol" TargetMode="External" Id="rId177" /><Relationship Type="http://schemas.openxmlformats.org/officeDocument/2006/relationships/hyperlink" Target="https://www.xiaohongshu.com/user/profile/58eca05b5e87e77358557276" TargetMode="External" Id="rId178" /><Relationship Type="http://schemas.openxmlformats.org/officeDocument/2006/relationships/hyperlink" Target="https://pgy.xiaohongshu.com/solar/pre-trade/blogger-detail/66e50a5e000000001b0390ec?track_id=kolMatch_dd8c9e8c989a45939e5a259b006f2e4d&amp;source=Advertiser_Kol" TargetMode="External" Id="rId179" /><Relationship Type="http://schemas.openxmlformats.org/officeDocument/2006/relationships/hyperlink" Target="https://www.xiaohongshu.com/user/profile/66e50a5e000000001b0390ec" TargetMode="External" Id="rId180" /><Relationship Type="http://schemas.openxmlformats.org/officeDocument/2006/relationships/hyperlink" Target="https://pgy.xiaohongshu.com/solar/pre-trade/blogger-detail/65eb3513000000000500eafd?track_id=kolMatch_8230e88bdb4b486db85bb62517de76b6&amp;source=Advertiser_Kol" TargetMode="External" Id="rId181" /><Relationship Type="http://schemas.openxmlformats.org/officeDocument/2006/relationships/hyperlink" Target="https://www.xiaohongshu.com/user/profile/65eb3513000000000500eafd" TargetMode="External" Id="rId182" /><Relationship Type="http://schemas.openxmlformats.org/officeDocument/2006/relationships/hyperlink" Target="https://pgy.xiaohongshu.com/solar/pre-trade/blogger-detail/598c568c82ec3975a3bccfcd?track_id=kolMatch_db732fc4b30841309affcefcf916006c&amp;source=Advertiser_Kol" TargetMode="External" Id="rId183" /><Relationship Type="http://schemas.openxmlformats.org/officeDocument/2006/relationships/hyperlink" Target="https://www.xiaohongshu.com/user/profile/598c568c82ec3975a3bccfcd" TargetMode="External" Id="rId184" /><Relationship Type="http://schemas.openxmlformats.org/officeDocument/2006/relationships/hyperlink" Target="https://pgy.xiaohongshu.com/solar/pre-trade/blogger-detail/606f10ad0000000001000b8d?track_id=kolMatch_db732fc4b30841309affcefcf916006c&amp;source=Advertiser_Kol" TargetMode="External" Id="rId185" /><Relationship Type="http://schemas.openxmlformats.org/officeDocument/2006/relationships/hyperlink" Target="https://www.xiaohongshu.com/user/profile/606f10ad0000000001000b8d" TargetMode="External" Id="rId186" /><Relationship Type="http://schemas.openxmlformats.org/officeDocument/2006/relationships/hyperlink" Target="https://pgy.xiaohongshu.com/solar/pre-trade/blogger-detail/5754e9b85e87e7791baf499c?track_id=kolMatch_b3070604ce7340b7961df4a2c7add478&amp;source=Advertiser_Kol" TargetMode="External" Id="rId187" /><Relationship Type="http://schemas.openxmlformats.org/officeDocument/2006/relationships/hyperlink" Target="https://www.xiaohongshu.com/user/profile/5754e9b85e87e7791baf499c" TargetMode="External" Id="rId188" /><Relationship Type="http://schemas.openxmlformats.org/officeDocument/2006/relationships/hyperlink" Target="https://pgy.xiaohongshu.com/solar/pre-trade/blogger-detail/5fca1f1d000000000100478a?track_id=kolMatch_db732fc4b30841309affcefcf916006c&amp;source=Advertiser_Kol" TargetMode="External" Id="rId189" /><Relationship Type="http://schemas.openxmlformats.org/officeDocument/2006/relationships/hyperlink" Target="https://www.xiaohongshu.com/user/profile/5fca1f1d000000000100478a" TargetMode="External" Id="rId190" /><Relationship Type="http://schemas.openxmlformats.org/officeDocument/2006/relationships/hyperlink" Target="https://pgy.xiaohongshu.com/solar/pre-trade/blogger-detail/67877bbc000000000803ed71?track_id=kolMatch_4d0f177ed4254c2a896e9d60d484124d&amp;source=Advertiser_Kol" TargetMode="External" Id="rId191" /><Relationship Type="http://schemas.openxmlformats.org/officeDocument/2006/relationships/hyperlink" Target="https://www.xiaohongshu.com/user/profile/67877bbc000000000803ed71" TargetMode="External" Id="rId192" /><Relationship Type="http://schemas.openxmlformats.org/officeDocument/2006/relationships/hyperlink" Target="https://pgy.xiaohongshu.com/solar/pre-trade/blogger-detail/6611eb4b00000000070042cd?track_id=kolMatch_42f1f035a1004bbfb823f2cdf06cc96a&amp;source=Advertiser_Kol" TargetMode="External" Id="rId193" /><Relationship Type="http://schemas.openxmlformats.org/officeDocument/2006/relationships/hyperlink" Target="https://www.xiaohongshu.com/user/profile/6611eb4b00000000070042cd" TargetMode="External" Id="rId194" /><Relationship Type="http://schemas.openxmlformats.org/officeDocument/2006/relationships/hyperlink" Target="https://pgy.xiaohongshu.com/solar/pre-trade/blogger-detail/61740316000000000201a47f?track_id=kolMatch_b3070604ce7340b7961df4a2c7add478&amp;source=Advertiser_Kol" TargetMode="External" Id="rId195" /><Relationship Type="http://schemas.openxmlformats.org/officeDocument/2006/relationships/hyperlink" Target="https://www.xiaohongshu.com/user/profile/61740316000000000201a47f" TargetMode="External" Id="rId196" /><Relationship Type="http://schemas.openxmlformats.org/officeDocument/2006/relationships/hyperlink" Target="https://pgy.xiaohongshu.com/solar/pre-trade/blogger-detail/6784e981000000000801eb1a?track_id=kolMatch_b3070604ce7340b7961df4a2c7add478&amp;source=Advertiser_Kol" TargetMode="External" Id="rId197" /><Relationship Type="http://schemas.openxmlformats.org/officeDocument/2006/relationships/hyperlink" Target="https://www.xiaohongshu.com/user/profile/6784e981000000000801eb1a" TargetMode="External" Id="rId198" /><Relationship Type="http://schemas.openxmlformats.org/officeDocument/2006/relationships/hyperlink" Target="https://pgy.xiaohongshu.com/solar/pre-trade/blogger-detail/5c77f657000000001601e325?track_id=kolMatch_b3070604ce7340b7961df4a2c7add478&amp;source=Advertiser_Kol" TargetMode="External" Id="rId199" /><Relationship Type="http://schemas.openxmlformats.org/officeDocument/2006/relationships/hyperlink" Target="https://www.xiaohongshu.com/user/profile/5c77f657000000001601e325" TargetMode="External" Id="rId200" /><Relationship Type="http://schemas.openxmlformats.org/officeDocument/2006/relationships/hyperlink" Target="https://pgy.xiaohongshu.com/solar/pre-trade/blogger-detail/58a96b1750c4b459fe772475?track_id=kolMatch_b3070604ce7340b7961df4a2c7add478&amp;source=Advertiser_Kol" TargetMode="External" Id="rId201" /><Relationship Type="http://schemas.openxmlformats.org/officeDocument/2006/relationships/hyperlink" Target="https://www.xiaohongshu.com/user/profile/58a96b1750c4b459fe772475" TargetMode="External" Id="rId202" /><Relationship Type="http://schemas.openxmlformats.org/officeDocument/2006/relationships/hyperlink" Target="https://pgy.xiaohongshu.com/solar/pre-trade/blogger-detail/666a4cb3000000000303290a?track_id=kolMatch_b3070604ce7340b7961df4a2c7add478&amp;source=Advertiser_Kol" TargetMode="External" Id="rId203" /><Relationship Type="http://schemas.openxmlformats.org/officeDocument/2006/relationships/hyperlink" Target="https://www.xiaohongshu.com/user/profile/666a4cb3000000000303290a" TargetMode="External" Id="rId204" /><Relationship Type="http://schemas.openxmlformats.org/officeDocument/2006/relationships/hyperlink" Target="https://pgy.xiaohongshu.com/solar/pre-trade/blogger-detail/5ded0479000000000100633a?track_id=kolMatch_ec078e3113554f988acfa97112146279&amp;source=Advertiser_Kol" TargetMode="External" Id="rId205" /><Relationship Type="http://schemas.openxmlformats.org/officeDocument/2006/relationships/hyperlink" Target="https://www.xiaohongshu.com/user/profile/5ded0479000000000100633a" TargetMode="External" Id="rId206" /><Relationship Type="http://schemas.openxmlformats.org/officeDocument/2006/relationships/hyperlink" Target="https://pgy.xiaohongshu.com/solar/pre-trade/blogger-detail/675e3238000000001403369d?track_id=kolMatch_ec078e3113554f988acfa97112146279&amp;source=Advertiser_Kol" TargetMode="External" Id="rId207" /><Relationship Type="http://schemas.openxmlformats.org/officeDocument/2006/relationships/hyperlink" Target="https://www.xiaohongshu.com/user/profile/675e3238000000001403369d" TargetMode="External" Id="rId208" /><Relationship Type="http://schemas.openxmlformats.org/officeDocument/2006/relationships/hyperlink" Target="https://pgy.xiaohongshu.com/solar/pre-trade/blogger-detail/66efd32a000000001d023f23?track_id=kolMatch_ec078e3113554f988acfa97112146279&amp;source=Advertiser_Kol" TargetMode="External" Id="rId209" /><Relationship Type="http://schemas.openxmlformats.org/officeDocument/2006/relationships/hyperlink" Target="https://www.xiaohongshu.com/user/profile/66efd32a000000001d023f23" TargetMode="External" Id="rId210" /><Relationship Type="http://schemas.openxmlformats.org/officeDocument/2006/relationships/hyperlink" Target="https://pgy.xiaohongshu.com/solar/pre-trade/blogger-detail/606a6d48000000000101e119?track_id=kolMatch_ec078e3113554f988acfa97112146279&amp;source=Advertiser_Kol" TargetMode="External" Id="rId211" /><Relationship Type="http://schemas.openxmlformats.org/officeDocument/2006/relationships/hyperlink" Target="https://www.xiaohongshu.com/user/profile/606a6d48000000000101e119" TargetMode="External" Id="rId212" /><Relationship Type="http://schemas.openxmlformats.org/officeDocument/2006/relationships/hyperlink" Target="https://pgy.xiaohongshu.com/solar/pre-trade/blogger-detail/636271e7000000001f014332?track_id=kolMatch_504f29801f1d4fd49e73d637254ba926&amp;source=Advertiser_Kol" TargetMode="External" Id="rId213" /><Relationship Type="http://schemas.openxmlformats.org/officeDocument/2006/relationships/hyperlink" Target="https://www.xiaohongshu.com/user/profile/636271e7000000001f014332" TargetMode="External" Id="rId214" /><Relationship Type="http://schemas.openxmlformats.org/officeDocument/2006/relationships/hyperlink" Target="https://pgy.xiaohongshu.com/solar/pre-trade/blogger-detail/616156290000000002024ed3?track_id=kolMatch_504f29801f1d4fd49e73d637254ba926&amp;source=Advertiser_Kol" TargetMode="External" Id="rId215" /><Relationship Type="http://schemas.openxmlformats.org/officeDocument/2006/relationships/hyperlink" Target="https://www.xiaohongshu.com/user/profile/616156290000000002024ed3" TargetMode="External" Id="rId216" /><Relationship Type="http://schemas.openxmlformats.org/officeDocument/2006/relationships/hyperlink" Target="https://pgy.xiaohongshu.com/solar/pre-trade/blogger-detail/5fd2cc8d000000000101d0ac?track_id=kolMatch_504f29801f1d4fd49e73d637254ba926&amp;source=Advertiser_Kol" TargetMode="External" Id="rId217" /><Relationship Type="http://schemas.openxmlformats.org/officeDocument/2006/relationships/hyperlink" Target="https://www.xiaohongshu.com/user/profile/5fd2cc8d000000000101d0ac" TargetMode="External" Id="rId218" /><Relationship Type="http://schemas.openxmlformats.org/officeDocument/2006/relationships/hyperlink" Target="https://pgy.xiaohongshu.com/solar/pre-trade/blogger-detail/647ed9ca0000000012034ddb?track_id=kolMatch_504f29801f1d4fd49e73d637254ba926&amp;source=Advertiser_Kol" TargetMode="External" Id="rId219" /><Relationship Type="http://schemas.openxmlformats.org/officeDocument/2006/relationships/hyperlink" Target="https://www.xiaohongshu.com/user/profile/647ed9ca0000000012034ddb" TargetMode="External" Id="rId220" /><Relationship Type="http://schemas.openxmlformats.org/officeDocument/2006/relationships/hyperlink" Target="https://pgy.xiaohongshu.com/solar/pre-trade/blogger-detail/58ff1e245e87e7751b93c38d?track_id=kolMatch_504f29801f1d4fd49e73d637254ba926&amp;source=Advertiser_Kol" TargetMode="External" Id="rId221" /><Relationship Type="http://schemas.openxmlformats.org/officeDocument/2006/relationships/hyperlink" Target="https://www.xiaohongshu.com/user/profile/58ff1e245e87e7751b93c38d" TargetMode="External" Id="rId222" /><Relationship Type="http://schemas.openxmlformats.org/officeDocument/2006/relationships/hyperlink" Target="https://pgy.xiaohongshu.com/solar/pre-trade/blogger-detail/64b7709c000000001403ede7?track_id=kolMatch_2f2985a15fe94142897124decaed1ddb&amp;source=Advertiser_Kol" TargetMode="External" Id="rId223" /><Relationship Type="http://schemas.openxmlformats.org/officeDocument/2006/relationships/hyperlink" Target="https://www.xiaohongshu.com/user/profile/64b7709c000000001403ede7" TargetMode="External" Id="rId224" /><Relationship Type="http://schemas.openxmlformats.org/officeDocument/2006/relationships/hyperlink" Target="https://pgy.xiaohongshu.com/solar/pre-trade/blogger-detail/5bbd506d4eacab39786f37f7?track_id=kolMatch_2f2985a15fe94142897124decaed1ddb&amp;source=Advertiser_Kol" TargetMode="External" Id="rId225" /><Relationship Type="http://schemas.openxmlformats.org/officeDocument/2006/relationships/hyperlink" Target="https://www.xiaohongshu.com/user/profile/5bbd506d4eacab39786f37f7" TargetMode="External" Id="rId226" /><Relationship Type="http://schemas.openxmlformats.org/officeDocument/2006/relationships/hyperlink" Target="https://pgy.xiaohongshu.com/solar/pre-trade/blogger-detail/5f6314bb00000000010033dd?track_id=kolMatch_10b121357444437a981800edffa8bcba&amp;source=Advertiser_Kol" TargetMode="External" Id="rId227" /><Relationship Type="http://schemas.openxmlformats.org/officeDocument/2006/relationships/hyperlink" Target="https://www.xiaohongshu.com/user/profile/5f6314bb00000000010033dd" TargetMode="External" Id="rId228" /><Relationship Type="http://schemas.openxmlformats.org/officeDocument/2006/relationships/hyperlink" Target="https://pgy.xiaohongshu.com/solar/pre-trade/blogger-detail/66910ae100000000030308af?track_id=kolMatch_10b121357444437a981800edffa8bcba&amp;source=Advertiser_Kol" TargetMode="External" Id="rId229" /><Relationship Type="http://schemas.openxmlformats.org/officeDocument/2006/relationships/hyperlink" Target="https://www.xiaohongshu.com/user/profile/66910ae100000000030308af" TargetMode="External" Id="rId230" /><Relationship Type="http://schemas.openxmlformats.org/officeDocument/2006/relationships/hyperlink" Target="https://pgy.xiaohongshu.com/solar/pre-trade/blogger-detail/65ddcfad000000000500cb1b?track_id=kolMatch_10b121357444437a981800edffa8bcba&amp;source=Advertiser_Kol" TargetMode="External" Id="rId231" /><Relationship Type="http://schemas.openxmlformats.org/officeDocument/2006/relationships/hyperlink" Target="https://www.xiaohongshu.com/user/profile/65ddcfad000000000500cb1b" TargetMode="External" Id="rId232" /><Relationship Type="http://schemas.openxmlformats.org/officeDocument/2006/relationships/hyperlink" Target="https://pgy.xiaohongshu.com/solar/pre-trade/blogger-detail/67c17493000000000e02c98b?track_id=kolMatch_7a7873c386504fc4a56815c417547dc0&amp;source=Advertiser_Kol" TargetMode="External" Id="rId233" /><Relationship Type="http://schemas.openxmlformats.org/officeDocument/2006/relationships/hyperlink" Target="https://www.xiaohongshu.com/user/profile/67c17493000000000e02c98b" TargetMode="External" Id="rId234" /><Relationship Type="http://schemas.openxmlformats.org/officeDocument/2006/relationships/hyperlink" Target="https://pgy.xiaohongshu.com/solar/pre-trade/blogger-detail/654b2695000000000400a7ec?track_id=kolMatch_f43be16f77cb4a71b418d790cf7bfaff&amp;source=Advertiser_Kol" TargetMode="External" Id="rId235" /><Relationship Type="http://schemas.openxmlformats.org/officeDocument/2006/relationships/hyperlink" Target="https://www.xiaohongshu.com/user/profile/654b2695000000000400a7ec" TargetMode="External" Id="rId236" /><Relationship Type="http://schemas.openxmlformats.org/officeDocument/2006/relationships/hyperlink" Target="https://pgy.xiaohongshu.com/solar/pre-trade/blogger-detail/5c64e30e0000000011034842?track_id=kolMatch_41546b3a86de45cab5ca1fdf2ce52b81&amp;source=Advertiser_Kol" TargetMode="External" Id="rId237" /><Relationship Type="http://schemas.openxmlformats.org/officeDocument/2006/relationships/hyperlink" Target="https://www.xiaohongshu.com/user/profile/5c64e30e0000000011034842" TargetMode="External" Id="rId238" /><Relationship Type="http://schemas.openxmlformats.org/officeDocument/2006/relationships/hyperlink" Target="https://pgy.xiaohongshu.com/solar/pre-trade/blogger-detail/5b544735f7e8b93e4d3ee509?track_id=kolMatch_e3193b37808049a68515c6bccc801c77&amp;source=Advertiser_Kol" TargetMode="External" Id="rId239" /><Relationship Type="http://schemas.openxmlformats.org/officeDocument/2006/relationships/hyperlink" Target="https://www.xiaohongshu.com/user/profile/5b544735f7e8b93e4d3ee509" TargetMode="External" Id="rId240" /><Relationship Type="http://schemas.openxmlformats.org/officeDocument/2006/relationships/hyperlink" Target="https://pgy.xiaohongshu.com/solar/pre-trade/blogger-detail/64e5af00000000000101205a?track_id=kolMatch_e3193b37808049a68515c6bccc801c77&amp;source=Advertiser_Kol" TargetMode="External" Id="rId241" /><Relationship Type="http://schemas.openxmlformats.org/officeDocument/2006/relationships/hyperlink" Target="https://www.xiaohongshu.com/user/profile/64e5af00000000000101205a" TargetMode="External" Id="rId242" /><Relationship Type="http://schemas.openxmlformats.org/officeDocument/2006/relationships/hyperlink" Target="https://pgy.xiaohongshu.com/solar/pre-trade/blogger-detail/639de2c50000000026012a6f?track_id=kolMatch_e3193b37808049a68515c6bccc801c77&amp;source=Advertiser_Kol" TargetMode="External" Id="rId243" /><Relationship Type="http://schemas.openxmlformats.org/officeDocument/2006/relationships/hyperlink" Target="https://www.xiaohongshu.com/user/profile/639de2c50000000026012a6f" TargetMode="External" Id="rId244" /><Relationship Type="http://schemas.openxmlformats.org/officeDocument/2006/relationships/hyperlink" Target="https://pgy.xiaohongshu.com/solar/pre-trade/blogger-detail/5649208cc2bdeb0887af1bc7?track_id=kolMatch_e3193b37808049a68515c6bccc801c77&amp;source=Advertiser_Kol" TargetMode="External" Id="rId245" /><Relationship Type="http://schemas.openxmlformats.org/officeDocument/2006/relationships/hyperlink" Target="https://www.xiaohongshu.com/user/profile/5649208cc2bdeb0887af1bc7" TargetMode="External" Id="rId246" /><Relationship Type="http://schemas.openxmlformats.org/officeDocument/2006/relationships/hyperlink" Target="https://pgy.xiaohongshu.com/solar/pre-trade/blogger-detail/5d270b0400000000160375cb?track_id=kolMatch_e3193b37808049a68515c6bccc801c77&amp;source=Advertiser_Kol" TargetMode="External" Id="rId247" /><Relationship Type="http://schemas.openxmlformats.org/officeDocument/2006/relationships/hyperlink" Target="https://www.xiaohongshu.com/user/profile/5d270b0400000000160375cb" TargetMode="External" Id="rId248" /><Relationship Type="http://schemas.openxmlformats.org/officeDocument/2006/relationships/hyperlink" Target="https://pgy.xiaohongshu.com/solar/pre-trade/blogger-detail/6731ce39000000000800a64d?track_id=kolMatch_e3193b37808049a68515c6bccc801c77&amp;source=Advertiser_Kol" TargetMode="External" Id="rId249" /><Relationship Type="http://schemas.openxmlformats.org/officeDocument/2006/relationships/hyperlink" Target="https://www.xiaohongshu.com/user/profile/6731ce39000000000800a64d" TargetMode="External" Id="rId250" /><Relationship Type="http://schemas.openxmlformats.org/officeDocument/2006/relationships/hyperlink" Target="https://pgy.xiaohongshu.com/solar/pre-trade/blogger-detail/651f6516000000002402f6bb?track_id=kolMatch_7a7873c386504fc4a56815c417547dc0&amp;source=Advertiser_Kol" TargetMode="External" Id="rId251" /><Relationship Type="http://schemas.openxmlformats.org/officeDocument/2006/relationships/hyperlink" Target="https://www.xiaohongshu.com/user/profile/651f6516000000002402f6bb" TargetMode="External" Id="rId252" /><Relationship Type="http://schemas.openxmlformats.org/officeDocument/2006/relationships/hyperlink" Target="https://pgy.xiaohongshu.com/solar/pre-trade/blogger-detail/631590b6000000001200f66a?track_id=kolMatch_7a7873c386504fc4a56815c417547dc0&amp;source=Advertiser_Kol" TargetMode="External" Id="rId253" /><Relationship Type="http://schemas.openxmlformats.org/officeDocument/2006/relationships/hyperlink" Target="https://www.xiaohongshu.com/user/profile/631590b6000000001200f66a" TargetMode="External" Id="rId254" /><Relationship Type="http://schemas.openxmlformats.org/officeDocument/2006/relationships/hyperlink" Target="https://pgy.xiaohongshu.com/solar/pre-trade/blogger-detail/57e0ecbe82ec396b78748efa?track_id=kolMatch_7a7873c386504fc4a56815c417547dc0&amp;source=Advertiser_Kol" TargetMode="External" Id="rId255" /><Relationship Type="http://schemas.openxmlformats.org/officeDocument/2006/relationships/hyperlink" Target="https://www.xiaohongshu.com/user/profile/57e0ecbe82ec396b78748efa" TargetMode="External" Id="rId256" /><Relationship Type="http://schemas.openxmlformats.org/officeDocument/2006/relationships/hyperlink" Target="https://pgy.xiaohongshu.com/solar/pre-trade/blogger-detail/5a72af8111be1058c18aba00?track_id=kolMatch_e0113116f1764faf89aa583dd4ec5a75&amp;source=Advertiser_Kol" TargetMode="External" Id="rId257" /><Relationship Type="http://schemas.openxmlformats.org/officeDocument/2006/relationships/hyperlink" Target="https://www.xiaohongshu.com/user/profile/5a72af8111be1058c18aba00" TargetMode="External" Id="rId258" /><Relationship Type="http://schemas.openxmlformats.org/officeDocument/2006/relationships/hyperlink" Target="https://pgy.xiaohongshu.com/solar/pre-trade/blogger-detail/570b6e5e4775a77b3c830b49?track_id=kolMatch_e0113116f1764faf89aa583dd4ec5a75&amp;source=Advertiser_Kol" TargetMode="External" Id="rId259" /><Relationship Type="http://schemas.openxmlformats.org/officeDocument/2006/relationships/hyperlink" Target="https://www.xiaohongshu.com/user/profile/570b6e5e4775a77b3c830b49" TargetMode="External" Id="rId260" /><Relationship Type="http://schemas.openxmlformats.org/officeDocument/2006/relationships/hyperlink" Target="https://pgy.xiaohongshu.com/solar/pre-trade/blogger-detail/54ccdaece779891d71c54282?track_id=kolMatch_e0113116f1764faf89aa583dd4ec5a75&amp;source=Advertiser_Kol" TargetMode="External" Id="rId261" /><Relationship Type="http://schemas.openxmlformats.org/officeDocument/2006/relationships/hyperlink" Target="https://www.xiaohongshu.com/user/profile/54ccdaece779891d71c54282" TargetMode="External" Id="rId262" /><Relationship Type="http://schemas.openxmlformats.org/officeDocument/2006/relationships/hyperlink" Target="https://pgy.xiaohongshu.com/solar/pre-trade/blogger-detail/5a12afcae8ac2b5cdc82d608?track_id=kolMatch_13d331fb2f894c14892de395ba62f956&amp;source=Advertiser_Kol" TargetMode="External" Id="rId263" /><Relationship Type="http://schemas.openxmlformats.org/officeDocument/2006/relationships/hyperlink" Target="https://www.xiaohongshu.com/user/profile/5a12afcae8ac2b5cdc82d608" TargetMode="External" Id="rId264" /><Relationship Type="http://schemas.openxmlformats.org/officeDocument/2006/relationships/hyperlink" Target="https://pgy.xiaohongshu.com/solar/pre-trade/blogger-detail/5a635c384eacab606f3d6aed?track_id=kolMatch_13d331fb2f894c14892de395ba62f956&amp;source=Advertiser_Kol" TargetMode="External" Id="rId265" /><Relationship Type="http://schemas.openxmlformats.org/officeDocument/2006/relationships/hyperlink" Target="https://www.xiaohongshu.com/user/profile/5a635c384eacab606f3d6aed" TargetMode="External" Id="rId266" /><Relationship Type="http://schemas.openxmlformats.org/officeDocument/2006/relationships/hyperlink" Target="https://pgy.xiaohongshu.com/solar/pre-trade/blogger-detail/5bbc093af7e8b924df5bff55?track_id=kolMatch_4c3d492c0e31438db990badd38d51cc7&amp;source=Advertiser_Kol" TargetMode="External" Id="rId267" /><Relationship Type="http://schemas.openxmlformats.org/officeDocument/2006/relationships/hyperlink" Target="https://www.xiaohongshu.com/user/profile/5bbc093af7e8b924df5bff55" TargetMode="External" Id="rId268" /><Relationship Type="http://schemas.openxmlformats.org/officeDocument/2006/relationships/hyperlink" Target="https://pgy.xiaohongshu.com/solar/pre-trade/blogger-detail/598726ce5e87e70884bd33ac?track_id=kolMatch_4c3d492c0e31438db990badd38d51cc7&amp;source=Advertiser_Kol" TargetMode="External" Id="rId269" /><Relationship Type="http://schemas.openxmlformats.org/officeDocument/2006/relationships/hyperlink" Target="https://www.xiaohongshu.com/user/profile/598726ce5e87e70884bd33ac" TargetMode="External" Id="rId270" /><Relationship Type="http://schemas.openxmlformats.org/officeDocument/2006/relationships/hyperlink" Target="https://pgy.xiaohongshu.com/solar/pre-trade/blogger-detail/5ff410c7000000000101c4f7?track_id=kolMatch_0e870250d2e041a496aec5eaaf2da9fa&amp;source=Advertiser_Kol" TargetMode="External" Id="rId271" /><Relationship Type="http://schemas.openxmlformats.org/officeDocument/2006/relationships/hyperlink" Target="https://www.xiaohongshu.com/user/profile/5ff410c7000000000101c4f7" TargetMode="External" Id="rId272" /><Relationship Type="http://schemas.openxmlformats.org/officeDocument/2006/relationships/hyperlink" Target="https://pgy.xiaohongshu.com/solar/pre-trade/blogger-detail/57582f8882ec397ce8a69576?track_id=kolMatch_0e870250d2e041a496aec5eaaf2da9fa&amp;source=Advertiser_Kol" TargetMode="External" Id="rId273" /><Relationship Type="http://schemas.openxmlformats.org/officeDocument/2006/relationships/hyperlink" Target="https://www.xiaohongshu.com/user/profile/57582f8882ec397ce8a69576" TargetMode="External" Id="rId274" /><Relationship Type="http://schemas.openxmlformats.org/officeDocument/2006/relationships/hyperlink" Target="https://pgy.xiaohongshu.com/solar/pre-trade/blogger-detail/556fef2fc2bdeb7652f9e26e?track_id=kolMatch_0e870250d2e041a496aec5eaaf2da9fa&amp;source=Advertiser_Kol" TargetMode="External" Id="rId275" /><Relationship Type="http://schemas.openxmlformats.org/officeDocument/2006/relationships/hyperlink" Target="https://www.xiaohongshu.com/user/profile/556fef2fc2bdeb7652f9e26e" TargetMode="External" Id="rId276" /><Relationship Type="http://schemas.openxmlformats.org/officeDocument/2006/relationships/hyperlink" Target="https://pgy.xiaohongshu.com/solar/pre-trade/blogger-detail/60631242000000000100363a?track_id=kolMatch_2030ec33eba049d79858a6144826eff1&amp;source=Advertiser_Kol" TargetMode="External" Id="rId277" /><Relationship Type="http://schemas.openxmlformats.org/officeDocument/2006/relationships/hyperlink" Target="https://www.xiaohongshu.com/user/profile/60631242000000000100363a" TargetMode="External" Id="rId278" /><Relationship Type="http://schemas.openxmlformats.org/officeDocument/2006/relationships/hyperlink" Target="https://pgy.xiaohongshu.com/solar/pre-trade/blogger-detail/59ecb335e8ac2b7a9d9bf873?track_id=kolMatch_2030ec33eba049d79858a6144826eff1&amp;source=Advertiser_Kol" TargetMode="External" Id="rId279" /><Relationship Type="http://schemas.openxmlformats.org/officeDocument/2006/relationships/hyperlink" Target="https://www.xiaohongshu.com/user/profile/59ecb335e8ac2b7a9d9bf873" TargetMode="External" Id="rId280" /><Relationship Type="http://schemas.openxmlformats.org/officeDocument/2006/relationships/hyperlink" Target="https://pgy.xiaohongshu.com/solar/pre-trade/blogger-detail/58b900db37cec976250f4ba7?track_id=kolMatch_31c8847efc624954b2f79cd082c5877b&amp;source=Advertiser_Kol" TargetMode="External" Id="rId281" /><Relationship Type="http://schemas.openxmlformats.org/officeDocument/2006/relationships/hyperlink" Target="https://www.xiaohongshu.com/user/profile/58b900db37cec976250f4ba7" TargetMode="External" Id="rId282" /><Relationship Type="http://schemas.openxmlformats.org/officeDocument/2006/relationships/hyperlink" Target="https://pgy.xiaohongshu.com/solar/pre-trade/blogger-detail/6424f86a000000002a00823d?track_id=kolSearch_da2d14e3f3324c5989200d5275e9e79f&amp;source=Advertiser_Kol" TargetMode="External" Id="rId283" /><Relationship Type="http://schemas.openxmlformats.org/officeDocument/2006/relationships/hyperlink" Target="https://www.xiaohongshu.com/user/profile/6424f86a000000002a00823d" TargetMode="External" Id="rId284" /><Relationship Type="http://schemas.openxmlformats.org/officeDocument/2006/relationships/hyperlink" Target="https://pgy.xiaohongshu.com/solar/pre-trade/blogger-detail/68346ed9000000000803914a?track_id=kolMatch_e0113116f1764faf89aa583dd4ec5a75&amp;source=Advertiser_Kol" TargetMode="External" Id="rId285" /><Relationship Type="http://schemas.openxmlformats.org/officeDocument/2006/relationships/hyperlink" Target="https://www.xiaohongshu.com/user/profile/68346ed9000000000803914a" TargetMode="External" Id="rId286" /><Relationship Type="http://schemas.openxmlformats.org/officeDocument/2006/relationships/hyperlink" Target="https://pgy.xiaohongshu.com/solar/pre-trade/blogger-detail/64b926470000000014036b27?track_id=kolMatch_e0113116f1764faf89aa583dd4ec5a75&amp;source=Advertiser_Kol" TargetMode="External" Id="rId287" /><Relationship Type="http://schemas.openxmlformats.org/officeDocument/2006/relationships/hyperlink" Target="https://www.xiaohongshu.com/user/profile/64b926470000000014036b27" TargetMode="External" Id="rId288" /><Relationship Type="http://schemas.openxmlformats.org/officeDocument/2006/relationships/hyperlink" Target="https://pgy.xiaohongshu.com/solar/pre-trade/blogger-detail/5f6e22680000000001008f6e?track_id=kolMatch_41546b3a86de45cab5ca1fdf2ce52b81&amp;source=Advertiser_Kol" TargetMode="External" Id="rId289" /><Relationship Type="http://schemas.openxmlformats.org/officeDocument/2006/relationships/hyperlink" Target="https://www.xiaohongshu.com/user/profile/5f6e22680000000001008f6e" TargetMode="External" Id="rId290" /><Relationship Type="http://schemas.openxmlformats.org/officeDocument/2006/relationships/hyperlink" Target="https://pgy.xiaohongshu.com/solar/pre-trade/blogger-detail/59da402320e88f535580d916?track_id=kolMatch_0e870250d2e041a496aec5eaaf2da9fa&amp;source=Advertiser_Kol" TargetMode="External" Id="rId291" /><Relationship Type="http://schemas.openxmlformats.org/officeDocument/2006/relationships/hyperlink" Target="https://www.xiaohongshu.com/user/profile/59da402320e88f535580d916" TargetMode="External" Id="rId292" /><Relationship Type="http://schemas.openxmlformats.org/officeDocument/2006/relationships/hyperlink" Target="https://pgy.xiaohongshu.com/solar/pre-trade/blogger-detail/658e22da00000000220175d5?track_id=kolSearch_504f0a1499ef4eca914a028b3563c02c&amp;source=Advertiser_Kol" TargetMode="External" Id="rId293" /><Relationship Type="http://schemas.openxmlformats.org/officeDocument/2006/relationships/hyperlink" Target="https://www.xiaohongshu.com/user/profile/658e22da00000000220175d5" TargetMode="External" Id="rId294" /><Relationship Type="http://schemas.openxmlformats.org/officeDocument/2006/relationships/hyperlink" Target="https://pgy.xiaohongshu.com/solar/pre-trade/blogger-detail/584f8b3c5e87e7146d691dc2?track_id=kolSimilar_d5a69ff6e3f94b34ace363d962f81282&amp;source=Advertiser_Similar_Kol" TargetMode="External" Id="rId295" /><Relationship Type="http://schemas.openxmlformats.org/officeDocument/2006/relationships/hyperlink" Target="https://www.xiaohongshu.com/user/profile/584f8b3c5e87e7146d691dc2" TargetMode="External" Id="rId296" /><Relationship Type="http://schemas.openxmlformats.org/officeDocument/2006/relationships/hyperlink" Target="https://pgy.xiaohongshu.com/solar/pre-trade/blogger-detail/5572c1b1faea913a62c67865?track_id=kolSimilar_d5a69ff6e3f94b34ace363d962f81282&amp;source=Advertiser_Similar_Kol" TargetMode="External" Id="rId297" /><Relationship Type="http://schemas.openxmlformats.org/officeDocument/2006/relationships/hyperlink" Target="https://www.xiaohongshu.com/user/profile/5572c1b1faea913a62c67865" TargetMode="External" Id="rId298" /><Relationship Type="http://schemas.openxmlformats.org/officeDocument/2006/relationships/hyperlink" Target="https://pgy.xiaohongshu.com/solar/pre-trade/blogger-detail/64bfeca7000000001403ddf2?track_id=kolSimilar_d5a69ff6e3f94b34ace363d962f81282&amp;source=Advertiser_Similar_Kol" TargetMode="External" Id="rId299" /><Relationship Type="http://schemas.openxmlformats.org/officeDocument/2006/relationships/hyperlink" Target="https://www.xiaohongshu.com/user/profile/64bfeca7000000001403ddf2" TargetMode="External" Id="rId300" /><Relationship Type="http://schemas.openxmlformats.org/officeDocument/2006/relationships/hyperlink" Target="https://pgy.xiaohongshu.com/solar/pre-trade/blogger-detail/64b4a44b0000000025037a79?track_id=kolSimilar_afee5b2bff3c454e86441972b68f5273&amp;source=Advertiser_Similar_Kol" TargetMode="External" Id="rId301" /><Relationship Type="http://schemas.openxmlformats.org/officeDocument/2006/relationships/hyperlink" Target="https://www.xiaohongshu.com/user/profile/64b4a44b0000000025037a79" TargetMode="External" Id="rId302" /><Relationship Type="http://schemas.openxmlformats.org/officeDocument/2006/relationships/hyperlink" Target="https://pgy.xiaohongshu.com/solar/pre-trade/blogger-detail/632981db000000002303ccb0?track_id=kolSimilar_afee5b2bff3c454e86441972b68f5273&amp;source=Advertiser_Similar_Kol" TargetMode="External" Id="rId303" /><Relationship Type="http://schemas.openxmlformats.org/officeDocument/2006/relationships/hyperlink" Target="https://www.xiaohongshu.com/user/profile/632981db000000002303ccb0" TargetMode="External" Id="rId304" /><Relationship Type="http://schemas.openxmlformats.org/officeDocument/2006/relationships/hyperlink" Target="https://pgy.xiaohongshu.com/solar/pre-trade/blogger-detail/59fe7751e8ac2b58eaa319ad?track_id=kolSimilar_afee5b2bff3c454e86441972b68f5273&amp;source=Advertiser_Similar_Kol" TargetMode="External" Id="rId305" /><Relationship Type="http://schemas.openxmlformats.org/officeDocument/2006/relationships/hyperlink" Target="https://www.xiaohongshu.com/user/profile/59fe7751e8ac2b58eaa319ad" TargetMode="External" Id="rId306" /><Relationship Type="http://schemas.openxmlformats.org/officeDocument/2006/relationships/hyperlink" Target="https://pgy.xiaohongshu.com/solar/pre-trade/blogger-detail/64896cf3000000002a03723c?track_id=kolSimilar_afee5b2bff3c454e86441972b68f5273&amp;source=Advertiser_Similar_Kol" TargetMode="External" Id="rId307" /><Relationship Type="http://schemas.openxmlformats.org/officeDocument/2006/relationships/hyperlink" Target="https://www.xiaohongshu.com/user/profile/64896cf3000000002a03723c" TargetMode="External" Id="rId308" /><Relationship Type="http://schemas.openxmlformats.org/officeDocument/2006/relationships/hyperlink" Target="https://pgy.xiaohongshu.com/solar/pre-trade/blogger-detail/618909c80000000010008136?track_id=kolSimilar_afee5b2bff3c454e86441972b68f5273&amp;source=Advertiser_Similar_Kol" TargetMode="External" Id="rId309" /><Relationship Type="http://schemas.openxmlformats.org/officeDocument/2006/relationships/hyperlink" Target="https://www.xiaohongshu.com/user/profile/618909c80000000010008136" TargetMode="External" Id="rId310" /><Relationship Type="http://schemas.openxmlformats.org/officeDocument/2006/relationships/hyperlink" Target="https://pgy.xiaohongshu.com/solar/pre-trade/blogger-detail/55a781c862a60c5ba54f2c22?track_id=kolSimilar_afee5b2bff3c454e86441972b68f5273&amp;source=Advertiser_Similar_Kol" TargetMode="External" Id="rId311" /><Relationship Type="http://schemas.openxmlformats.org/officeDocument/2006/relationships/hyperlink" Target="https://www.xiaohongshu.com/user/profile/55a781c862a60c5ba54f2c22" TargetMode="External" Id="rId312" /><Relationship Type="http://schemas.openxmlformats.org/officeDocument/2006/relationships/hyperlink" Target="https://pgy.xiaohongshu.com/solar/pre-trade/blogger-detail/63859b55000000001f01e32a?track_id=kolSimilar_7811fa4d3b8f40ccb863093c6429df1c&amp;source=Advertiser_Similar_Kol" TargetMode="External" Id="rId313" /><Relationship Type="http://schemas.openxmlformats.org/officeDocument/2006/relationships/hyperlink" Target="https://www.xiaohongshu.com/user/profile/63859b55000000001f01e32a" TargetMode="External" Id="rId314" /><Relationship Type="http://schemas.openxmlformats.org/officeDocument/2006/relationships/hyperlink" Target="https://pgy.xiaohongshu.com/solar/pre-trade/blogger-detail/5b0789374eacab335d270c00?track_id=kolSimilar_7811fa4d3b8f40ccb863093c6429df1c&amp;source=Advertiser_Similar_Kol" TargetMode="External" Id="rId315" /><Relationship Type="http://schemas.openxmlformats.org/officeDocument/2006/relationships/hyperlink" Target="https://www.xiaohongshu.com/user/profile/5b0789374eacab335d270c00" TargetMode="External" Id="rId316" /><Relationship Type="http://schemas.openxmlformats.org/officeDocument/2006/relationships/hyperlink" Target="https://pgy.xiaohongshu.com/solar/pre-trade/blogger-detail/583795be7fc5b8507b2907d0?track_id=kolSimilar_febe79f6b9e54ac5af1dce11544e3433&amp;source=Advertiser_Similar_Kol" TargetMode="External" Id="rId317" /><Relationship Type="http://schemas.openxmlformats.org/officeDocument/2006/relationships/hyperlink" Target="https://www.xiaohongshu.com/user/profile/583795be7fc5b8507b2907d0" TargetMode="External" Id="rId318" /><Relationship Type="http://schemas.openxmlformats.org/officeDocument/2006/relationships/hyperlink" Target="https://pgy.xiaohongshu.com/solar/pre-trade/blogger-detail/6277d62b0000000021023c65?track_id=kolSimilar_febe79f6b9e54ac5af1dce11544e3433&amp;source=Advertiser_Similar_Kol" TargetMode="External" Id="rId319" /><Relationship Type="http://schemas.openxmlformats.org/officeDocument/2006/relationships/hyperlink" Target="https://www.xiaohongshu.com/user/profile/6277d62b0000000021023c65" TargetMode="External" Id="rId320" /><Relationship Type="http://schemas.openxmlformats.org/officeDocument/2006/relationships/hyperlink" Target="https://pgy.xiaohongshu.com/solar/pre-trade/blogger-detail/576e73696a6a69534baf02f6?track_id=kolSimilar_febe79f6b9e54ac5af1dce11544e3433&amp;source=Advertiser_Similar_Kol" TargetMode="External" Id="rId321" /><Relationship Type="http://schemas.openxmlformats.org/officeDocument/2006/relationships/hyperlink" Target="https://www.xiaohongshu.com/user/profile/576e73696a6a69534baf02f6" TargetMode="External" Id="rId322" /><Relationship Type="http://schemas.openxmlformats.org/officeDocument/2006/relationships/hyperlink" Target="https://pgy.xiaohongshu.com/solar/pre-trade/blogger-detail/65e69a36000000000500e720?track_id=kolSimilar_febe79f6b9e54ac5af1dce11544e3433&amp;source=Advertiser_Similar_Kol" TargetMode="External" Id="rId323" /><Relationship Type="http://schemas.openxmlformats.org/officeDocument/2006/relationships/hyperlink" Target="https://www.xiaohongshu.com/user/profile/65e69a36000000000500e720" TargetMode="External" Id="rId324" /><Relationship Type="http://schemas.openxmlformats.org/officeDocument/2006/relationships/hyperlink" Target="https://pgy.xiaohongshu.com/solar/pre-trade/blogger-detail/6225aa0a000000001000a5b2?track_id=kolSimilar_91d398f11280451396f277840554532a&amp;source=Advertiser_Similar_Kol" TargetMode="External" Id="rId325" /><Relationship Type="http://schemas.openxmlformats.org/officeDocument/2006/relationships/hyperlink" Target="https://www.xiaohongshu.com/user/profile/6225aa0a000000001000a5b2" TargetMode="External" Id="rId326" /><Relationship Type="http://schemas.openxmlformats.org/officeDocument/2006/relationships/hyperlink" Target="https://pgy.xiaohongshu.com/solar/pre-trade/blogger-detail/57f7b1855e87e749ee7e6a8a?track_id=kolSimilar_91d398f11280451396f277840554532a&amp;source=Advertiser_Similar_Kol" TargetMode="External" Id="rId327" /><Relationship Type="http://schemas.openxmlformats.org/officeDocument/2006/relationships/hyperlink" Target="https://www.xiaohongshu.com/user/profile/57f7b1855e87e749ee7e6a8a" TargetMode="External" Id="rId328" /><Relationship Type="http://schemas.openxmlformats.org/officeDocument/2006/relationships/hyperlink" Target="https://pgy.xiaohongshu.com/solar/pre-trade/blogger-detail/5b400b074eacab0c8b1f0519?track_id=kolSimilar_91d398f11280451396f277840554532a&amp;source=Advertiser_Similar_Kol" TargetMode="External" Id="rId329" /><Relationship Type="http://schemas.openxmlformats.org/officeDocument/2006/relationships/hyperlink" Target="https://www.xiaohongshu.com/user/profile/5b400b074eacab0c8b1f0519" TargetMode="External" Id="rId330" /><Relationship Type="http://schemas.openxmlformats.org/officeDocument/2006/relationships/hyperlink" Target="https://pgy.xiaohongshu.com/solar/pre-trade/blogger-detail/67087454000000001d0316d2?track_id=kolSimilar_91d398f11280451396f277840554532a&amp;source=Advertiser_Similar_Kol" TargetMode="External" Id="rId331" /><Relationship Type="http://schemas.openxmlformats.org/officeDocument/2006/relationships/hyperlink" Target="https://www.xiaohongshu.com/user/profile/67087454000000001d0316d2" TargetMode="External" Id="rId332" /><Relationship Type="http://schemas.openxmlformats.org/officeDocument/2006/relationships/hyperlink" Target="https://pgy.xiaohongshu.com/solar/pre-trade/blogger-detail/5daee3a2000000000100b06a?track_id=kolSimilar_91d398f11280451396f277840554532a&amp;source=Advertiser_Similar_Kol" TargetMode="External" Id="rId333" /><Relationship Type="http://schemas.openxmlformats.org/officeDocument/2006/relationships/hyperlink" Target="https://www.xiaohongshu.com/user/profile/5daee3a2000000000100b06a" TargetMode="External" Id="rId334" /><Relationship Type="http://schemas.openxmlformats.org/officeDocument/2006/relationships/hyperlink" Target="https://pgy.xiaohongshu.com/solar/pre-trade/blogger-detail/6786739c000000000801a264?track_id=kolSimilar_4a2a15f73cc94f0b8c1820d365785c75&amp;source=Advertiser_Similar_Kol" TargetMode="External" Id="rId335" /><Relationship Type="http://schemas.openxmlformats.org/officeDocument/2006/relationships/hyperlink" Target="https://www.xiaohongshu.com/user/profile/6786739c000000000801a264" TargetMode="External" Id="rId336" /><Relationship Type="http://schemas.openxmlformats.org/officeDocument/2006/relationships/hyperlink" Target="https://pgy.xiaohongshu.com/solar/pre-trade/blogger-detail/67176b80000000001d0330e3?track_id=kolSimilar_4a2a15f73cc94f0b8c1820d365785c75&amp;source=Advertiser_Similar_Kol" TargetMode="External" Id="rId337" /><Relationship Type="http://schemas.openxmlformats.org/officeDocument/2006/relationships/hyperlink" Target="https://www.xiaohongshu.com/user/profile/67176b80000000001d0330e3" TargetMode="External" Id="rId338" /><Relationship Type="http://schemas.openxmlformats.org/officeDocument/2006/relationships/hyperlink" Target="https://pgy.xiaohongshu.com/solar/pre-trade/blogger-detail/554c27b2b203d914ccbae2f1?track_id=kolSimilar_4a2a15f73cc94f0b8c1820d365785c75&amp;source=Advertiser_Similar_Kol" TargetMode="External" Id="rId339" /><Relationship Type="http://schemas.openxmlformats.org/officeDocument/2006/relationships/hyperlink" Target="https://www.xiaohongshu.com/user/profile/554c27b2b203d914ccbae2f1" TargetMode="External" Id="rId340" /><Relationship Type="http://schemas.openxmlformats.org/officeDocument/2006/relationships/hyperlink" Target="https://pgy.xiaohongshu.com/solar/pre-trade/blogger-detail/5a58d17611be1066f8a67547?track_id=kolSimilar_4a2a15f73cc94f0b8c1820d365785c75&amp;source=Advertiser_Similar_Kol" TargetMode="External" Id="rId341" /><Relationship Type="http://schemas.openxmlformats.org/officeDocument/2006/relationships/hyperlink" Target="https://www.xiaohongshu.com/user/profile/5a58d17611be1066f8a67547" TargetMode="External" Id="rId342" /><Relationship Type="http://schemas.openxmlformats.org/officeDocument/2006/relationships/hyperlink" Target="https://pgy.xiaohongshu.com/solar/pre-trade/blogger-detail/618bf0f1000000001000d7ca?track_id=kolSimilar_4a2a15f73cc94f0b8c1820d365785c75&amp;source=Advertiser_Similar_Kol" TargetMode="External" Id="rId343" /><Relationship Type="http://schemas.openxmlformats.org/officeDocument/2006/relationships/hyperlink" Target="https://www.xiaohongshu.com/user/profile/618bf0f1000000001000d7ca" TargetMode="External" Id="rId344" /><Relationship Type="http://schemas.openxmlformats.org/officeDocument/2006/relationships/hyperlink" Target="https://pgy.xiaohongshu.com/solar/pre-trade/blogger-detail/65c4c7a6000000000903cb96?track_id=kolSimilar_4a2a15f73cc94f0b8c1820d365785c75&amp;source=Advertiser_Similar_Kol" TargetMode="External" Id="rId345" /><Relationship Type="http://schemas.openxmlformats.org/officeDocument/2006/relationships/hyperlink" Target="https://www.xiaohongshu.com/user/profile/65c4c7a6000000000903cb96" TargetMode="External" Id="rId346" /><Relationship Type="http://schemas.openxmlformats.org/officeDocument/2006/relationships/hyperlink" Target="https://pgy.xiaohongshu.com/solar/pre-trade/blogger-detail/5cd054fb0000000012012816?track_id=kolSimilar_4a2a15f73cc94f0b8c1820d365785c75&amp;source=Advertiser_Similar_Kol" TargetMode="External" Id="rId347" /><Relationship Type="http://schemas.openxmlformats.org/officeDocument/2006/relationships/hyperlink" Target="https://www.xiaohongshu.com/user/profile/5cd054fb0000000012012816" TargetMode="External" Id="rId348" /><Relationship Type="http://schemas.openxmlformats.org/officeDocument/2006/relationships/hyperlink" Target="https://pgy.xiaohongshu.com/solar/pre-trade/blogger-detail/63818f10000000001f015a6d?track_id=kolMatch_899c23a5eecf4df99494bdac8e2d5e8c&amp;source=Advertiser_Kol" TargetMode="External" Id="rId349" /><Relationship Type="http://schemas.openxmlformats.org/officeDocument/2006/relationships/hyperlink" Target="https://www.xiaohongshu.com/user/profile/63818f10000000001f015a6d" TargetMode="External" Id="rId350" /><Relationship Type="http://schemas.openxmlformats.org/officeDocument/2006/relationships/hyperlink" Target="https://pgy.xiaohongshu.com/solar/pre-trade/blogger-detail/5a488fda4eacab297344da73?track_id=kolSearch_bc9efd8d437b409bafe8f32dc5f9ff50&amp;source=Advertiser_Kol" TargetMode="External" Id="rId351" /><Relationship Type="http://schemas.openxmlformats.org/officeDocument/2006/relationships/hyperlink" Target="https://www.xiaohongshu.com/user/profile/5a488fda4eacab297344da73" TargetMode="External" Id="rId352" /><Relationship Type="http://schemas.openxmlformats.org/officeDocument/2006/relationships/hyperlink" Target="https://pgy.xiaohongshu.com/solar/pre-trade/blogger-detail/64433d38000000002901131d?track_id=kolMatch_899c23a5eecf4df99494bdac8e2d5e8c&amp;source=Advertiser_Kol" TargetMode="External" Id="rId353" /><Relationship Type="http://schemas.openxmlformats.org/officeDocument/2006/relationships/hyperlink" Target="https://www.xiaohongshu.com/user/profile/64433d38000000002901131d" TargetMode="External" Id="rId354" /><Relationship Type="http://schemas.openxmlformats.org/officeDocument/2006/relationships/hyperlink" Target="https://pgy.xiaohongshu.com/solar/pre-trade/blogger-detail/60ac7b63000000000101fe8b?track_id=kolMatch_899c23a5eecf4df99494bdac8e2d5e8c&amp;source=Advertiser_Kol" TargetMode="External" Id="rId355" /><Relationship Type="http://schemas.openxmlformats.org/officeDocument/2006/relationships/hyperlink" Target="https://www.xiaohongshu.com/user/profile/60ac7b63000000000101fe8b" TargetMode="External" Id="rId356" /><Relationship Type="http://schemas.openxmlformats.org/officeDocument/2006/relationships/hyperlink" Target="https://pgy.xiaohongshu.com/solar/pre-trade/blogger-detail/604656dd00000000010033a9?track_id=kolMatch_0c560fb73ed24c8f93abe8f61e43a9d9&amp;source=Advertiser_Kol" TargetMode="External" Id="rId357" /><Relationship Type="http://schemas.openxmlformats.org/officeDocument/2006/relationships/hyperlink" Target="https://www.xiaohongshu.com/user/profile/604656dd00000000010033a9" TargetMode="External" Id="rId358" /><Relationship Type="http://schemas.openxmlformats.org/officeDocument/2006/relationships/hyperlink" Target="https://pgy.xiaohongshu.com/solar/pre-trade/blogger-detail/68da2715000000002102e65e?track_id=kolMatch_0c560fb73ed24c8f93abe8f61e43a9d9&amp;source=Advertiser_Kol" TargetMode="External" Id="rId359" /><Relationship Type="http://schemas.openxmlformats.org/officeDocument/2006/relationships/hyperlink" Target="https://www.xiaohongshu.com/user/profile/68da2715000000002102e65e" TargetMode="External" Id="rId360" /><Relationship Type="http://schemas.openxmlformats.org/officeDocument/2006/relationships/hyperlink" Target="https://pgy.xiaohongshu.com/solar/pre-trade/blogger-detail/67112206000000001d0229ec?track_id=kolMatch_0c560fb73ed24c8f93abe8f61e43a9d9&amp;source=Advertiser_Kol" TargetMode="External" Id="rId361" /><Relationship Type="http://schemas.openxmlformats.org/officeDocument/2006/relationships/hyperlink" Target="https://www.xiaohongshu.com/user/profile/67112206000000001d0229ec" TargetMode="External" Id="rId362" /><Relationship Type="http://schemas.openxmlformats.org/officeDocument/2006/relationships/hyperlink" Target="https://pgy.xiaohongshu.com/solar/pre-trade/blogger-detail/6889a71d0000000028029194?track_id=kolSimilar_6441c15f3b9e433b8784478012c2cacb&amp;source=Advertiser_Similar_Kol" TargetMode="External" Id="rId363" /><Relationship Type="http://schemas.openxmlformats.org/officeDocument/2006/relationships/hyperlink" Target="https://www.xiaohongshu.com/user/profile/6889a71d0000000028029194" TargetMode="External" Id="rId364" /><Relationship Type="http://schemas.openxmlformats.org/officeDocument/2006/relationships/hyperlink" Target="https://pgy.xiaohongshu.com/solar/pre-trade/blogger-detail/61a584980000000021021ac4?track_id=kolSimilar_2a8b15dc06664f4a815ad3d73751affe&amp;source=Advertiser_Similar_Kol" TargetMode="External" Id="rId365" /><Relationship Type="http://schemas.openxmlformats.org/officeDocument/2006/relationships/hyperlink" Target="https://www.xiaohongshu.com/user/profile/61a584980000000021021ac4" TargetMode="External" Id="rId366" /><Relationship Type="http://schemas.openxmlformats.org/officeDocument/2006/relationships/hyperlink" Target="https://pgy.xiaohongshu.com/solar/pre-trade/blogger-detail/667c0d370000000003030b6f?track_id=kolSimilar_2a8b15dc06664f4a815ad3d73751affe&amp;source=Advertiser_Similar_Kol" TargetMode="External" Id="rId367" /><Relationship Type="http://schemas.openxmlformats.org/officeDocument/2006/relationships/hyperlink" Target="https://www.xiaohongshu.com/user/profile/667c0d370000000003030b6f" TargetMode="External" Id="rId368" /><Relationship Type="http://schemas.openxmlformats.org/officeDocument/2006/relationships/hyperlink" Target="https://pgy.xiaohongshu.com/solar/pre-trade/blogger-detail/592f662082ec3976fd45865a?track_id=kolSimilar_06aca17208f7421dbad42cf64149b408&amp;source=Advertiser_Similar_Kol" TargetMode="External" Id="rId369" /><Relationship Type="http://schemas.openxmlformats.org/officeDocument/2006/relationships/hyperlink" Target="https://www.xiaohongshu.com/user/profile/592f662082ec3976fd45865a" TargetMode="External" Id="rId370" /><Relationship Type="http://schemas.openxmlformats.org/officeDocument/2006/relationships/hyperlink" Target="https://pgy.xiaohongshu.com/solar/pre-trade/blogger-detail/61699a82000000000201957f?track_id=kolSimilar_18a8b476ab3b444facfa836f957474b5&amp;source=Advertiser_Similar_Kol" TargetMode="External" Id="rId371" /><Relationship Type="http://schemas.openxmlformats.org/officeDocument/2006/relationships/hyperlink" Target="https://www.xiaohongshu.com/user/profile/61699a82000000000201957f" TargetMode="External" Id="rId372" /><Relationship Type="http://schemas.openxmlformats.org/officeDocument/2006/relationships/hyperlink" Target="https://pgy.xiaohongshu.com/solar/pre-trade/blogger-detail/58492b3b5e87e712f36d07cd?track_id=kolSimilar_18a8b476ab3b444facfa836f957474b5&amp;source=Advertiser_Similar_Kol" TargetMode="External" Id="rId373" /><Relationship Type="http://schemas.openxmlformats.org/officeDocument/2006/relationships/hyperlink" Target="https://www.xiaohongshu.com/user/profile/58492b3b5e87e712f36d07cd" TargetMode="External" Id="rId374" /><Relationship Type="http://schemas.openxmlformats.org/officeDocument/2006/relationships/hyperlink" Target="https://pgy.xiaohongshu.com/solar/pre-trade/blogger-detail/60d4bd5b00000000010083cd?track_id=kolSimilar_f69a376a066c43099cc9a6229e863646&amp;source=Advertiser_Similar_Kol" TargetMode="External" Id="rId375" /><Relationship Type="http://schemas.openxmlformats.org/officeDocument/2006/relationships/hyperlink" Target="https://www.xiaohongshu.com/user/profile/60d4bd5b00000000010083cd" TargetMode="External" Id="rId376" /><Relationship Type="http://schemas.openxmlformats.org/officeDocument/2006/relationships/hyperlink" Target="https://pgy.xiaohongshu.com/solar/pre-trade/blogger-detail/60e91e4f000000000101e2e3?track_id=kolSimilar_f69a376a066c43099cc9a6229e863646&amp;source=Advertiser_Similar_Kol" TargetMode="External" Id="rId377" /><Relationship Type="http://schemas.openxmlformats.org/officeDocument/2006/relationships/hyperlink" Target="https://www.xiaohongshu.com/user/profile/60e91e4f000000000101e2e3" TargetMode="External" Id="rId378" /><Relationship Type="http://schemas.openxmlformats.org/officeDocument/2006/relationships/hyperlink" Target="https://pgy.xiaohongshu.com/solar/pre-trade/blogger-detail/5e9d4f070000000001001e6c?track_id=kolSimilar_f69a376a066c43099cc9a6229e863646&amp;source=Advertiser_Similar_Kol" TargetMode="External" Id="rId379" /><Relationship Type="http://schemas.openxmlformats.org/officeDocument/2006/relationships/hyperlink" Target="https://www.xiaohongshu.com/user/profile/5e9d4f070000000001001e6c" TargetMode="External" Id="rId380" /><Relationship Type="http://schemas.openxmlformats.org/officeDocument/2006/relationships/hyperlink" Target="https://pgy.xiaohongshu.com/solar/pre-trade/blogger-detail/5a90cf2411be100f26117047?track_id=kolSimilar_f69a376a066c43099cc9a6229e863646&amp;source=Advertiser_Similar_Kol" TargetMode="External" Id="rId381" /><Relationship Type="http://schemas.openxmlformats.org/officeDocument/2006/relationships/hyperlink" Target="https://www.xiaohongshu.com/user/profile/5a90cf2411be100f26117047" TargetMode="External" Id="rId382" /><Relationship Type="http://schemas.openxmlformats.org/officeDocument/2006/relationships/hyperlink" Target="https://pgy.xiaohongshu.com/solar/pre-trade/blogger-detail/6821ae6d000000000d00b003?track_id=kolMatch_3e9f9fefb9054f99b8b3765d4bebcd96&amp;source=Advertiser_Kol" TargetMode="External" Id="rId383" /><Relationship Type="http://schemas.openxmlformats.org/officeDocument/2006/relationships/hyperlink" Target="https://www.xiaohongshu.com/user/profile/6821ae6d000000000d00b003" TargetMode="External" Id="rId384" /><Relationship Type="http://schemas.openxmlformats.org/officeDocument/2006/relationships/hyperlink" Target="https://pgy.xiaohongshu.com/solar/pre-trade/blogger-detail/5657ec496a6a690e4446b0b6?track_id=kolMatch_3e9f9fefb9054f99b8b3765d4bebcd96&amp;source=Advertiser_Kol" TargetMode="External" Id="rId385" /><Relationship Type="http://schemas.openxmlformats.org/officeDocument/2006/relationships/hyperlink" Target="https://www.xiaohongshu.com/user/profile/5657ec496a6a690e4446b0b6" TargetMode="External" Id="rId386" /><Relationship Type="http://schemas.openxmlformats.org/officeDocument/2006/relationships/hyperlink" Target="https://pgy.xiaohongshu.com/solar/pre-trade/blogger-detail/5ad91fa84eacab594e2475d4?track_id=kolMatch_de42bd9a94184c8b94f0d959da775966&amp;source=Advertiser_Kol" TargetMode="External" Id="rId387" /><Relationship Type="http://schemas.openxmlformats.org/officeDocument/2006/relationships/hyperlink" Target="https://www.xiaohongshu.com/user/profile/5ad91fa84eacab594e2475d4" TargetMode="External" Id="rId388" /><Relationship Type="http://schemas.openxmlformats.org/officeDocument/2006/relationships/hyperlink" Target="https://pgy.xiaohongshu.com/solar/pre-trade/blogger-detail/68908a04000000002803072d?track_id=kolMatch_de42bd9a94184c8b94f0d959da775966&amp;source=Advertiser_Kol" TargetMode="External" Id="rId389" /><Relationship Type="http://schemas.openxmlformats.org/officeDocument/2006/relationships/hyperlink" Target="https://www.xiaohongshu.com/user/profile/68908a04000000002803072d" TargetMode="External" Id="rId390" /><Relationship Type="http://schemas.openxmlformats.org/officeDocument/2006/relationships/hyperlink" Target="https://pgy.xiaohongshu.com/solar/pre-trade/blogger-detail/5b5fcec74eacab10459f50b0?track_id=kolMatch_de42bd9a94184c8b94f0d959da775966&amp;source=Advertiser_Kol" TargetMode="External" Id="rId391" /><Relationship Type="http://schemas.openxmlformats.org/officeDocument/2006/relationships/hyperlink" Target="https://www.xiaohongshu.com/user/profile/5b5fcec74eacab10459f50b0" TargetMode="External" Id="rId392" /><Relationship Type="http://schemas.openxmlformats.org/officeDocument/2006/relationships/hyperlink" Target="https://pgy.xiaohongshu.com/solar/pre-trade/blogger-detail/647f11f60000000011001cb6?track_id=kolMatch_de42bd9a94184c8b94f0d959da775966&amp;source=Advertiser_Kol" TargetMode="External" Id="rId393" /><Relationship Type="http://schemas.openxmlformats.org/officeDocument/2006/relationships/hyperlink" Target="https://www.xiaohongshu.com/user/profile/647f11f60000000011001cb6" TargetMode="External" Id="rId394" /><Relationship Type="http://schemas.openxmlformats.org/officeDocument/2006/relationships/hyperlink" Target="https://pgy.xiaohongshu.com/solar/pre-trade/blogger-detail/58a3f0045e87e71f2ecc0afe?track_id=kolMatch_7a96b2805c0849b6828521204354f285&amp;source=Advertiser_Kol" TargetMode="External" Id="rId395" /><Relationship Type="http://schemas.openxmlformats.org/officeDocument/2006/relationships/hyperlink" Target="https://www.xiaohongshu.com/user/profile/58a3f0045e87e71f2ecc0afe" TargetMode="External" Id="rId396" /><Relationship Type="http://schemas.openxmlformats.org/officeDocument/2006/relationships/hyperlink" Target="https://pgy.xiaohongshu.com/solar/pre-trade/blogger-detail/62073e26000000001000deca?track_id=kolMatch_3e9f9fefb9054f99b8b3765d4bebcd96&amp;source=Advertiser_Kol" TargetMode="External" Id="rId397" /><Relationship Type="http://schemas.openxmlformats.org/officeDocument/2006/relationships/hyperlink" Target="https://www.xiaohongshu.com/user/profile/62073e26000000001000deca" TargetMode="External" Id="rId398" /><Relationship Type="http://schemas.openxmlformats.org/officeDocument/2006/relationships/hyperlink" Target="https://pgy.xiaohongshu.com/solar/pre-trade/blogger-detail/5981fcd850c4b4315c466af5?track_id=kolMatch_7a96b2805c0849b6828521204354f285&amp;source=Advertiser_Kol" TargetMode="External" Id="rId399" /><Relationship Type="http://schemas.openxmlformats.org/officeDocument/2006/relationships/hyperlink" Target="https://www.xiaohongshu.com/user/profile/5981fcd850c4b4315c466af5" TargetMode="External" Id="rId400" /><Relationship Type="http://schemas.openxmlformats.org/officeDocument/2006/relationships/hyperlink" Target="https://pgy.xiaohongshu.com/solar/pre-trade/blogger-detail/6154902f0000000002020ec8?track_id=kolMatch_24f5decd7fa64557a013c7e514a58b81&amp;source=Advertiser_Kol" TargetMode="External" Id="rId401" /><Relationship Type="http://schemas.openxmlformats.org/officeDocument/2006/relationships/hyperlink" Target="https://www.xiaohongshu.com/user/profile/6154902f0000000002020ec8" TargetMode="External" Id="rId402" /><Relationship Type="http://schemas.openxmlformats.org/officeDocument/2006/relationships/hyperlink" Target="https://pgy.xiaohongshu.com/solar/pre-trade/blogger-detail/5ff2a45f000000000101e61c?track_id=kolMatch_24f5decd7fa64557a013c7e514a58b81&amp;source=Advertiser_Kol" TargetMode="External" Id="rId403" /><Relationship Type="http://schemas.openxmlformats.org/officeDocument/2006/relationships/hyperlink" Target="https://www.xiaohongshu.com/user/profile/5ff2a45f000000000101e61c" TargetMode="External" Id="rId404" /><Relationship Type="http://schemas.openxmlformats.org/officeDocument/2006/relationships/hyperlink" Target="https://pgy.xiaohongshu.com/solar/pre-trade/blogger-detail/642580de0000000012010592?track_id=kolMatch_24f5decd7fa64557a013c7e514a58b81&amp;source=Advertiser_Kol" TargetMode="External" Id="rId405" /><Relationship Type="http://schemas.openxmlformats.org/officeDocument/2006/relationships/hyperlink" Target="https://www.xiaohongshu.com/user/profile/642580de0000000012010592" TargetMode="External" Id="rId406" /><Relationship Type="http://schemas.openxmlformats.org/officeDocument/2006/relationships/hyperlink" Target="https://pgy.xiaohongshu.com/solar/pre-trade/blogger-detail/58913f9582ec394c67ea19a6?track_id=kolMatch_24f5decd7fa64557a013c7e514a58b81&amp;source=Advertiser_Kol" TargetMode="External" Id="rId407" /><Relationship Type="http://schemas.openxmlformats.org/officeDocument/2006/relationships/hyperlink" Target="https://www.xiaohongshu.com/user/profile/58913f9582ec394c67ea19a6" TargetMode="External" Id="rId408" /><Relationship Type="http://schemas.openxmlformats.org/officeDocument/2006/relationships/hyperlink" Target="https://pgy.xiaohongshu.com/solar/pre-trade/blogger-detail/681c36a3000000001b01e105?track_id=kolMatch_7a96b2805c0849b6828521204354f285&amp;source=Advertiser_Kol" TargetMode="External" Id="rId409" /><Relationship Type="http://schemas.openxmlformats.org/officeDocument/2006/relationships/hyperlink" Target="https://www.xiaohongshu.com/user/profile/681c36a3000000001b01e105" TargetMode="External" Id="rId410" /><Relationship Type="http://schemas.openxmlformats.org/officeDocument/2006/relationships/hyperlink" Target="https://pgy.xiaohongshu.com/solar/pre-trade/blogger-detail/5cf708e700000000250087ed?track_id=kolMatch_de42bd9a94184c8b94f0d959da775966&amp;source=Advertiser_Kol" TargetMode="External" Id="rId411" /><Relationship Type="http://schemas.openxmlformats.org/officeDocument/2006/relationships/hyperlink" Target="https://www.xiaohongshu.com/user/profile/5cf708e700000000250087ed" TargetMode="External" Id="rId412" /><Relationship Type="http://schemas.openxmlformats.org/officeDocument/2006/relationships/hyperlink" Target="https://pgy.xiaohongshu.com/solar/pre-trade/blogger-detail/5ca7583600000000170370f6?track_id=kolMatch_252ad350dc854d77996ad95341b4c2f1&amp;source=Advertiser_Kol" TargetMode="External" Id="rId413" /><Relationship Type="http://schemas.openxmlformats.org/officeDocument/2006/relationships/hyperlink" Target="https://www.xiaohongshu.com/user/profile/5ca7583600000000170370f6" TargetMode="External" Id="rId414" /><Relationship Type="http://schemas.openxmlformats.org/officeDocument/2006/relationships/hyperlink" Target="https://pgy.xiaohongshu.com/solar/pre-trade/blogger-detail/59e759b311be10591489e801?track_id=kolMatch_24f5decd7fa64557a013c7e514a58b81&amp;source=Advertiser_Kol" TargetMode="External" Id="rId415" /><Relationship Type="http://schemas.openxmlformats.org/officeDocument/2006/relationships/hyperlink" Target="https://www.xiaohongshu.com/user/profile/59e759b311be10591489e801" TargetMode="External" Id="rId416" /><Relationship Type="http://schemas.openxmlformats.org/officeDocument/2006/relationships/hyperlink" Target="https://pgy.xiaohongshu.com/solar/pre-trade/blogger-detail/658a8b9b000000002200637f?track_id=kolMatch_24f5decd7fa64557a013c7e514a58b81&amp;source=Advertiser_Kol" TargetMode="External" Id="rId417" /><Relationship Type="http://schemas.openxmlformats.org/officeDocument/2006/relationships/hyperlink" Target="https://www.xiaohongshu.com/user/profile/658a8b9b000000002200637f" TargetMode="External" Id="rId418" /><Relationship Type="http://schemas.openxmlformats.org/officeDocument/2006/relationships/hyperlink" Target="https://pgy.xiaohongshu.com/solar/pre-trade/blogger-detail/55c6c07c5894464ef642a743?track_id=kolMatch_24f5decd7fa64557a013c7e514a58b81&amp;source=Advertiser_Kol" TargetMode="External" Id="rId419" /><Relationship Type="http://schemas.openxmlformats.org/officeDocument/2006/relationships/hyperlink" Target="https://www.xiaohongshu.com/user/profile/55c6c07c5894464ef642a743" TargetMode="External" Id="rId420" /><Relationship Type="http://schemas.openxmlformats.org/officeDocument/2006/relationships/hyperlink" Target="https://pgy.xiaohongshu.com/solar/pre-trade/blogger-detail/6704f0ef000000001d031970?track_id=kolMatch_24f5decd7fa64557a013c7e514a58b81&amp;source=Advertiser_Kol" TargetMode="External" Id="rId421" /><Relationship Type="http://schemas.openxmlformats.org/officeDocument/2006/relationships/hyperlink" Target="https://www.xiaohongshu.com/user/profile/6704f0ef000000001d031970" TargetMode="External" Id="rId422" /><Relationship Type="http://schemas.openxmlformats.org/officeDocument/2006/relationships/hyperlink" Target="https://pgy.xiaohongshu.com/solar/pre-trade/blogger-detail/60d10be8000000000101e0d3?track_id=kolMatch_24f5decd7fa64557a013c7e514a58b81&amp;source=Advertiser_Kol" TargetMode="External" Id="rId423" /><Relationship Type="http://schemas.openxmlformats.org/officeDocument/2006/relationships/hyperlink" Target="https://www.xiaohongshu.com/user/profile/60d10be8000000000101e0d3" TargetMode="External" Id="rId424" /><Relationship Type="http://schemas.openxmlformats.org/officeDocument/2006/relationships/hyperlink" Target="https://pgy.xiaohongshu.com/solar/pre-trade/blogger-detail/615eb1830000000002018612?track_id=kolMatch_f9ca282494f84cf59fa37b06353d9b89&amp;source=Advertiser_Kol" TargetMode="External" Id="rId425" /><Relationship Type="http://schemas.openxmlformats.org/officeDocument/2006/relationships/hyperlink" Target="https://www.xiaohongshu.com/user/profile/615eb1830000000002018612" TargetMode="External" Id="rId426" /><Relationship Type="http://schemas.openxmlformats.org/officeDocument/2006/relationships/hyperlink" Target="https://pgy.xiaohongshu.com/solar/pre-trade/blogger-detail/5e1245890000000001004310?track_id=kolMatch_f9ca282494f84cf59fa37b06353d9b89&amp;source=Advertiser_Kol" TargetMode="External" Id="rId427" /><Relationship Type="http://schemas.openxmlformats.org/officeDocument/2006/relationships/hyperlink" Target="https://www.xiaohongshu.com/user/profile/5e1245890000000001004310" TargetMode="External" Id="rId428" /><Relationship Type="http://schemas.openxmlformats.org/officeDocument/2006/relationships/hyperlink" Target="https://pgy.xiaohongshu.com/solar/pre-trade/blogger-detail/5c540d7f00000000110007fb?track_id=kolMatch_f9ca282494f84cf59fa37b06353d9b89&amp;source=Advertiser_Kol" TargetMode="External" Id="rId429" /><Relationship Type="http://schemas.openxmlformats.org/officeDocument/2006/relationships/hyperlink" Target="https://www.xiaohongshu.com/user/profile/5c540d7f00000000110007fb" TargetMode="External" Id="rId430" /><Relationship Type="http://schemas.openxmlformats.org/officeDocument/2006/relationships/hyperlink" Target="https://pgy.xiaohongshu.com/solar/pre-trade/blogger-detail/5cbf48ab000000001700bd78?track_id=kolMatch_f9ca282494f84cf59fa37b06353d9b89&amp;source=Advertiser_Kol" TargetMode="External" Id="rId431" /><Relationship Type="http://schemas.openxmlformats.org/officeDocument/2006/relationships/hyperlink" Target="https://www.xiaohongshu.com/user/profile/5cbf48ab000000001700bd78" TargetMode="External" Id="rId432" /><Relationship Type="http://schemas.openxmlformats.org/officeDocument/2006/relationships/hyperlink" Target="https://pgy.xiaohongshu.com/solar/pre-trade/blogger-detail/6093e90d000000000101fe94?track_id=kolMatch_f9ca282494f84cf59fa37b06353d9b89&amp;source=Advertiser_Kol" TargetMode="External" Id="rId433" /><Relationship Type="http://schemas.openxmlformats.org/officeDocument/2006/relationships/hyperlink" Target="https://www.xiaohongshu.com/user/profile/6093e90d000000000101fe94" TargetMode="External" Id="rId434" /><Relationship Type="http://schemas.openxmlformats.org/officeDocument/2006/relationships/hyperlink" Target="https://www.xiaohongshu.com/user/profile/58d37a1650c4b41383beaa56" TargetMode="External" Id="rId435" /><Relationship Type="http://schemas.openxmlformats.org/officeDocument/2006/relationships/hyperlink" Target="https://pgy.xiaohongshu.com/solar/pre-trade/blogger-detail/5cc5cbf60000000010030601?track_id=kolMatch_73feeef671dd43ce8654c8e414143991&amp;source=Advertiser_Kol" TargetMode="External" Id="rId436" /><Relationship Type="http://schemas.openxmlformats.org/officeDocument/2006/relationships/hyperlink" Target="https://www.xiaohongshu.com/user/profile/5cc5cbf60000000010030601" TargetMode="External" Id="rId437" /><Relationship Type="http://schemas.openxmlformats.org/officeDocument/2006/relationships/hyperlink" Target="https://pgy.xiaohongshu.com/solar/pre-trade/blogger-detail/5ae3e20511be1055098096e7?track_id=kolMatch_73feeef671dd43ce8654c8e414143991&amp;source=Advertiser_Kol" TargetMode="External" Id="rId438" /><Relationship Type="http://schemas.openxmlformats.org/officeDocument/2006/relationships/hyperlink" Target="https://www.xiaohongshu.com/user/profile/5ae3e20511be1055098096e7" TargetMode="External" Id="rId439" /><Relationship Type="http://schemas.openxmlformats.org/officeDocument/2006/relationships/hyperlink" Target="https://pgy.xiaohongshu.com/solar/pre-trade/blogger-detail/5f35e6c5000000000100634c?track_id=kolMatch_73feeef671dd43ce8654c8e414143991&amp;source=Advertiser_Kol" TargetMode="External" Id="rId440" /><Relationship Type="http://schemas.openxmlformats.org/officeDocument/2006/relationships/hyperlink" Target="https://www.xiaohongshu.com/user/profile/5f35e6c5000000000100634c" TargetMode="External" Id="rId441" /><Relationship Type="http://schemas.openxmlformats.org/officeDocument/2006/relationships/hyperlink" Target="https://pgy.xiaohongshu.com/solar/pre-trade/blogger-detail/63e32dd10000000026011c28?track_id=kolMatch_94db55f4ae4b4e72b079e2675080de7a&amp;source=Advertiser_Kol" TargetMode="External" Id="rId442" /><Relationship Type="http://schemas.openxmlformats.org/officeDocument/2006/relationships/hyperlink" Target="https://www.xiaohongshu.com/user/profile/63e32dd10000000026011c28" TargetMode="External" Id="rId443" /><Relationship Type="http://schemas.openxmlformats.org/officeDocument/2006/relationships/hyperlink" Target="https://pgy.xiaohongshu.com/solar/pre-trade/blogger-detail/5a54586de8ac2b0dfebbcb21?track_id=kolMatch_94db55f4ae4b4e72b079e2675080de7a&amp;source=Advertiser_Kol" TargetMode="External" Id="rId444" /><Relationship Type="http://schemas.openxmlformats.org/officeDocument/2006/relationships/hyperlink" Target="https://www.xiaohongshu.com/user/profile/5a54586de8ac2b0dfebbcb21" TargetMode="External" Id="rId445" /><Relationship Type="http://schemas.openxmlformats.org/officeDocument/2006/relationships/hyperlink" Target="https://pgy.xiaohongshu.com/solar/pre-trade/blogger-detail/642a896d00000000120115ff?track_id=kolMatch_94db55f4ae4b4e72b079e2675080de7a&amp;source=Advertiser_Kol" TargetMode="External" Id="rId446" /><Relationship Type="http://schemas.openxmlformats.org/officeDocument/2006/relationships/hyperlink" Target="https://www.xiaohongshu.com/user/profile/642a896d00000000120115ff" TargetMode="External" Id="rId447" /><Relationship Type="http://schemas.openxmlformats.org/officeDocument/2006/relationships/hyperlink" Target="https://pgy.xiaohongshu.com/solar/pre-trade/blogger-detail/5735e29482ec393bb1a30dbc?track_id=kolMatch_94db55f4ae4b4e72b079e2675080de7a&amp;source=Advertiser_Kol" TargetMode="External" Id="rId448" /><Relationship Type="http://schemas.openxmlformats.org/officeDocument/2006/relationships/hyperlink" Target="https://www.xiaohongshu.com/user/profile/5735e29482ec393bb1a30dbc" TargetMode="External" Id="rId449" /><Relationship Type="http://schemas.openxmlformats.org/officeDocument/2006/relationships/hyperlink" Target="https://pgy.xiaohongshu.com/solar/pre-trade/blogger-detail/65d8079d00000000050337e5?track_id=kolMatch_94db55f4ae4b4e72b079e2675080de7a&amp;source=Advertiser_Kol" TargetMode="External" Id="rId450" /><Relationship Type="http://schemas.openxmlformats.org/officeDocument/2006/relationships/hyperlink" Target="https://www.xiaohongshu.com/user/profile/65d8079d00000000050337e5" TargetMode="External" Id="rId451" /><Relationship Type="http://schemas.openxmlformats.org/officeDocument/2006/relationships/hyperlink" Target="https://pgy.xiaohongshu.com/solar/pre-trade/blogger-detail/5655cc604476087c2a2988c1?track_id=kolMatch_94db55f4ae4b4e72b079e2675080de7a&amp;source=Advertiser_Kol" TargetMode="External" Id="rId452" /><Relationship Type="http://schemas.openxmlformats.org/officeDocument/2006/relationships/hyperlink" Target="https://www.xiaohongshu.com/user/profile/5655cc604476087c2a2988c1" TargetMode="External" Id="rId453" /><Relationship Type="http://schemas.openxmlformats.org/officeDocument/2006/relationships/hyperlink" Target="https://pgy.xiaohongshu.com/solar/pre-trade/blogger-detail/680b6c5f000000000a03ffa3?track_id=kolSearch_aebd10c23b674f5a9294416b1c75f9f3&amp;source=Advertiser_Kol" TargetMode="External" Id="rId454" /><Relationship Type="http://schemas.openxmlformats.org/officeDocument/2006/relationships/hyperlink" Target="https://www.xiaohongshu.com/user/profile/680b6c5f000000000a03ffa3" TargetMode="External" Id="rId455" /><Relationship Type="http://schemas.openxmlformats.org/officeDocument/2006/relationships/hyperlink" Target="https://pgy.xiaohongshu.com/solar/pre-trade/blogger-detail/5c7c34580000000010037809?track_id=kolSearch_aa4caa3ac8cc4da4880ae6bf8ccde1d5&amp;source=Advertiser_Kol" TargetMode="External" Id="rId456" /><Relationship Type="http://schemas.openxmlformats.org/officeDocument/2006/relationships/hyperlink" Target="https://www.xiaohongshu.com/user/profile/5c7c34580000000010037809" TargetMode="External" Id="rId457" /><Relationship Type="http://schemas.openxmlformats.org/officeDocument/2006/relationships/hyperlink" Target="https://pgy.xiaohongshu.com/solar/pre-trade/blogger-detail/67bb03a5000000000e02fdcc?track_id=kolSearch_2e220f31d1164236a957a99f8ff27a46&amp;source=Advertiser_Kol" TargetMode="External" Id="rId458" /><Relationship Type="http://schemas.openxmlformats.org/officeDocument/2006/relationships/hyperlink" Target="https://www.xiaohongshu.com/user/profile/67bb03a5000000000e02fdcc" TargetMode="External" Id="rId459" /><Relationship Type="http://schemas.openxmlformats.org/officeDocument/2006/relationships/hyperlink" Target="https://pgy.xiaohongshu.com/solar/pre-trade/blogger-detail/5fe6fed30000000001000561?track_id=kolMatch_94db55f4ae4b4e72b079e2675080de7a&amp;source=Advertiser_Kol" TargetMode="External" Id="rId460" /><Relationship Type="http://schemas.openxmlformats.org/officeDocument/2006/relationships/hyperlink" Target="https://www.xiaohongshu.com/user/profile/5fe6fed30000000001000561" TargetMode="External" Id="rId461" /><Relationship Type="http://schemas.openxmlformats.org/officeDocument/2006/relationships/hyperlink" Target="https://pgy.xiaohongshu.com/solar/pre-trade/blogger-detail/5a33a82611be1006308ae371?track_id=kolMatch_8582aea41f874173a0e71d9e62ab079e&amp;source=Advertiser_Kol" TargetMode="External" Id="rId462" /><Relationship Type="http://schemas.openxmlformats.org/officeDocument/2006/relationships/hyperlink" Target="https://www.xiaohongshu.com/user/profile/5a33a82611be1006308ae371" TargetMode="External" Id="rId463" /><Relationship Type="http://schemas.openxmlformats.org/officeDocument/2006/relationships/hyperlink" Target="https://pgy.xiaohongshu.com/solar/pre-trade/blogger-detail/66f7c320000000001d021353?track_id=kolMatch_8582aea41f874173a0e71d9e62ab079e&amp;source=Advertiser_Kol" TargetMode="External" Id="rId464" /><Relationship Type="http://schemas.openxmlformats.org/officeDocument/2006/relationships/hyperlink" Target="https://www.xiaohongshu.com/user/profile/66f7c320000000001d021353" TargetMode="External" Id="rId465" /><Relationship Type="http://schemas.openxmlformats.org/officeDocument/2006/relationships/hyperlink" Target="https://pgy.xiaohongshu.com/solar/pre-trade/blogger-detail/60841d2400000000010036f8?track_id=kolMatch_8582aea41f874173a0e71d9e62ab079e&amp;source=Advertiser_Kol" TargetMode="External" Id="rId466" /><Relationship Type="http://schemas.openxmlformats.org/officeDocument/2006/relationships/hyperlink" Target="https://www.xiaohongshu.com/user/profile/60841d2400000000010036f8" TargetMode="External" Id="rId467" /><Relationship Type="http://schemas.openxmlformats.org/officeDocument/2006/relationships/hyperlink" Target="https://pgy.xiaohongshu.com/solar/pre-trade/blogger-detail/640c4e7b0000000029016d9d?track_id=kolMatch_8582aea41f874173a0e71d9e62ab079e&amp;source=Advertiser_Kol" TargetMode="External" Id="rId468" /><Relationship Type="http://schemas.openxmlformats.org/officeDocument/2006/relationships/hyperlink" Target="https://www.xiaohongshu.com/user/profile/640c4e7b0000000029016d9d" TargetMode="External" Id="rId469" /><Relationship Type="http://schemas.openxmlformats.org/officeDocument/2006/relationships/hyperlink" Target="https://pgy.xiaohongshu.com/solar/pre-trade/blogger-detail/5b658b3a6b58b759ac289145?track_id=kolMatch_8582aea41f874173a0e71d9e62ab079e&amp;source=Advertiser_Kol" TargetMode="External" Id="rId470" /><Relationship Type="http://schemas.openxmlformats.org/officeDocument/2006/relationships/hyperlink" Target="https://www.xiaohongshu.com/user/profile/5b658b3a6b58b759ac289145" TargetMode="External" Id="rId471" /><Relationship Type="http://schemas.openxmlformats.org/officeDocument/2006/relationships/hyperlink" Target="https://pgy.xiaohongshu.com/solar/pre-trade/blogger-detail/67ab2991000000000a03c237?track_id=kolMatch_8582aea41f874173a0e71d9e62ab079e&amp;source=Advertiser_Kol" TargetMode="External" Id="rId472" /><Relationship Type="http://schemas.openxmlformats.org/officeDocument/2006/relationships/hyperlink" Target="https://www.xiaohongshu.com/user/profile/67ab2991000000000a03c237" TargetMode="External" Id="rId473" /><Relationship Type="http://schemas.openxmlformats.org/officeDocument/2006/relationships/hyperlink" Target="https://pgy.xiaohongshu.com/solar/pre-trade/blogger-detail/60c8902a000000000101f71f?track_id=kolMatch_16460b883e1d43c1842f9886e2922097&amp;source=Advertiser_Kol" TargetMode="External" Id="rId474" /><Relationship Type="http://schemas.openxmlformats.org/officeDocument/2006/relationships/hyperlink" Target="https://www.xiaohongshu.com/user/profile/60c8902a000000000101f71f" TargetMode="External" Id="rId475" /><Relationship Type="http://schemas.openxmlformats.org/officeDocument/2006/relationships/hyperlink" Target="https://pgy.xiaohongshu.com/solar/pre-trade/blogger-detail/667014f100000000030310f3?track_id=kolMatch_16460b883e1d43c1842f9886e2922097&amp;source=Advertiser_Kol" TargetMode="External" Id="rId476" /><Relationship Type="http://schemas.openxmlformats.org/officeDocument/2006/relationships/hyperlink" Target="https://www.xiaohongshu.com/user/profile/667014f100000000030310f3" TargetMode="External" Id="rId477" /><Relationship Type="http://schemas.openxmlformats.org/officeDocument/2006/relationships/hyperlink" Target="https://pgy.xiaohongshu.com/solar/pre-trade/blogger-detail/66a3ada0000000001d033f1e?track_id=kolMatch_584bbfe61f5a4fb0bfac5af502bd4c66&amp;source=Advertiser_Kol" TargetMode="External" Id="rId478" /><Relationship Type="http://schemas.openxmlformats.org/officeDocument/2006/relationships/hyperlink" Target="https://www.xiaohongshu.com/user/profile/66a3ada0000000001d033f1e" TargetMode="External" Id="rId479" /><Relationship Type="http://schemas.openxmlformats.org/officeDocument/2006/relationships/hyperlink" Target="https://pgy.xiaohongshu.com/solar/pre-trade/blogger-detail/5b1cdfeee8ac2b04cd661722?track_id=kolMatch_584bbfe61f5a4fb0bfac5af502bd4c66&amp;source=Advertiser_Kol" TargetMode="External" Id="rId480" /><Relationship Type="http://schemas.openxmlformats.org/officeDocument/2006/relationships/hyperlink" Target="https://www.xiaohongshu.com/user/profile/5b1cdfeee8ac2b04cd661722" TargetMode="External" Id="rId481" /><Relationship Type="http://schemas.openxmlformats.org/officeDocument/2006/relationships/hyperlink" Target="https://pgy.xiaohongshu.com/solar/pre-trade/blogger-detail/5ae13bd44eacab3462d33018?track_id=kolMatch_380851593b5949d38472d708c9404697&amp;source=Advertiser_Kol" TargetMode="External" Id="rId482" /><Relationship Type="http://schemas.openxmlformats.org/officeDocument/2006/relationships/hyperlink" Target="https://www.xiaohongshu.com/user/profile/5ae13bd44eacab3462d33018" TargetMode="External" Id="rId483" /><Relationship Type="http://schemas.openxmlformats.org/officeDocument/2006/relationships/hyperlink" Target="https://pgy.xiaohongshu.com/solar/pre-trade/blogger-detail/593fe36e50c4b45723f17280?track_id=kolMatch_380851593b5949d38472d708c9404697&amp;source=Advertiser_Kol" TargetMode="External" Id="rId484" /><Relationship Type="http://schemas.openxmlformats.org/officeDocument/2006/relationships/hyperlink" Target="https://www.xiaohongshu.com/user/profile/593fe36e50c4b45723f17280" TargetMode="External" Id="rId485" /><Relationship Type="http://schemas.openxmlformats.org/officeDocument/2006/relationships/hyperlink" Target="https://pgy.xiaohongshu.com/solar/pre-trade/blogger-detail/5b65678c3af703000169fede?track_id=kolMatch_2052b719e5d24036a913e9f5cd6a151d&amp;source=Advertiser_Kol" TargetMode="External" Id="rId486" /><Relationship Type="http://schemas.openxmlformats.org/officeDocument/2006/relationships/hyperlink" Target="https://www.xiaohongshu.com/user/profile/5b65678c3af703000169fede" TargetMode="External" Id="rId487" /><Relationship Type="http://schemas.openxmlformats.org/officeDocument/2006/relationships/hyperlink" Target="https://pgy.xiaohongshu.com/solar/pre-trade/blogger-detail/5af0f03411be10477403ea28?track_id=kolMatch_2052b719e5d24036a913e9f5cd6a151d&amp;source=Advertiser_Kol" TargetMode="External" Id="rId488" /><Relationship Type="http://schemas.openxmlformats.org/officeDocument/2006/relationships/hyperlink" Target="https://www.xiaohongshu.com/user/profile/5af0f03411be10477403ea28" TargetMode="External" Id="rId489" /><Relationship Type="http://schemas.openxmlformats.org/officeDocument/2006/relationships/hyperlink" Target="https://pgy.xiaohongshu.com/solar/pre-trade/blogger-detail/5fc7795300000000010011de?track_id=kolSimilar_116173e5367e49c18618235a2f9284db&amp;source=Advertiser_Similar_Kol" TargetMode="External" Id="rId490" /><Relationship Type="http://schemas.openxmlformats.org/officeDocument/2006/relationships/hyperlink" Target="https://www.xiaohongshu.com/user/profile/5fc7795300000000010011de" TargetMode="External" Id="rId491" /><Relationship Type="http://schemas.openxmlformats.org/officeDocument/2006/relationships/hyperlink" Target="https://pgy.xiaohongshu.com/solar/pre-trade/blogger-detail/5c0a911d000000000500831e?track_id=kolMatch_2052b719e5d24036a913e9f5cd6a151d&amp;source=Advertiser_Kol" TargetMode="External" Id="rId492" /><Relationship Type="http://schemas.openxmlformats.org/officeDocument/2006/relationships/hyperlink" Target="https://www.xiaohongshu.com/user/profile/5c0a911d000000000500831e" TargetMode="External" Id="rId493" /><Relationship Type="http://schemas.openxmlformats.org/officeDocument/2006/relationships/hyperlink" Target="https://pgy.xiaohongshu.com/solar/pre-trade/blogger-detail/667e310300000000070046cb?track_id=kolSimilar_1c943b8bf5a0435880345511e38da7f6&amp;source=Advertiser_Similar_Kol" TargetMode="External" Id="rId494" /><Relationship Type="http://schemas.openxmlformats.org/officeDocument/2006/relationships/hyperlink" Target="https://www.xiaohongshu.com/user/profile/667e310300000000070046cb" TargetMode="External" Id="rId495" /><Relationship Type="http://schemas.openxmlformats.org/officeDocument/2006/relationships/hyperlink" Target="https://pgy.xiaohongshu.com/solar/pre-trade/blogger-detail/5ff3e4ca00000000010087a0?track_id=kolSimilar_1c943b8bf5a0435880345511e38da7f6&amp;source=Advertiser_Similar_Kol" TargetMode="External" Id="rId496" /><Relationship Type="http://schemas.openxmlformats.org/officeDocument/2006/relationships/hyperlink" Target="https://www.xiaohongshu.com/user/profile/5ff3e4ca00000000010087a0" TargetMode="External" Id="rId497" /><Relationship Type="http://schemas.openxmlformats.org/officeDocument/2006/relationships/hyperlink" Target="https://pgy.xiaohongshu.com/solar/pre-trade/blogger-detail/5fc0d0370000000001004536?track_id=kolMatch_2052b719e5d24036a913e9f5cd6a151d&amp;source=Advertiser_Kol" TargetMode="External" Id="rId498" /><Relationship Type="http://schemas.openxmlformats.org/officeDocument/2006/relationships/hyperlink" Target="https://www.xiaohongshu.com/user/profile/5fc0d0370000000001004536" TargetMode="External" Id="rId499" /><Relationship Type="http://schemas.openxmlformats.org/officeDocument/2006/relationships/hyperlink" Target="https://pgy.xiaohongshu.com/solar/pre-trade/blogger-detail/65d4a743000000000d024bd1?track_id=kolSimilar_f9e0d9f46f6b4ff6b6c4ffac0dd6e0f2&amp;source=Advertiser_Similar_Kol" TargetMode="External" Id="rId500" /><Relationship Type="http://schemas.openxmlformats.org/officeDocument/2006/relationships/hyperlink" Target="https://www.xiaohongshu.com/user/profile/65d4a743000000000d024bd1" TargetMode="External" Id="rId501" /><Relationship Type="http://schemas.openxmlformats.org/officeDocument/2006/relationships/hyperlink" Target="https://pgy.xiaohongshu.com/solar/pre-trade/blogger-detail/563f56179eb5781de464f403?track_id=kolMatch_2052b719e5d24036a913e9f5cd6a151d&amp;source=Advertiser_Kol" TargetMode="External" Id="rId502" /><Relationship Type="http://schemas.openxmlformats.org/officeDocument/2006/relationships/hyperlink" Target="https://www.xiaohongshu.com/user/profile/563f56179eb5781de464f403" TargetMode="External" Id="rId503" /><Relationship Type="http://schemas.openxmlformats.org/officeDocument/2006/relationships/hyperlink" Target="https://pgy.xiaohongshu.com/solar/pre-trade/blogger-detail/67bae2e00000000008015785?track_id=kolMatch_b2d36be9ebf3459f95d50154f8eb49c6&amp;source=Advertiser_Kol" TargetMode="External" Id="rId504" /><Relationship Type="http://schemas.openxmlformats.org/officeDocument/2006/relationships/hyperlink" Target="https://www.xiaohongshu.com/user/profile/67bae2e00000000008015785" TargetMode="External" Id="rId505" /><Relationship Type="http://schemas.openxmlformats.org/officeDocument/2006/relationships/hyperlink" Target="https://pgy.xiaohongshu.com/solar/pre-trade/blogger-detail/59befa5151783a239233413b?track_id=kolMatch_b2d36be9ebf3459f95d50154f8eb49c6&amp;source=Advertiser_Kol" TargetMode="External" Id="rId506" /><Relationship Type="http://schemas.openxmlformats.org/officeDocument/2006/relationships/hyperlink" Target="https://www.xiaohongshu.com/user/profile/59befa5151783a239233413b" TargetMode="External" Id="rId507" /><Relationship Type="http://schemas.openxmlformats.org/officeDocument/2006/relationships/hyperlink" Target="https://pgy.xiaohongshu.com/solar/pre-trade/blogger-detail/61a9c0080000000010009ffa?track_id=kolMatch_b2d36be9ebf3459f95d50154f8eb49c6&amp;source=Advertiser_Kol" TargetMode="External" Id="rId508" /><Relationship Type="http://schemas.openxmlformats.org/officeDocument/2006/relationships/hyperlink" Target="https://www.xiaohongshu.com/user/profile/61a9c0080000000010009ffa" TargetMode="External" Id="rId509" /><Relationship Type="http://schemas.openxmlformats.org/officeDocument/2006/relationships/hyperlink" Target="https://pgy.xiaohongshu.com/solar/pre-trade/blogger-detail/6275160c0000000021020a99?track_id=kolSearch_62a4a4131a9143d0a2804384970217ad&amp;source=Advertiser_Kol" TargetMode="External" Id="rId510" /><Relationship Type="http://schemas.openxmlformats.org/officeDocument/2006/relationships/hyperlink" Target="https://www.xiaohongshu.com/user/profile/6275160c0000000021020a99" TargetMode="External" Id="rId511" /><Relationship Type="http://schemas.openxmlformats.org/officeDocument/2006/relationships/hyperlink" Target="https://pgy.xiaohongshu.com/solar/pre-trade/blogger-detail/6222daf60000000010008efd?track_id=kolMatch_e537f5a5d271477e95a6b3639552c90f&amp;source=Advertiser_Kol" TargetMode="External" Id="rId512" /><Relationship Type="http://schemas.openxmlformats.org/officeDocument/2006/relationships/hyperlink" Target="https://www.xiaohongshu.com/user/profile/6222daf60000000010008efd" TargetMode="External" Id="rId513" /><Relationship Type="http://schemas.openxmlformats.org/officeDocument/2006/relationships/hyperlink" Target="https://pgy.xiaohongshu.com/solar/pre-trade/blogger-detail/6030d541000000000101cc9c?track_id=kolMatch_e537f5a5d271477e95a6b3639552c90f&amp;source=Advertiser_Kol" TargetMode="External" Id="rId514" /><Relationship Type="http://schemas.openxmlformats.org/officeDocument/2006/relationships/hyperlink" Target="https://www.xiaohongshu.com/user/profile/6030d541000000000101cc9c" TargetMode="External" Id="rId515" /><Relationship Type="http://schemas.openxmlformats.org/officeDocument/2006/relationships/hyperlink" Target="https://pgy.xiaohongshu.com/solar/pre-trade/blogger-detail/68294f6d000000000e0121c5?track_id=kolMatch_e537f5a5d271477e95a6b3639552c90f&amp;source=Advertiser_Kol" TargetMode="External" Id="rId516" /><Relationship Type="http://schemas.openxmlformats.org/officeDocument/2006/relationships/hyperlink" Target="https://www.xiaohongshu.com/user/profile/68294f6d000000000e0121c5" TargetMode="External" Id="rId517" /><Relationship Type="http://schemas.openxmlformats.org/officeDocument/2006/relationships/hyperlink" Target="https://pgy.xiaohongshu.com/solar/pre-trade/blogger-detail/67dafeed000000000a03f4ea?track_id=kolMatch_c1f0a61264524609927a82460c87b14f&amp;source=Advertiser_Kol" TargetMode="External" Id="rId518" /><Relationship Type="http://schemas.openxmlformats.org/officeDocument/2006/relationships/hyperlink" Target="https://www.xiaohongshu.com/user/profile/67dafeed000000000a03f4ea" TargetMode="External" Id="rId519" /><Relationship Type="http://schemas.openxmlformats.org/officeDocument/2006/relationships/hyperlink" Target="https://pgy.xiaohongshu.com/solar/pre-trade/blogger-detail/65a4be2c0000000003027450?track_id=kolMatch_c1f0a61264524609927a82460c87b14f&amp;source=Advertiser_Kol" TargetMode="External" Id="rId520" /><Relationship Type="http://schemas.openxmlformats.org/officeDocument/2006/relationships/hyperlink" Target="https://www.xiaohongshu.com/user/profile/65a4be2c0000000003027450" TargetMode="External" Id="rId521" /><Relationship Type="http://schemas.openxmlformats.org/officeDocument/2006/relationships/hyperlink" Target="https://pgy.xiaohongshu.com/solar/pre-trade/blogger-detail/666fe6b700000000030316f0?track_id=kolMatch_2052b719e5d24036a913e9f5cd6a151d&amp;source=Advertiser_Kol" TargetMode="External" Id="rId522" /><Relationship Type="http://schemas.openxmlformats.org/officeDocument/2006/relationships/hyperlink" Target="https://www.xiaohongshu.com/user/profile/666fe6b700000000030316f0" TargetMode="External" Id="rId523" /><Relationship Type="http://schemas.openxmlformats.org/officeDocument/2006/relationships/hyperlink" Target="https://pgy.xiaohongshu.com/solar/pre-trade/blogger-detail/5ed46d26000000000101cfa0?track_id=kolMatch_c1f0a61264524609927a82460c87b14f&amp;source=Advertiser_Kol" TargetMode="External" Id="rId524" /><Relationship Type="http://schemas.openxmlformats.org/officeDocument/2006/relationships/hyperlink" Target="https://www.xiaohongshu.com/user/profile/5ed46d26000000000101cfa0" TargetMode="External" Id="rId525" /><Relationship Type="http://schemas.openxmlformats.org/officeDocument/2006/relationships/hyperlink" Target="https://pgy.xiaohongshu.com/solar/pre-trade/blogger-detail/60644e3100000000010030a5?track_id=kolMatch_c1f0a61264524609927a82460c87b14f&amp;source=Advertiser_Kol" TargetMode="External" Id="rId526" /><Relationship Type="http://schemas.openxmlformats.org/officeDocument/2006/relationships/hyperlink" Target="https://www.xiaohongshu.com/user/profile/60644e3100000000010030a5" TargetMode="External" Id="rId527" /><Relationship Type="http://schemas.openxmlformats.org/officeDocument/2006/relationships/hyperlink" Target="https://pgy.xiaohongshu.com/solar/pre-trade/blogger-detail/5659c2ab44760852c355e9c6?track_id=kolMatch_b2d36be9ebf3459f95d50154f8eb49c6&amp;source=Advertiser_Kol" TargetMode="External" Id="rId528" /><Relationship Type="http://schemas.openxmlformats.org/officeDocument/2006/relationships/hyperlink" Target="https://www.xiaohongshu.com/user/profile/5659c2ab44760852c355e9c6" TargetMode="External" Id="rId529" /><Relationship Type="http://schemas.openxmlformats.org/officeDocument/2006/relationships/hyperlink" Target="https://pgy.xiaohongshu.com/solar/pre-trade/blogger-detail/682dae24000000000e0108e5?track_id=kolMatch_b2d36be9ebf3459f95d50154f8eb49c6&amp;source=Advertiser_Kol" TargetMode="External" Id="rId530" /><Relationship Type="http://schemas.openxmlformats.org/officeDocument/2006/relationships/hyperlink" Target="https://www.xiaohongshu.com/user/profile/682dae24000000000e0108e5" TargetMode="External" Id="rId531" /><Relationship Type="http://schemas.openxmlformats.org/officeDocument/2006/relationships/hyperlink" Target="https://pgy.xiaohongshu.com/solar/pre-trade/blogger-detail/6544c47d000000000d005098?track_id=kolSimilar_fb779faba42246f38b62156cf7dbda60&amp;source=Advertiser_Similar_Kol" TargetMode="External" Id="rId532" /><Relationship Type="http://schemas.openxmlformats.org/officeDocument/2006/relationships/hyperlink" Target="https://www.xiaohongshu.com/user/profile/6544c47d000000000d005098" TargetMode="External" Id="rId533" /><Relationship Type="http://schemas.openxmlformats.org/officeDocument/2006/relationships/hyperlink" Target="https://pgy.xiaohongshu.com/solar/pre-trade/blogger-detail/58ece54d82ec39342ce3ac0b?track_id=kolMatch_2052b719e5d24036a913e9f5cd6a151d&amp;source=Advertiser_Kol" TargetMode="External" Id="rId534" /><Relationship Type="http://schemas.openxmlformats.org/officeDocument/2006/relationships/hyperlink" Target="https://www.xiaohongshu.com/user/profile/58ece54d82ec39342ce3ac0b" TargetMode="External" Id="rId535" /><Relationship Type="http://schemas.openxmlformats.org/officeDocument/2006/relationships/hyperlink" Target="https://pgy.xiaohongshu.com/solar/pre-trade/blogger-detail/5af43e81f7e8b979a5ac0bba?track_id=kolSimilar_fb779faba42246f38b62156cf7dbda60&amp;source=Advertiser_Similar_Kol" TargetMode="External" Id="rId536" /><Relationship Type="http://schemas.openxmlformats.org/officeDocument/2006/relationships/hyperlink" Target="https://www.xiaohongshu.com/user/profile/5af43e81f7e8b979a5ac0bba" TargetMode="External" Id="rId537" /><Relationship Type="http://schemas.openxmlformats.org/officeDocument/2006/relationships/hyperlink" Target="https://pgy.xiaohongshu.com/solar/pre-trade/blogger-detail/66a09fb20000000024022d34?track_id=kolMatch_c1f0a61264524609927a82460c87b14f&amp;source=Advertiser_Kol" TargetMode="External" Id="rId538" /><Relationship Type="http://schemas.openxmlformats.org/officeDocument/2006/relationships/hyperlink" Target="https://www.xiaohongshu.com/user/profile/66a09fb20000000024022d34" TargetMode="External" Id="rId539" /><Relationship Type="http://schemas.openxmlformats.org/officeDocument/2006/relationships/hyperlink" Target="https://pgy.xiaohongshu.com/solar/pre-trade/blogger-detail/658d486e0000000022010279?track_id=kolSimilar_fb779faba42246f38b62156cf7dbda60&amp;source=Advertiser_Similar_Kol" TargetMode="External" Id="rId540" /><Relationship Type="http://schemas.openxmlformats.org/officeDocument/2006/relationships/hyperlink" Target="https://www.xiaohongshu.com/user/profile/658d486e0000000022010279" TargetMode="External" Id="rId541" /><Relationship Type="http://schemas.openxmlformats.org/officeDocument/2006/relationships/hyperlink" Target="https://pgy.xiaohongshu.com/solar/pre-trade/blogger-detail/59ba5e4c51783a3e626beefd?track_id=kolSimilar_fb779faba42246f38b62156cf7dbda60&amp;source=Advertiser_Similar_Kol" TargetMode="External" Id="rId542" /><Relationship Type="http://schemas.openxmlformats.org/officeDocument/2006/relationships/hyperlink" Target="https://www.xiaohongshu.com/user/profile/59ba5e4c51783a3e626beefd" TargetMode="External" Id="rId543" /><Relationship Type="http://schemas.openxmlformats.org/officeDocument/2006/relationships/hyperlink" Target="https://pgy.xiaohongshu.com/solar/pre-trade/blogger-detail/5b361cebe8ac2b7f8f9b1c56?track_id=kolSimilar_fb779faba42246f38b62156cf7dbda60&amp;source=Advertiser_Similar_Kol" TargetMode="External" Id="rId544" /><Relationship Type="http://schemas.openxmlformats.org/officeDocument/2006/relationships/hyperlink" Target="https://www.xiaohongshu.com/user/profile/5b361cebe8ac2b7f8f9b1c56" TargetMode="External" Id="rId545" /><Relationship Type="http://schemas.openxmlformats.org/officeDocument/2006/relationships/hyperlink" Target="https://pgy.xiaohongshu.com/solar/pre-trade/blogger-detail/5f990bdd000000000101c307?track_id=kolMatch_4ad8c83b2e1841c1893f4c3561de1d64&amp;source=Advertiser_Kol" TargetMode="External" Id="rId546" /><Relationship Type="http://schemas.openxmlformats.org/officeDocument/2006/relationships/hyperlink" Target="https://www.xiaohongshu.com/user/profile/5f990bdd000000000101c307" TargetMode="External" Id="rId547" /><Relationship Type="http://schemas.openxmlformats.org/officeDocument/2006/relationships/hyperlink" Target="https://pgy.xiaohongshu.com/solar/pre-trade/blogger-detail/65d83c430000000005031bbb?track_id=kolMatch_4ad8c83b2e1841c1893f4c3561de1d64&amp;source=Advertiser_Kol" TargetMode="External" Id="rId548" /><Relationship Type="http://schemas.openxmlformats.org/officeDocument/2006/relationships/hyperlink" Target="https://www.xiaohongshu.com/user/profile/65d83c430000000005031bbb" TargetMode="External" Id="rId549" /><Relationship Type="http://schemas.openxmlformats.org/officeDocument/2006/relationships/hyperlink" Target="https://pgy.xiaohongshu.com/solar/pre-trade/blogger-detail/668ab210000000000b03036c?track_id=kolMatch_c87142a7924c4525addbb0128f5fe4f0&amp;source=Advertiser_Kol" TargetMode="External" Id="rId550" /><Relationship Type="http://schemas.openxmlformats.org/officeDocument/2006/relationships/hyperlink" Target="https://www.xiaohongshu.com/user/profile/668ab210000000000b03036c" TargetMode="External" Id="rId551" /><Relationship Type="http://schemas.openxmlformats.org/officeDocument/2006/relationships/hyperlink" Target="https://pgy.xiaohongshu.com/solar/pre-trade/blogger-detail/6030d21800000000010029be?track_id=kolSimilar_79217c7acaa64b89a428a6ea804cbfc9&amp;source=Advertiser_Similar_Kol" TargetMode="External" Id="rId552" /><Relationship Type="http://schemas.openxmlformats.org/officeDocument/2006/relationships/hyperlink" Target="https://www.xiaohongshu.com/user/profile/6030d21800000000010029be" TargetMode="External" Id="rId553" /><Relationship Type="http://schemas.openxmlformats.org/officeDocument/2006/relationships/hyperlink" Target="https://pgy.xiaohongshu.com/solar/pre-trade/blogger-detail/60c5aa0b00000000010014c0?track_id=kolSimilar_e30558116ae34fe9a154008bf6a55e25&amp;source=Advertiser_Similar_Kol" TargetMode="External" Id="rId554" /><Relationship Type="http://schemas.openxmlformats.org/officeDocument/2006/relationships/hyperlink" Target="https://www.xiaohongshu.com/user/profile/60c5aa0b00000000010014c0" TargetMode="External" Id="rId555" /><Relationship Type="http://schemas.openxmlformats.org/officeDocument/2006/relationships/hyperlink" Target="https://pgy.xiaohongshu.com/solar/pre-trade/blogger-detail/5c40866c0000000005006554?track_id=kolMatch_33a6211a510e462b8d3fc7b4dd0e311a&amp;source=Advertiser_Kol" TargetMode="External" Id="rId556" /><Relationship Type="http://schemas.openxmlformats.org/officeDocument/2006/relationships/hyperlink" Target="https://www.xiaohongshu.com/user/profile/5c40866c0000000005006554" TargetMode="External" Id="rId557" /><Relationship Type="http://schemas.openxmlformats.org/officeDocument/2006/relationships/hyperlink" Target="https://pgy.xiaohongshu.com/solar/pre-trade/blogger-detail/67a5e3b9000000000e01c7f4?track_id=kolSimilar_6671f97ff6eb48299cf3d2c7bd7125de&amp;source=Advertiser_Similar_Kol" TargetMode="External" Id="rId558" /><Relationship Type="http://schemas.openxmlformats.org/officeDocument/2006/relationships/hyperlink" Target="https://www.xiaohongshu.com/user/profile/67a5e3b9000000000e01c7f4" TargetMode="External" Id="rId559" /><Relationship Type="http://schemas.openxmlformats.org/officeDocument/2006/relationships/hyperlink" Target="https://pgy.xiaohongshu.com/solar/pre-trade/blogger-detail/6555e89f000000001000928e?track_id=kolSimilar_6671f97ff6eb48299cf3d2c7bd7125de&amp;source=Advertiser_Similar_Kol" TargetMode="External" Id="rId560" /><Relationship Type="http://schemas.openxmlformats.org/officeDocument/2006/relationships/hyperlink" Target="https://www.xiaohongshu.com/user/profile/6555e89f000000001000928e" TargetMode="External" Id="rId561" /><Relationship Type="http://schemas.openxmlformats.org/officeDocument/2006/relationships/hyperlink" Target="https://pgy.xiaohongshu.com/solar/pre-trade/blogger-detail/67e5269d000000000e013fa1?track_id=kolSimilar_4e2e4aae42714958844451fc0954d28e&amp;source=Advertiser_Similar_Kol" TargetMode="External" Id="rId562" /><Relationship Type="http://schemas.openxmlformats.org/officeDocument/2006/relationships/hyperlink" Target="https://www.xiaohongshu.com/user/profile/67e5269d000000000e013fa1" TargetMode="External" Id="rId563" /><Relationship Type="http://schemas.openxmlformats.org/officeDocument/2006/relationships/hyperlink" Target="https://pgy.xiaohongshu.com/solar/pre-trade/blogger-detail/68be2c670000000019010e85?track_id=kolSimilar_4e2e4aae42714958844451fc0954d28e&amp;source=Advertiser_Similar_Kol" TargetMode="External" Id="rId564" /><Relationship Type="http://schemas.openxmlformats.org/officeDocument/2006/relationships/hyperlink" Target="https://www.xiaohongshu.com/user/profile/68be2c670000000019010e85" TargetMode="External" Id="rId565" /><Relationship Type="http://schemas.openxmlformats.org/officeDocument/2006/relationships/hyperlink" Target="https://pgy.xiaohongshu.com/solar/pre-trade/blogger-detail/66cfc946000000000d027156?track_id=kolSimilar_34ec22b7a34d41748fba1228a9cbd27f&amp;source=Advertiser_Similar_Kol" TargetMode="External" Id="rId566" /><Relationship Type="http://schemas.openxmlformats.org/officeDocument/2006/relationships/hyperlink" Target="https://www.xiaohongshu.com/user/profile/66cfc946000000000d027156" TargetMode="External" Id="rId567" /><Relationship Type="http://schemas.openxmlformats.org/officeDocument/2006/relationships/hyperlink" Target="https://pgy.xiaohongshu.com/solar/pre-trade/blogger-detail/5e17ff890000000001001d86?track_id=kolSimilar_34ec22b7a34d41748fba1228a9cbd27f&amp;source=Advertiser_Similar_Kol" TargetMode="External" Id="rId568" /><Relationship Type="http://schemas.openxmlformats.org/officeDocument/2006/relationships/hyperlink" Target="https://www.xiaohongshu.com/user/profile/5e17ff890000000001001d86" TargetMode="External" Id="rId569" /><Relationship Type="http://schemas.openxmlformats.org/officeDocument/2006/relationships/hyperlink" Target="https://pgy.xiaohongshu.com/solar/pre-trade/blogger-detail/5f378bdd0000000001009ec2?track_id=kolSimilar_34ec22b7a34d41748fba1228a9cbd27f&amp;source=Advertiser_Similar_Kol" TargetMode="External" Id="rId570" /><Relationship Type="http://schemas.openxmlformats.org/officeDocument/2006/relationships/hyperlink" Target="https://www.xiaohongshu.com/user/profile/5f378bdd0000000001009ec2" TargetMode="External" Id="rId571" /><Relationship Type="http://schemas.openxmlformats.org/officeDocument/2006/relationships/hyperlink" Target="https://pgy.xiaohongshu.com/solar/pre-trade/blogger-detail/57be5b9250c4b456668f66e0?track_id=kolMatch_33a6211a510e462b8d3fc7b4dd0e311a&amp;source=Advertiser_Kol" TargetMode="External" Id="rId572" /><Relationship Type="http://schemas.openxmlformats.org/officeDocument/2006/relationships/hyperlink" Target="https://www.xiaohongshu.com/user/profile/57be5b9250c4b456668f66e0" TargetMode="External" Id="rId573" /><Relationship Type="http://schemas.openxmlformats.org/officeDocument/2006/relationships/hyperlink" Target="https://pgy.xiaohongshu.com/solar/pre-trade/blogger-detail/68fe20200000000037009411?track_id=kolSimilar_34ec22b7a34d41748fba1228a9cbd27f&amp;source=Advertiser_Similar_Kol" TargetMode="External" Id="rId574" /><Relationship Type="http://schemas.openxmlformats.org/officeDocument/2006/relationships/hyperlink" Target="https://www.xiaohongshu.com/user/profile/68fe20200000000037009411" TargetMode="External" Id="rId575" /><Relationship Type="http://schemas.openxmlformats.org/officeDocument/2006/relationships/hyperlink" Target="https://pgy.xiaohongshu.com/solar/pre-trade/blogger-detail/679b18fe0000000006011a4b?track_id=kolSimilar_dd30ef63e9ad4559aa010add8176bccc&amp;source=Advertiser_Similar_Kol" TargetMode="External" Id="rId576" /><Relationship Type="http://schemas.openxmlformats.org/officeDocument/2006/relationships/hyperlink" Target="https://www.xiaohongshu.com/user/profile/679b18fe0000000006011a4b" TargetMode="External" Id="rId577" /><Relationship Type="http://schemas.openxmlformats.org/officeDocument/2006/relationships/hyperlink" Target="https://pgy.xiaohongshu.com/solar/pre-trade/blogger-detail/63a1cb0c00000000260044df?track_id=kolSimilar_dd30ef63e9ad4559aa010add8176bccc&amp;source=Advertiser_Similar_Kol" TargetMode="External" Id="rId578" /><Relationship Type="http://schemas.openxmlformats.org/officeDocument/2006/relationships/hyperlink" Target="https://www.xiaohongshu.com/user/profile/63a1cb0c00000000260044df" TargetMode="External" Id="rId579" /><Relationship Type="http://schemas.openxmlformats.org/officeDocument/2006/relationships/hyperlink" Target="https://pgy.xiaohongshu.com/solar/pre-trade/blogger-detail/6389f847000000001f01562b?track_id=kolSimilar_dd30ef63e9ad4559aa010add8176bccc&amp;source=Advertiser_Similar_Kol" TargetMode="External" Id="rId580" /><Relationship Type="http://schemas.openxmlformats.org/officeDocument/2006/relationships/hyperlink" Target="https://www.xiaohongshu.com/user/profile/6389f847000000001f01562b" TargetMode="External" Id="rId581" /><Relationship Type="http://schemas.openxmlformats.org/officeDocument/2006/relationships/hyperlink" Target="https://pgy.xiaohongshu.com/solar/pre-trade/blogger-detail/60c5e694000000000100a847?track_id=kolSimilar_22bb85893a074a6093921c45a41a3b6c&amp;source=Advertiser_Similar_Kol" TargetMode="External" Id="rId582" /><Relationship Type="http://schemas.openxmlformats.org/officeDocument/2006/relationships/hyperlink" Target="https://www.xiaohongshu.com/user/profile/60c5e694000000000100a847" TargetMode="External" Id="rId583" /><Relationship Type="http://schemas.openxmlformats.org/officeDocument/2006/relationships/hyperlink" Target="https://pgy.xiaohongshu.com/solar/pre-trade/blogger-detail/65ff0ee7000000000b00ecd3?track_id=kolSimilar_79217c7acaa64b89a428a6ea804cbfc9&amp;source=Advertiser_Similar_Kol" TargetMode="External" Id="rId584" /><Relationship Type="http://schemas.openxmlformats.org/officeDocument/2006/relationships/hyperlink" Target="https://www.xiaohongshu.com/user/profile/65ff0ee7000000000b00ecd3" TargetMode="External" Id="rId585" /><Relationship Type="http://schemas.openxmlformats.org/officeDocument/2006/relationships/hyperlink" Target="https://pgy.xiaohongshu.com/solar/pre-trade/blogger-detail/66f57192000000000b0314ad?track_id=kolSimilar_79217c7acaa64b89a428a6ea804cbfc9&amp;source=Advertiser_Similar_Kol" TargetMode="External" Id="rId586" /><Relationship Type="http://schemas.openxmlformats.org/officeDocument/2006/relationships/hyperlink" Target="https://www.xiaohongshu.com/user/profile/66f57192000000000b0314ad" TargetMode="External" Id="rId587" /><Relationship Type="http://schemas.openxmlformats.org/officeDocument/2006/relationships/hyperlink" Target="https://pgy.xiaohongshu.com/solar/pre-trade/blogger-detail/58bfd91f5e87e716a97ba069?track_id=kolMatch_1bec4b38fc9043e992c62a2561bb4093&amp;source=Advertiser_Kol" TargetMode="External" Id="rId588" /><Relationship Type="http://schemas.openxmlformats.org/officeDocument/2006/relationships/hyperlink" Target="https://www.xiaohongshu.com/user/profile/58bfd91f5e87e716a97ba069" TargetMode="External" Id="rId589" /><Relationship Type="http://schemas.openxmlformats.org/officeDocument/2006/relationships/hyperlink" Target="https://pgy.xiaohongshu.com/solar/pre-trade/blogger-detail/5e3db75200000000010039f2?track_id=kolMatch_1bec4b38fc9043e992c62a2561bb4093&amp;source=Advertiser_Kol" TargetMode="External" Id="rId590" /><Relationship Type="http://schemas.openxmlformats.org/officeDocument/2006/relationships/hyperlink" Target="https://www.xiaohongshu.com/user/profile/5e3db75200000000010039f2" TargetMode="External" Id="rId591" /><Relationship Type="http://schemas.openxmlformats.org/officeDocument/2006/relationships/hyperlink" Target="https://pgy.xiaohongshu.com/solar/pre-trade/blogger-detail/65407518000000000200d0a7?track_id=kolMatch_19089dbfb93a405aa84a56ddcde2d055&amp;source=Advertiser_Kol" TargetMode="External" Id="rId592" /><Relationship Type="http://schemas.openxmlformats.org/officeDocument/2006/relationships/hyperlink" Target="https://www.xiaohongshu.com/user/profile/65407518000000000200d0a7" TargetMode="External" Id="rId593" /><Relationship Type="http://schemas.openxmlformats.org/officeDocument/2006/relationships/hyperlink" Target="https://pgy.xiaohongshu.com/solar/pre-trade/blogger-detail/5daee48a000000000100233c?track_id=kolMatch_6e6da988d8824bf7b8dfa407556c985a&amp;source=Advertiser_Kol" TargetMode="External" Id="rId594" /><Relationship Type="http://schemas.openxmlformats.org/officeDocument/2006/relationships/hyperlink" Target="https://www.xiaohongshu.com/user/profile/5daee48a000000000100233c" TargetMode="External" Id="rId595" /><Relationship Type="http://schemas.openxmlformats.org/officeDocument/2006/relationships/hyperlink" Target="https://pgy.xiaohongshu.com/solar/pre-trade/blogger-detail/64e030200000000001011a2f?track_id=kolMatch_6e6da988d8824bf7b8dfa407556c985a&amp;source=Advertiser_Kol" TargetMode="External" Id="rId596" /><Relationship Type="http://schemas.openxmlformats.org/officeDocument/2006/relationships/hyperlink" Target="https://www.xiaohongshu.com/user/profile/64e030200000000001011a2f" TargetMode="External" Id="rId597" /><Relationship Type="http://schemas.openxmlformats.org/officeDocument/2006/relationships/hyperlink" Target="https://pgy.xiaohongshu.com/solar/pre-trade/blogger-detail/5bd555b06dd37b00016f9072?track_id=kolMatch_ef4c0070bab04539a9a2097f7a7769ca&amp;source=Advertiser_Kol" TargetMode="External" Id="rId598" /><Relationship Type="http://schemas.openxmlformats.org/officeDocument/2006/relationships/hyperlink" Target="https://www.xiaohongshu.com/user/profile/5bd555b06dd37b00016f9072" TargetMode="External" Id="rId599" /><Relationship Type="http://schemas.openxmlformats.org/officeDocument/2006/relationships/hyperlink" Target="https://pgy.xiaohongshu.com/solar/pre-trade/blogger-detail/60ac89fd000000000100aaa4?track_id=kolMatch_ef4c0070bab04539a9a2097f7a7769ca&amp;source=Advertiser_Kol" TargetMode="External" Id="rId600" /><Relationship Type="http://schemas.openxmlformats.org/officeDocument/2006/relationships/hyperlink" Target="https://www.xiaohongshu.com/user/profile/60ac89fd000000000100aaa4" TargetMode="External" Id="rId601" /><Relationship Type="http://schemas.openxmlformats.org/officeDocument/2006/relationships/hyperlink" Target="https://pgy.xiaohongshu.com/solar/pre-trade/blogger-detail/651d3cd3000000002402f725?track_id=kolMatch_ef4c0070bab04539a9a2097f7a7769ca&amp;source=Advertiser_Kol" TargetMode="External" Id="rId602" /><Relationship Type="http://schemas.openxmlformats.org/officeDocument/2006/relationships/hyperlink" Target="https://www.xiaohongshu.com/user/profile/651d3cd3000000002402f725" TargetMode="External" Id="rId603" /><Relationship Type="http://schemas.openxmlformats.org/officeDocument/2006/relationships/hyperlink" Target="https://pgy.xiaohongshu.com/solar/pre-trade/blogger-detail/5bdec839b50d3b0001388627?track_id=kolMatch_082226d533274b0ab63e4f947937f008&amp;source=Advertiser_Kol" TargetMode="External" Id="rId604" /><Relationship Type="http://schemas.openxmlformats.org/officeDocument/2006/relationships/hyperlink" Target="https://www.xiaohongshu.com/user/profile/5bdec839b50d3b0001388627" TargetMode="External" Id="rId605" /><Relationship Type="http://schemas.openxmlformats.org/officeDocument/2006/relationships/hyperlink" Target="https://pgy.xiaohongshu.com/solar/pre-trade/blogger-detail/68cd8c1700000000210210b9?track_id=kolMatch_ef4c0070bab04539a9a2097f7a7769ca&amp;source=Advertiser_Kol" TargetMode="External" Id="rId606" /><Relationship Type="http://schemas.openxmlformats.org/officeDocument/2006/relationships/hyperlink" Target="https://www.xiaohongshu.com/user/profile/68cd8c1700000000210210b9" TargetMode="External" Id="rId607" /><Relationship Type="http://schemas.openxmlformats.org/officeDocument/2006/relationships/hyperlink" Target="https://pgy.xiaohongshu.com/solar/pre-trade/blogger-detail/5afd19faf7e8b9037d661bfb?track_id=kolMatch_19089dbfb93a405aa84a56ddcde2d055&amp;source=Advertiser_Kol" TargetMode="External" Id="rId608" /><Relationship Type="http://schemas.openxmlformats.org/officeDocument/2006/relationships/hyperlink" Target="https://www.xiaohongshu.com/user/profile/5afd19faf7e8b9037d661bfb" TargetMode="External" Id="rId609" /><Relationship Type="http://schemas.openxmlformats.org/officeDocument/2006/relationships/hyperlink" Target="https://pgy.xiaohongshu.com/solar/pre-trade/blogger-detail/5c3080e9000000000600575f?track_id=kolMatch_6cd495ae008641f4a9b896fb2299be1f&amp;source=Advertiser_Kol" TargetMode="External" Id="rId610" /><Relationship Type="http://schemas.openxmlformats.org/officeDocument/2006/relationships/hyperlink" Target="https://www.xiaohongshu.com/user/profile/5c3080e9000000000600575f" TargetMode="External" Id="rId611" /><Relationship Type="http://schemas.openxmlformats.org/officeDocument/2006/relationships/hyperlink" Target="https://pgy.xiaohongshu.com/solar/pre-trade/blogger-detail/5adb4c6fe8ac2b5b6b504d3b?track_id=kolMatch_19089dbfb93a405aa84a56ddcde2d055&amp;source=Advertiser_Kol" TargetMode="External" Id="rId612" /><Relationship Type="http://schemas.openxmlformats.org/officeDocument/2006/relationships/hyperlink" Target="https://www.xiaohongshu.com/user/profile/5adb4c6fe8ac2b5b6b504d3b" TargetMode="External" Id="rId613" /><Relationship Type="http://schemas.openxmlformats.org/officeDocument/2006/relationships/hyperlink" Target="https://pgy.xiaohongshu.com/solar/pre-trade/blogger-detail/5ab386d54eacab17bef119b8?track_id=kolMatch_19089dbfb93a405aa84a56ddcde2d055&amp;source=Advertiser_Kol" TargetMode="External" Id="rId614" /><Relationship Type="http://schemas.openxmlformats.org/officeDocument/2006/relationships/hyperlink" Target="https://www.xiaohongshu.com/user/profile/5ab386d54eacab17bef119b8" TargetMode="External" Id="rId615" /><Relationship Type="http://schemas.openxmlformats.org/officeDocument/2006/relationships/hyperlink" Target="https://pgy.xiaohongshu.com/solar/pre-trade/blogger-detail/5ab7cd53e8ac2b6eca5d793c?track_id=kolMatch_19089dbfb93a405aa84a56ddcde2d055&amp;source=Advertiser_Kol" TargetMode="External" Id="rId616" /><Relationship Type="http://schemas.openxmlformats.org/officeDocument/2006/relationships/hyperlink" Target="https://www.xiaohongshu.com/user/profile/5ab7cd53e8ac2b6eca5d793c" TargetMode="External" Id="rId617" /><Relationship Type="http://schemas.openxmlformats.org/officeDocument/2006/relationships/hyperlink" Target="https://pgy.xiaohongshu.com/solar/pre-trade/blogger-detail/62c95a50000000000200383d?track_id=kolMatch_34b52967eb884e39b60a07e600ac9d0d&amp;source=Advertiser_Kol" TargetMode="External" Id="rId618" /><Relationship Type="http://schemas.openxmlformats.org/officeDocument/2006/relationships/hyperlink" Target="https://www.xiaohongshu.com/user/profile/62c95a50000000000200383d" TargetMode="External" Id="rId619" /><Relationship Type="http://schemas.openxmlformats.org/officeDocument/2006/relationships/hyperlink" Target="https://pgy.xiaohongshu.com/solar/pre-trade/blogger-detail/60d7de87000000000101d09c?track_id=kolMatch_3f4040ae30144d67a64efcbbf8a1968c&amp;source=Advertiser_Kol" TargetMode="External" Id="rId620" /><Relationship Type="http://schemas.openxmlformats.org/officeDocument/2006/relationships/hyperlink" Target="https://www.xiaohongshu.com/user/profile/60d7de87000000000101d09c" TargetMode="External" Id="rId621" /><Relationship Type="http://schemas.openxmlformats.org/officeDocument/2006/relationships/hyperlink" Target="https://pgy.xiaohongshu.com/solar/pre-trade/blogger-detail/67a17842000000000d008178?track_id=kolMatch_34b52967eb884e39b60a07e600ac9d0d&amp;source=Advertiser_Kol" TargetMode="External" Id="rId622" /><Relationship Type="http://schemas.openxmlformats.org/officeDocument/2006/relationships/hyperlink" Target="https://www.xiaohongshu.com/user/profile/67a17842000000000d008178" TargetMode="External" Id="rId623" /><Relationship Type="http://schemas.openxmlformats.org/officeDocument/2006/relationships/hyperlink" Target="https://pgy.xiaohongshu.com/solar/pre-trade/blogger-detail/5de4bb600000000001006c21?track_id=kolMatch_34b52967eb884e39b60a07e600ac9d0d&amp;source=Advertiser_Kol" TargetMode="External" Id="rId624" /><Relationship Type="http://schemas.openxmlformats.org/officeDocument/2006/relationships/hyperlink" Target="https://www.xiaohongshu.com/user/profile/5de4bb600000000001006c21" TargetMode="External" Id="rId625" /><Relationship Type="http://schemas.openxmlformats.org/officeDocument/2006/relationships/hyperlink" Target="https://pgy.xiaohongshu.com/solar/pre-trade/blogger-detail/664732630000000003032234?track_id=kolMatch_c2c296f317134918895845abf502d42f&amp;source=Advertiser_Kol" TargetMode="External" Id="rId626" /><Relationship Type="http://schemas.openxmlformats.org/officeDocument/2006/relationships/hyperlink" Target="https://www.xiaohongshu.com/user/profile/664732630000000003032234" TargetMode="External" Id="rId627" /><Relationship Type="http://schemas.openxmlformats.org/officeDocument/2006/relationships/hyperlink" Target="https://pgy.xiaohongshu.com/solar/pre-trade/blogger-detail/5bfbef8344363b179c0b85cb?track_id=kolMatch_c2c296f317134918895845abf502d42f&amp;source=Advertiser_Kol" TargetMode="External" Id="rId628" /><Relationship Type="http://schemas.openxmlformats.org/officeDocument/2006/relationships/hyperlink" Target="https://www.xiaohongshu.com/user/profile/5bfbef8344363b179c0b85cb" TargetMode="External" Id="rId629" /><Relationship Type="http://schemas.openxmlformats.org/officeDocument/2006/relationships/hyperlink" Target="https://pgy.xiaohongshu.com/solar/pre-trade/blogger-detail/59aa51046a6a6932d62fa702?track_id=kolMatch_c2c296f317134918895845abf502d42f&amp;source=Advertiser_Kol" TargetMode="External" Id="rId630" /><Relationship Type="http://schemas.openxmlformats.org/officeDocument/2006/relationships/hyperlink" Target="https://www.xiaohongshu.com/user/profile/59aa51046a6a6932d62fa702" TargetMode="External" Id="rId631" /><Relationship Type="http://schemas.openxmlformats.org/officeDocument/2006/relationships/hyperlink" Target="https://pgy.xiaohongshu.com/solar/pre-trade/blogger-detail/5d2067a2000000001202fffd?track_id=kolMatch_c2c296f317134918895845abf502d42f&amp;source=Advertiser_Kol" TargetMode="External" Id="rId632" /><Relationship Type="http://schemas.openxmlformats.org/officeDocument/2006/relationships/hyperlink" Target="https://www.xiaohongshu.com/user/profile/5d2067a2000000001202fffd" TargetMode="External" Id="rId633" /><Relationship Type="http://schemas.openxmlformats.org/officeDocument/2006/relationships/hyperlink" Target="https://pgy.xiaohongshu.com/solar/pre-trade/blogger-detail/64a23f59000000001c02aafd?track_id=kolMatch_c2c296f317134918895845abf502d42f&amp;source=Advertiser_Kol" TargetMode="External" Id="rId634" /><Relationship Type="http://schemas.openxmlformats.org/officeDocument/2006/relationships/hyperlink" Target="https://www.xiaohongshu.com/user/profile/64a23f59000000001c02aafd" TargetMode="External" Id="rId635" /><Relationship Type="http://schemas.openxmlformats.org/officeDocument/2006/relationships/hyperlink" Target="https://pgy.xiaohongshu.com/solar/pre-trade/blogger-detail/65bba2d9000000000e02483c?track_id=kolMatch_3631ac3d5f0f408896797a084bca4d90&amp;source=Advertiser_Kol" TargetMode="External" Id="rId636" /><Relationship Type="http://schemas.openxmlformats.org/officeDocument/2006/relationships/hyperlink" Target="https://www.xiaohongshu.com/user/profile/65bba2d9000000000e02483c" TargetMode="External" Id="rId637" /><Relationship Type="http://schemas.openxmlformats.org/officeDocument/2006/relationships/hyperlink" Target="https://pgy.xiaohongshu.com/solar/pre-trade/blogger-detail/636e3998000000001f01df16?track_id=kolMatch_3631ac3d5f0f408896797a084bca4d90&amp;source=Advertiser_Kol" TargetMode="External" Id="rId638" /><Relationship Type="http://schemas.openxmlformats.org/officeDocument/2006/relationships/hyperlink" Target="https://www.xiaohongshu.com/user/profile/636e3998000000001f01df16" TargetMode="External" Id="rId639" /><Relationship Type="http://schemas.openxmlformats.org/officeDocument/2006/relationships/hyperlink" Target="https://pgy.xiaohongshu.com/solar/pre-trade/blogger-detail/5b6e2d5cf9d8f10001bb24fe?track_id=kolMatch_3631ac3d5f0f408896797a084bca4d90&amp;source=Advertiser_Kol" TargetMode="External" Id="rId640" /><Relationship Type="http://schemas.openxmlformats.org/officeDocument/2006/relationships/hyperlink" Target="https://www.xiaohongshu.com/user/profile/5b6e2d5cf9d8f10001bb24fe" TargetMode="External" Id="rId641" /><Relationship Type="http://schemas.openxmlformats.org/officeDocument/2006/relationships/hyperlink" Target="https://pgy.xiaohongshu.com/solar/pre-trade/blogger-detail/5a3133d6db2e606dc879dc3b?track_id=kolMatch_3631ac3d5f0f408896797a084bca4d90&amp;source=Advertiser_Kol" TargetMode="External" Id="rId642" /><Relationship Type="http://schemas.openxmlformats.org/officeDocument/2006/relationships/hyperlink" Target="https://www.xiaohongshu.com/user/profile/5a3133d6db2e606dc879dc3b" TargetMode="External" Id="rId643" /><Relationship Type="http://schemas.openxmlformats.org/officeDocument/2006/relationships/hyperlink" Target="https://pgy.xiaohongshu.com/solar/pre-trade/blogger-detail/5fe9d273000000000100a344?track_id=kolSimilar_bb22de4373e74319bc7f146dd9d46e6b&amp;source=Advertiser_Similar_Kol" TargetMode="External" Id="rId644" /><Relationship Type="http://schemas.openxmlformats.org/officeDocument/2006/relationships/hyperlink" Target="https://www.xiaohongshu.com/user/profile/5fe9d273000000000100a344" TargetMode="External" Id="rId645" /><Relationship Type="http://schemas.openxmlformats.org/officeDocument/2006/relationships/hyperlink" Target="https://pgy.xiaohongshu.com/solar/pre-trade/blogger-detail/68f4e2a5000000003702bb8b?track_id=kolSimilar_7939d42537224cb38b1ddf8cb8340b50&amp;source=Advertiser_Similar_Kol" TargetMode="External" Id="rId646" /><Relationship Type="http://schemas.openxmlformats.org/officeDocument/2006/relationships/hyperlink" Target="https://www.xiaohongshu.com/user/profile/68f4e2a5000000003702bb8b" TargetMode="External" Id="rId647" /><Relationship Type="http://schemas.openxmlformats.org/officeDocument/2006/relationships/hyperlink" Target="https://pgy.xiaohongshu.com/solar/pre-trade/blogger-detail/682e63e6000000000e01d1f8?track_id=kolSimilar_7939d42537224cb38b1ddf8cb8340b50&amp;source=Advertiser_Similar_Kol" TargetMode="External" Id="rId648" /><Relationship Type="http://schemas.openxmlformats.org/officeDocument/2006/relationships/hyperlink" Target="https://www.xiaohongshu.com/user/profile/682e63e6000000000e01d1f8" TargetMode="External" Id="rId649" /><Relationship Type="http://schemas.openxmlformats.org/officeDocument/2006/relationships/hyperlink" Target="https://pgy.xiaohongshu.com/solar/pre-trade/blogger-detail/5ebd648c0000000001001369?track_id=kolSimilar_7939d42537224cb38b1ddf8cb8340b50&amp;source=Advertiser_Similar_Kol" TargetMode="External" Id="rId650" /><Relationship Type="http://schemas.openxmlformats.org/officeDocument/2006/relationships/hyperlink" Target="https://www.xiaohongshu.com/user/profile/5ebd648c0000000001001369" TargetMode="External" Id="rId651" /><Relationship Type="http://schemas.openxmlformats.org/officeDocument/2006/relationships/hyperlink" Target="https://pgy.xiaohongshu.com/solar/pre-trade/blogger-detail/65e4a125000000000500d3ab?track_id=kolSimilar_7939d42537224cb38b1ddf8cb8340b50&amp;source=Advertiser_Similar_Kol" TargetMode="External" Id="rId652" /><Relationship Type="http://schemas.openxmlformats.org/officeDocument/2006/relationships/hyperlink" Target="https://www.xiaohongshu.com/user/profile/65e4a125000000000500d3ab" TargetMode="External" Id="rId653" /><Relationship Type="http://schemas.openxmlformats.org/officeDocument/2006/relationships/hyperlink" Target="https://pgy.xiaohongshu.com/solar/pre-trade/blogger-detail/5fe55df1000000000101cae2?track_id=kolSimilar_318713611a2a476a811b6443dd862de4&amp;source=Advertiser_Similar_Kol" TargetMode="External" Id="rId654" /><Relationship Type="http://schemas.openxmlformats.org/officeDocument/2006/relationships/hyperlink" Target="https://www.xiaohongshu.com/user/profile/5fe55df1000000000101cae2" TargetMode="External" Id="rId655" /><Relationship Type="http://schemas.openxmlformats.org/officeDocument/2006/relationships/hyperlink" Target="https://pgy.xiaohongshu.com/solar/pre-trade/blogger-detail/68725b47000000001e03d82a?track_id=kolSimilar_7939d42537224cb38b1ddf8cb8340b50&amp;source=Advertiser_Similar_Kol" TargetMode="External" Id="rId656" /><Relationship Type="http://schemas.openxmlformats.org/officeDocument/2006/relationships/hyperlink" Target="https://www.xiaohongshu.com/user/profile/68725b47000000001e03d82a" TargetMode="External" Id="rId657" /><Relationship Type="http://schemas.openxmlformats.org/officeDocument/2006/relationships/hyperlink" Target="https://pgy.xiaohongshu.com/solar/pre-trade/blogger-detail/61e6da3a000000002102bd84?track_id=kolSimilar_318713611a2a476a811b6443dd862de4&amp;source=Advertiser_Similar_Kol" TargetMode="External" Id="rId658" /><Relationship Type="http://schemas.openxmlformats.org/officeDocument/2006/relationships/hyperlink" Target="https://www.xiaohongshu.com/user/profile/61e6da3a000000002102bd84" TargetMode="External" Id="rId659" /><Relationship Type="http://schemas.openxmlformats.org/officeDocument/2006/relationships/hyperlink" Target="https://pgy.xiaohongshu.com/solar/pre-trade/blogger-detail/67e0eed1000000000a03fa2e?track_id=kolSimilar_318713611a2a476a811b6443dd862de4&amp;source=Advertiser_Similar_Kol" TargetMode="External" Id="rId660" /><Relationship Type="http://schemas.openxmlformats.org/officeDocument/2006/relationships/hyperlink" Target="https://www.xiaohongshu.com/user/profile/67e0eed1000000000a03fa2e" TargetMode="External" Id="rId661" /><Relationship Type="http://schemas.openxmlformats.org/officeDocument/2006/relationships/hyperlink" Target="https://pgy.xiaohongshu.com/solar/pre-trade/blogger-detail/67a8a08a000000000d009731?track_id=kolSimilar_0482c495394f4cf097258cc03826caa9&amp;source=Advertiser_Similar_Kol" TargetMode="External" Id="rId662" /><Relationship Type="http://schemas.openxmlformats.org/officeDocument/2006/relationships/hyperlink" Target="https://www.xiaohongshu.com/user/profile/67a8a08a000000000d009731" TargetMode="External" Id="rId663" /><Relationship Type="http://schemas.openxmlformats.org/officeDocument/2006/relationships/hyperlink" Target="https://pgy.xiaohongshu.com/solar/pre-trade/blogger-detail/670a3093000000001d020a74?track_id=kolSimilar_318713611a2a476a811b6443dd862de4&amp;source=Advertiser_Similar_Kol" TargetMode="External" Id="rId664" /><Relationship Type="http://schemas.openxmlformats.org/officeDocument/2006/relationships/hyperlink" Target="https://www.xiaohongshu.com/user/profile/670a3093000000001d020a74" TargetMode="External" Id="rId665" /><Relationship Type="http://schemas.openxmlformats.org/officeDocument/2006/relationships/hyperlink" Target="https://pgy.xiaohongshu.com/solar/pre-trade/blogger-detail/62082ed70000000010008f03?track_id=kolSimilar_7939d42537224cb38b1ddf8cb8340b50&amp;source=Advertiser_Similar_Kol" TargetMode="External" Id="rId666" /><Relationship Type="http://schemas.openxmlformats.org/officeDocument/2006/relationships/hyperlink" Target="https://www.xiaohongshu.com/user/profile/62082ed70000000010008f03" TargetMode="External" Id="rId667" /><Relationship Type="http://schemas.openxmlformats.org/officeDocument/2006/relationships/hyperlink" Target="https://pgy.xiaohongshu.com/solar/pre-trade/blogger-detail/5a39fbf94eacab460b9d999b?track_id=kolSimilar_318713611a2a476a811b6443dd862de4&amp;source=Advertiser_Similar_Kol" TargetMode="External" Id="rId668" /><Relationship Type="http://schemas.openxmlformats.org/officeDocument/2006/relationships/hyperlink" Target="https://www.xiaohongshu.com/user/profile/5a39fbf94eacab460b9d999b" TargetMode="External" Id="rId669" /><Relationship Type="http://schemas.openxmlformats.org/officeDocument/2006/relationships/hyperlink" Target="https://pgy.xiaohongshu.com/solar/pre-trade/blogger-detail/6513c35e0000000023027fa0?track_id=kolSimilar_4ee96c096bc6407dbf2caa3fccaed394&amp;source=Advertiser_Similar_Kol" TargetMode="External" Id="rId670" /><Relationship Type="http://schemas.openxmlformats.org/officeDocument/2006/relationships/hyperlink" Target="https://www.xiaohongshu.com/user/profile/6513c35e0000000023027fa0" TargetMode="External" Id="rId671" /><Relationship Type="http://schemas.openxmlformats.org/officeDocument/2006/relationships/hyperlink" Target="https://pgy.xiaohongshu.com/solar/pre-trade/blogger-detail/5dc7caf500000000010057ca?track_id=kolSimilar_318713611a2a476a811b6443dd862de4&amp;source=Advertiser_Similar_Kol" TargetMode="External" Id="rId672" /><Relationship Type="http://schemas.openxmlformats.org/officeDocument/2006/relationships/hyperlink" Target="https://www.xiaohongshu.com/user/profile/5dc7caf500000000010057ca" TargetMode="External" Id="rId673" /><Relationship Type="http://schemas.openxmlformats.org/officeDocument/2006/relationships/hyperlink" Target="https://pgy.xiaohongshu.com/solar/pre-trade/blogger-detail/6823605f000000000a03ec8a?track_id=kolSimilar_7939d42537224cb38b1ddf8cb8340b50&amp;source=Advertiser_Similar_Kol" TargetMode="External" Id="rId674" /><Relationship Type="http://schemas.openxmlformats.org/officeDocument/2006/relationships/hyperlink" Target="https://www.xiaohongshu.com/user/profile/6823605f000000000a03ec8a" TargetMode="External" Id="rId675" /><Relationship Type="http://schemas.openxmlformats.org/officeDocument/2006/relationships/hyperlink" Target="https://pgy.xiaohongshu.com/solar/pre-trade/blogger-detail/682b5d95000000000e01e2eb?track_id=kolSimilar_c7c5797771384bbf8912ee88b10c2357&amp;source=Advertiser_Similar_Kol" TargetMode="External" Id="rId676" /><Relationship Type="http://schemas.openxmlformats.org/officeDocument/2006/relationships/hyperlink" Target="https://www.xiaohongshu.com/user/profile/682b5d95000000000e01e2eb" TargetMode="External" Id="rId677" /><Relationship Type="http://schemas.openxmlformats.org/officeDocument/2006/relationships/hyperlink" Target="https://pgy.xiaohongshu.com/solar/pre-trade/blogger-detail/6525725c000000002b003b31?track_id=kolSimilar_0482c495394f4cf097258cc03826caa9&amp;source=Advertiser_Similar_Kol" TargetMode="External" Id="rId678" /><Relationship Type="http://schemas.openxmlformats.org/officeDocument/2006/relationships/hyperlink" Target="https://www.xiaohongshu.com/user/profile/6525725c000000002b003b31" TargetMode="External" Id="rId679" /><Relationship Type="http://schemas.openxmlformats.org/officeDocument/2006/relationships/hyperlink" Target="https://pgy.xiaohongshu.com/solar/pre-trade/blogger-detail/6684166f00000000030308ed?track_id=kolSimilar_7939d42537224cb38b1ddf8cb8340b50&amp;source=Advertiser_Similar_Kol" TargetMode="External" Id="rId680" /><Relationship Type="http://schemas.openxmlformats.org/officeDocument/2006/relationships/hyperlink" Target="https://www.xiaohongshu.com/user/profile/6684166f00000000030308ed" TargetMode="External" Id="rId681" /><Relationship Type="http://schemas.openxmlformats.org/officeDocument/2006/relationships/hyperlink" Target="https://pgy.xiaohongshu.com/solar/pre-trade/blogger-detail/5a87cf7edb2e605505d43453?track_id=kolSimilar_fdba72124421487888a91227e9650202&amp;source=Advertiser_Similar_Kol" TargetMode="External" Id="rId682" /><Relationship Type="http://schemas.openxmlformats.org/officeDocument/2006/relationships/hyperlink" Target="https://www.xiaohongshu.com/user/profile/5a87cf7edb2e605505d43453" TargetMode="External" Id="rId683" /><Relationship Type="http://schemas.openxmlformats.org/officeDocument/2006/relationships/hyperlink" Target="https://pgy.xiaohongshu.com/solar/pre-trade/blogger-detail/67265f57000000001d02efc4?track_id=kolSimilar_f5588e1a22ef44799bcd2465c02f2bf3&amp;source=Advertiser_Similar_Kol" TargetMode="External" Id="rId684" /><Relationship Type="http://schemas.openxmlformats.org/officeDocument/2006/relationships/hyperlink" Target="https://www.xiaohongshu.com/user/profile/67265f57000000001d02efc4" TargetMode="External" Id="rId685" /><Relationship Type="http://schemas.openxmlformats.org/officeDocument/2006/relationships/hyperlink" Target="https://pgy.xiaohongshu.com/solar/pre-trade/blogger-detail/689fadcb000000001903f016?track_id=kolMatch_fee0f9ba65af49f2ab77338c39bfe5e8&amp;source=Advertiser_Kol" TargetMode="External" Id="rId686" /><Relationship Type="http://schemas.openxmlformats.org/officeDocument/2006/relationships/hyperlink" Target="https://www.xiaohongshu.com/user/profile/689fadcb000000001903f016" TargetMode="External" Id="rId687" /><Relationship Type="http://schemas.openxmlformats.org/officeDocument/2006/relationships/hyperlink" Target="https://pgy.xiaohongshu.com/solar/pre-trade/blogger-detail/6256a6cc0000000021021397?track_id=kolSimilar_23d71bc4949744b191f5f44f19caf762&amp;source=Advertiser_Similar_Kol" TargetMode="External" Id="rId688" /><Relationship Type="http://schemas.openxmlformats.org/officeDocument/2006/relationships/hyperlink" Target="https://www.xiaohongshu.com/user/profile/6256a6cc0000000021021397" TargetMode="External" Id="rId689" /><Relationship Type="http://schemas.openxmlformats.org/officeDocument/2006/relationships/hyperlink" Target="https://pgy.xiaohongshu.com/solar/pre-trade/blogger-detail/6283aefb0000000021022cb9?track_id=kolSimilar_23d71bc4949744b191f5f44f19caf762&amp;source=Advertiser_Similar_Kol" TargetMode="External" Id="rId690" /><Relationship Type="http://schemas.openxmlformats.org/officeDocument/2006/relationships/hyperlink" Target="https://www.xiaohongshu.com/user/profile/6283aefb0000000021022cb9" TargetMode="External" Id="rId691" /><Relationship Type="http://schemas.openxmlformats.org/officeDocument/2006/relationships/hyperlink" Target="https://pgy.xiaohongshu.com/solar/pre-trade/blogger-detail/627215a900000000210217ae?track_id=kolSimilar_55ddd1eb81a84983a3402eee899760a8&amp;source=Advertiser_Similar_Kol" TargetMode="External" Id="rId692" /><Relationship Type="http://schemas.openxmlformats.org/officeDocument/2006/relationships/hyperlink" Target="https://www.xiaohongshu.com/user/profile/627215a900000000210217ae" TargetMode="External" Id="rId693" /><Relationship Type="http://schemas.openxmlformats.org/officeDocument/2006/relationships/hyperlink" Target="https://pgy.xiaohongshu.com/solar/pre-trade/blogger-detail/5a6c3b3b11be101f9d2c63e3?track_id=kolSimilar_40b9d6c04a2c46cc9dbee56ed345075f&amp;source=Advertiser_Similar_Kol" TargetMode="External" Id="rId694" /><Relationship Type="http://schemas.openxmlformats.org/officeDocument/2006/relationships/hyperlink" Target="https://www.xiaohongshu.com/user/profile/5a6c3b3b11be101f9d2c63e3" TargetMode="External" Id="rId695" /><Relationship Type="http://schemas.openxmlformats.org/officeDocument/2006/relationships/hyperlink" Target="https://pgy.xiaohongshu.com/solar/pre-trade/blogger-detail/59b5082550c4b436f9a36817?track_id=kolSimilar_40b9d6c04a2c46cc9dbee56ed345075f&amp;source=Advertiser_Similar_Kol" TargetMode="External" Id="rId696" /><Relationship Type="http://schemas.openxmlformats.org/officeDocument/2006/relationships/hyperlink" Target="https://www.xiaohongshu.com/user/profile/59b5082550c4b436f9a36817" TargetMode="External" Id="rId697" /><Relationship Type="http://schemas.openxmlformats.org/officeDocument/2006/relationships/hyperlink" Target="https://pgy.xiaohongshu.com/solar/pre-trade/blogger-detail/66fe946c000000001d02309a?track_id=kolSimilar_9e026bd5b5ab456bb8c7d56724b954fa&amp;source=Advertiser_Similar_Kol" TargetMode="External" Id="rId698" /><Relationship Type="http://schemas.openxmlformats.org/officeDocument/2006/relationships/hyperlink" Target="https://www.xiaohongshu.com/user/profile/66fe946c000000001d02309a" TargetMode="External" Id="rId699" /><Relationship Type="http://schemas.openxmlformats.org/officeDocument/2006/relationships/hyperlink" Target="https://pgy.xiaohongshu.com/solar/pre-trade/blogger-detail/60c5807e000000000101d659?track_id=kolSimilar_9e026bd5b5ab456bb8c7d56724b954fa&amp;source=Advertiser_Similar_Kol" TargetMode="External" Id="rId700" /><Relationship Type="http://schemas.openxmlformats.org/officeDocument/2006/relationships/hyperlink" Target="https://www.xiaohongshu.com/user/profile/60c5807e000000000101d659" TargetMode="External" Id="rId701" /><Relationship Type="http://schemas.openxmlformats.org/officeDocument/2006/relationships/hyperlink" Target="https://pgy.xiaohongshu.com/solar/pre-trade/blogger-detail/66062df9000000000600e71d?track_id=kolSimilar_01e1b077c704490584e82ccbdd4d8fb5&amp;source=Advertiser_Similar_Kol" TargetMode="External" Id="rId702" /><Relationship Type="http://schemas.openxmlformats.org/officeDocument/2006/relationships/hyperlink" Target="https://www.xiaohongshu.com/user/profile/66062df9000000000600e71d" TargetMode="External" Id="rId703" /><Relationship Type="http://schemas.openxmlformats.org/officeDocument/2006/relationships/hyperlink" Target="https://pgy.xiaohongshu.com/solar/pre-trade/blogger-detail/607272950000000001001bdc?track_id=kolSimilar_d2cab73ff93f436a8e6d71a44fbda001&amp;source=Advertiser_Similar_Kol" TargetMode="External" Id="rId704" /><Relationship Type="http://schemas.openxmlformats.org/officeDocument/2006/relationships/hyperlink" Target="https://www.xiaohongshu.com/user/profile/607272950000000001001bdc" TargetMode="External" Id="rId705" /><Relationship Type="http://schemas.openxmlformats.org/officeDocument/2006/relationships/hyperlink" Target="https://pgy.xiaohongshu.com/solar/pre-trade/blogger-detail/65990ad30000000022004589?track_id=kolSimilar_d2cab73ff93f436a8e6d71a44fbda001&amp;source=Advertiser_Similar_Kol" TargetMode="External" Id="rId706" /><Relationship Type="http://schemas.openxmlformats.org/officeDocument/2006/relationships/hyperlink" Target="https://www.xiaohongshu.com/user/profile/65990ad30000000022004589" TargetMode="External" Id="rId707" /><Relationship Type="http://schemas.openxmlformats.org/officeDocument/2006/relationships/hyperlink" Target="https://pgy.xiaohongshu.com/solar/pre-trade/blogger-detail/66f50997000000000d025366?track_id=kolSimilar_d2cab73ff93f436a8e6d71a44fbda001&amp;source=Advertiser_Similar_Kol" TargetMode="External" Id="rId708" /><Relationship Type="http://schemas.openxmlformats.org/officeDocument/2006/relationships/hyperlink" Target="https://www.xiaohongshu.com/user/profile/66f50997000000000d025366" TargetMode="External" Id="rId709" /><Relationship Type="http://schemas.openxmlformats.org/officeDocument/2006/relationships/hyperlink" Target="https://pgy.xiaohongshu.com/solar/pre-trade/blogger-detail/61605db50000000002019b17?track_id=kolSimilar_d2cab73ff93f436a8e6d71a44fbda001&amp;source=Advertiser_Similar_Kol" TargetMode="External" Id="rId710" /><Relationship Type="http://schemas.openxmlformats.org/officeDocument/2006/relationships/hyperlink" Target="https://www.xiaohongshu.com/user/profile/61605db50000000002019b17" TargetMode="External" Id="rId711" /><Relationship Type="http://schemas.openxmlformats.org/officeDocument/2006/relationships/hyperlink" Target="https://pgy.xiaohongshu.com/solar/pre-trade/blogger-detail/66e58184000000000b0334d7?track_id=kolSimilar_cc149ca614d744adb740f05eb2e68fd8&amp;source=Advertiser_Similar_Kol" TargetMode="External" Id="rId712" /><Relationship Type="http://schemas.openxmlformats.org/officeDocument/2006/relationships/hyperlink" Target="https://www.xiaohongshu.com/user/profile/66e58184000000000b0334d7" TargetMode="External" Id="rId713" /><Relationship Type="http://schemas.openxmlformats.org/officeDocument/2006/relationships/hyperlink" Target="https://pgy.xiaohongshu.com/solar/pre-trade/blogger-detail/5924fbe76a6a6969c8a9c0bc?track_id=kolSimilar_47dab58e8b6549a5ab766cacb6a37c56&amp;source=Advertiser_Similar_Kol" TargetMode="External" Id="rId714" /><Relationship Type="http://schemas.openxmlformats.org/officeDocument/2006/relationships/hyperlink" Target="https://www.xiaohongshu.com/user/profile/5924fbe76a6a6969c8a9c0bc" TargetMode="External" Id="rId715" /><Relationship Type="http://schemas.openxmlformats.org/officeDocument/2006/relationships/hyperlink" Target="https://pgy.xiaohongshu.com/solar/pre-trade/blogger-detail/671a3a5b000000001d03067d?track_id=kolSimilar_47dab58e8b6549a5ab766cacb6a37c56&amp;source=Advertiser_Similar_Kol" TargetMode="External" Id="rId716" /><Relationship Type="http://schemas.openxmlformats.org/officeDocument/2006/relationships/hyperlink" Target="https://www.xiaohongshu.com/user/profile/671a3a5b000000001d03067d" TargetMode="External" Id="rId717" /><Relationship Type="http://schemas.openxmlformats.org/officeDocument/2006/relationships/hyperlink" Target="https://pgy.xiaohongshu.com/solar/pre-trade/blogger-detail/632020d4000000002303f68b?track_id=kolSimilar_903a2dfffbd34961b164c6b8999c1972&amp;source=Advertiser_Similar_Kol" TargetMode="External" Id="rId718" /><Relationship Type="http://schemas.openxmlformats.org/officeDocument/2006/relationships/hyperlink" Target="https://www.xiaohongshu.com/user/profile/632020d4000000002303f68b" TargetMode="External" Id="rId719" /><Relationship Type="http://schemas.openxmlformats.org/officeDocument/2006/relationships/hyperlink" Target="https://pgy.xiaohongshu.com/solar/pre-trade/blogger-detail/6872400c000000001b01a12b?track_id=kolSimilar_903a2dfffbd34961b164c6b8999c1972&amp;source=Advertiser_Similar_Kol" TargetMode="External" Id="rId720" /><Relationship Type="http://schemas.openxmlformats.org/officeDocument/2006/relationships/hyperlink" Target="https://www.xiaohongshu.com/user/profile/6872400c000000001b01a12b" TargetMode="External" Id="rId721" /><Relationship Type="http://schemas.openxmlformats.org/officeDocument/2006/relationships/hyperlink" Target="https://pgy.xiaohongshu.com/solar/pre-trade/blogger-detail/60b7b8450000000001008ff1?track_id=kolSimilar_7d2240e5fea24041b114cf3ee28ac069&amp;source=Advertiser_Similar_Kol" TargetMode="External" Id="rId722" /><Relationship Type="http://schemas.openxmlformats.org/officeDocument/2006/relationships/hyperlink" Target="https://www.xiaohongshu.com/user/profile/60b7b8450000000001008ff1" TargetMode="External" Id="rId723" /><Relationship Type="http://schemas.openxmlformats.org/officeDocument/2006/relationships/hyperlink" Target="https://pgy.xiaohongshu.com/solar/pre-trade/blogger-detail/60d72512000000000101f0d5?track_id=kolSimilar_0888721fcad446c4baa42681da076613&amp;source=Advertiser_Similar_Kol" TargetMode="External" Id="rId724" /><Relationship Type="http://schemas.openxmlformats.org/officeDocument/2006/relationships/hyperlink" Target="https://www.xiaohongshu.com/user/profile/60d72512000000000101f0d5" TargetMode="External" Id="rId725" /><Relationship Type="http://schemas.openxmlformats.org/officeDocument/2006/relationships/hyperlink" Target="https://pgy.xiaohongshu.com/solar/pre-trade/blogger-detail/65288c82000000002b001baf?track_id=kolSimilar_63be4b37b89e466b9e7943614a78521d&amp;source=Advertiser_Similar_Kol" TargetMode="External" Id="rId726" /><Relationship Type="http://schemas.openxmlformats.org/officeDocument/2006/relationships/hyperlink" Target="https://www.xiaohongshu.com/user/profile/65288c82000000002b001baf" TargetMode="External" Id="rId727" /><Relationship Type="http://schemas.openxmlformats.org/officeDocument/2006/relationships/hyperlink" Target="https://pgy.xiaohongshu.com/solar/pre-trade/blogger-detail/65a915dd000000000803d203?track_id=kolSimilar_00b0c63d2d8b462fa698f57e6c1f211f&amp;source=Advertiser_Similar_Kol" TargetMode="External" Id="rId728" /><Relationship Type="http://schemas.openxmlformats.org/officeDocument/2006/relationships/hyperlink" Target="https://www.xiaohongshu.com/user/profile/65a915dd000000000803d203" TargetMode="External" Id="rId729" /><Relationship Type="http://schemas.openxmlformats.org/officeDocument/2006/relationships/hyperlink" Target="https://pgy.xiaohongshu.com/solar/pre-trade/blogger-detail/63b04429000000002702be94?track_id=kolSimilar_63be4b37b89e466b9e7943614a78521d&amp;source=Advertiser_Similar_Kol" TargetMode="External" Id="rId730" /><Relationship Type="http://schemas.openxmlformats.org/officeDocument/2006/relationships/hyperlink" Target="https://www.xiaohongshu.com/user/profile/63b04429000000002702be94" TargetMode="External" Id="rId731" /><Relationship Type="http://schemas.openxmlformats.org/officeDocument/2006/relationships/hyperlink" Target="https://pgy.xiaohongshu.com/solar/pre-trade/blogger-detail/6412a4190000000011021d47?track_id=kolSimilar_00b0c63d2d8b462fa698f57e6c1f211f&amp;source=Advertiser_Similar_Kol" TargetMode="External" Id="rId732" /><Relationship Type="http://schemas.openxmlformats.org/officeDocument/2006/relationships/hyperlink" Target="https://www.xiaohongshu.com/user/profile/6412a4190000000011021d47" TargetMode="External" Id="rId733" /><Relationship Type="http://schemas.openxmlformats.org/officeDocument/2006/relationships/hyperlink" Target="https://pgy.xiaohongshu.com/solar/pre-trade/blogger-detail/5a65d271e8ac2b777c317cb9?track_id=kolSimilar_63be4b37b89e466b9e7943614a78521d&amp;source=Advertiser_Similar_Kol" TargetMode="External" Id="rId734" /><Relationship Type="http://schemas.openxmlformats.org/officeDocument/2006/relationships/hyperlink" Target="https://www.xiaohongshu.com/user/profile/5a65d271e8ac2b777c317cb9" TargetMode="External" Id="rId735" /><Relationship Type="http://schemas.openxmlformats.org/officeDocument/2006/relationships/hyperlink" Target="https://pgy.xiaohongshu.com/solar/pre-trade/blogger-detail/67daa439000000000801480a?track_id=kolSimilar_7946a6419faf47d590df5cb7c5316858&amp;source=Advertiser_Similar_Kol" TargetMode="External" Id="rId736" /><Relationship Type="http://schemas.openxmlformats.org/officeDocument/2006/relationships/hyperlink" Target="https://www.xiaohongshu.com/user/profile/67daa439000000000801480a" TargetMode="External" Id="rId737" /><Relationship Type="http://schemas.openxmlformats.org/officeDocument/2006/relationships/hyperlink" Target="https://pgy.xiaohongshu.com/solar/pre-trade/blogger-detail/5483d137d6e4a95ed7e1b464?track_id=kolSimilar_0add94f521d246999bc430c8b6978b8b&amp;source=Advertiser_Similar_Kol" TargetMode="External" Id="rId738" /><Relationship Type="http://schemas.openxmlformats.org/officeDocument/2006/relationships/hyperlink" Target="https://www.xiaohongshu.com/user/profile/5483d137d6e4a95ed7e1b464" TargetMode="External" Id="rId739" /><Relationship Type="http://schemas.openxmlformats.org/officeDocument/2006/relationships/hyperlink" Target="https://pgy.xiaohongshu.com/solar/pre-trade/blogger-detail/68371487000000001d00b4b7?track_id=kolSimilar_cc3b27a3c03948e68c83d8ea40aa0f34&amp;source=Advertiser_Similar_Kol" TargetMode="External" Id="rId740" /><Relationship Type="http://schemas.openxmlformats.org/officeDocument/2006/relationships/hyperlink" Target="https://www.xiaohongshu.com/user/profile/68371487000000001d00b4b7" TargetMode="External" Id="rId741" /><Relationship Type="http://schemas.openxmlformats.org/officeDocument/2006/relationships/hyperlink" Target="https://pgy.xiaohongshu.com/solar/pre-trade/blogger-detail/573bb2d45e87e7074bea2b35?track_id=kolSimilar_e719015b1e1047888d8236f3695b4058&amp;source=Advertiser_Similar_Kol" TargetMode="External" Id="rId742" /><Relationship Type="http://schemas.openxmlformats.org/officeDocument/2006/relationships/hyperlink" Target="https://www.xiaohongshu.com/user/profile/573bb2d45e87e7074bea2b35" TargetMode="External" Id="rId743" /><Relationship Type="http://schemas.openxmlformats.org/officeDocument/2006/relationships/hyperlink" Target="https://pgy.xiaohongshu.com/solar/pre-trade/blogger-detail/635887bb000000001901eee9?track_id=kolSimilar_7d2240e5fea24041b114cf3ee28ac069&amp;source=Advertiser_Similar_Kol" TargetMode="External" Id="rId744" /><Relationship Type="http://schemas.openxmlformats.org/officeDocument/2006/relationships/hyperlink" Target="https://www.xiaohongshu.com/user/profile/635887bb000000001901eee9" TargetMode="External" Id="rId745" /><Relationship Type="http://schemas.openxmlformats.org/officeDocument/2006/relationships/hyperlink" Target="https://pgy.xiaohongshu.com/solar/pre-trade/blogger-detail/58e7723e6a6a697afa226317?track_id=kolSimilar_0fcc49c63c5d4d6786801684198c6b37&amp;source=Advertiser_Similar_Kol" TargetMode="External" Id="rId746" /><Relationship Type="http://schemas.openxmlformats.org/officeDocument/2006/relationships/hyperlink" Target="https://www.xiaohongshu.com/user/profile/58e7723e6a6a697afa226317" TargetMode="External" Id="rId747" /><Relationship Type="http://schemas.openxmlformats.org/officeDocument/2006/relationships/hyperlink" Target="https://pgy.xiaohongshu.com/solar/pre-trade/blogger-detail/5cdd419f00000000180280ec?track_id=kolSimilar_e719015b1e1047888d8236f3695b4058&amp;source=Advertiser_Similar_Kol" TargetMode="External" Id="rId748" /><Relationship Type="http://schemas.openxmlformats.org/officeDocument/2006/relationships/hyperlink" Target="https://www.xiaohongshu.com/user/profile/5cdd419f00000000180280ec" TargetMode="External" Id="rId749" /><Relationship Type="http://schemas.openxmlformats.org/officeDocument/2006/relationships/hyperlink" Target="https://pgy.xiaohongshu.com/solar/pre-trade/blogger-detail/6406999300000000290115a8?track_id=kolSimilar_7946a6419faf47d590df5cb7c5316858&amp;source=Advertiser_Similar_Kol" TargetMode="External" Id="rId750" /><Relationship Type="http://schemas.openxmlformats.org/officeDocument/2006/relationships/hyperlink" Target="https://www.xiaohongshu.com/user/profile/6406999300000000290115a8" TargetMode="External" Id="rId751" /><Relationship Type="http://schemas.openxmlformats.org/officeDocument/2006/relationships/hyperlink" Target="https://pgy.xiaohongshu.com/solar/pre-trade/blogger-detail/59102a385e87e756920abafb?track_id=kolSimilar_c9e5ef974ff6459a92f4f31e3e6e4437&amp;source=Advertiser_Similar_Kol" TargetMode="External" Id="rId752" /><Relationship Type="http://schemas.openxmlformats.org/officeDocument/2006/relationships/hyperlink" Target="https://www.xiaohongshu.com/user/profile/59102a385e87e756920abafb" TargetMode="External" Id="rId753" /><Relationship Type="http://schemas.openxmlformats.org/officeDocument/2006/relationships/hyperlink" Target="https://pgy.xiaohongshu.com/solar/pre-trade/blogger-detail/600bb34500000000010032f4?track_id=kolSimilar_d63955a422f64f3ea24bc61e5d613366&amp;source=Advertiser_Similar_Kol" TargetMode="External" Id="rId754" /><Relationship Type="http://schemas.openxmlformats.org/officeDocument/2006/relationships/hyperlink" Target="https://www.xiaohongshu.com/user/profile/600bb34500000000010032f4" TargetMode="External" Id="rId755" /><Relationship Type="http://schemas.openxmlformats.org/officeDocument/2006/relationships/hyperlink" Target="https://pgy.xiaohongshu.com/solar/pre-trade/blogger-detail/5aa767374eacab62a3dd8800?track_id=kolSimilar_d63955a422f64f3ea24bc61e5d613366&amp;source=Advertiser_Similar_Kol" TargetMode="External" Id="rId756" /><Relationship Type="http://schemas.openxmlformats.org/officeDocument/2006/relationships/hyperlink" Target="https://www.xiaohongshu.com/user/profile/5aa767374eacab62a3dd8800" TargetMode="External" Id="rId757" /><Relationship Type="http://schemas.openxmlformats.org/officeDocument/2006/relationships/hyperlink" Target="https://pgy.xiaohongshu.com/solar/pre-trade/blogger-detail/66ee6ab6000000001b038b43?track_id=kolSimilar_d63955a422f64f3ea24bc61e5d613366&amp;source=Advertiser_Similar_Kol" TargetMode="External" Id="rId758" /><Relationship Type="http://schemas.openxmlformats.org/officeDocument/2006/relationships/hyperlink" Target="https://www.xiaohongshu.com/user/profile/66ee6ab6000000001b038b43" TargetMode="External" Id="rId759" /><Relationship Type="http://schemas.openxmlformats.org/officeDocument/2006/relationships/hyperlink" Target="https://pgy.xiaohongshu.com/solar/pre-trade/blogger-detail/55fa39cd67bc6561c88d225d?track_id=kolSearch_18911159b0c746399e39eaf33004f79c&amp;source=Advertiser_Kol" TargetMode="External" Id="rId760" /><Relationship Type="http://schemas.openxmlformats.org/officeDocument/2006/relationships/hyperlink" Target="https://www.xiaohongshu.com/user/profile/55fa39cd67bc6561c88d225d" TargetMode="External" Id="rId761" /><Relationship Type="http://schemas.openxmlformats.org/officeDocument/2006/relationships/hyperlink" Target="https://pgy.xiaohongshu.com/solar/pre-trade/blogger-detail/59362c3eb1da141f2b7f500a?track_id=kolSimilar_437256d2c60c4bfba8f5eaa9e82dc64c&amp;source=Advertiser_Similar_Kol" TargetMode="External" Id="rId762" /><Relationship Type="http://schemas.openxmlformats.org/officeDocument/2006/relationships/hyperlink" Target="https://www.xiaohongshu.com/user/profile/59362c3eb1da141f2b7f500a" TargetMode="External" Id="rId763" /><Relationship Type="http://schemas.openxmlformats.org/officeDocument/2006/relationships/hyperlink" Target="https://pgy.xiaohongshu.com/solar/pre-trade/blogger-detail/5e533bda0000000001005572?track_id=kolSimilar_437256d2c60c4bfba8f5eaa9e82dc64c&amp;source=Advertiser_Similar_Kol" TargetMode="External" Id="rId764" /><Relationship Type="http://schemas.openxmlformats.org/officeDocument/2006/relationships/hyperlink" Target="https://www.xiaohongshu.com/user/profile/5e533bda0000000001005572" TargetMode="External" Id="rId765" /><Relationship Type="http://schemas.openxmlformats.org/officeDocument/2006/relationships/hyperlink" Target="https://pgy.xiaohongshu.com/solar/pre-trade/blogger-detail/602a8b180000000001002eac?track_id=kolSimilar_437256d2c60c4bfba8f5eaa9e82dc64c&amp;source=Advertiser_Similar_Kol" TargetMode="External" Id="rId766" /><Relationship Type="http://schemas.openxmlformats.org/officeDocument/2006/relationships/hyperlink" Target="https://www.xiaohongshu.com/user/profile/602a8b180000000001002eac" TargetMode="External" Id="rId767" /><Relationship Type="http://schemas.openxmlformats.org/officeDocument/2006/relationships/hyperlink" Target="https://pgy.xiaohongshu.com/solar/pre-trade/blogger-detail/56f8a1f41c07df1a01df0389?track_id=kolSimilar_437256d2c60c4bfba8f5eaa9e82dc64c&amp;source=Advertiser_Similar_Kol" TargetMode="External" Id="rId768" /><Relationship Type="http://schemas.openxmlformats.org/officeDocument/2006/relationships/hyperlink" Target="https://www.xiaohongshu.com/user/profile/56f8a1f41c07df1a01df0389" TargetMode="External" Id="rId769" /><Relationship Type="http://schemas.openxmlformats.org/officeDocument/2006/relationships/hyperlink" Target="https://pgy.xiaohongshu.com/solar/pre-trade/blogger-detail/59c7633e51783a665429dfaa?track_id=kolSimilar_437256d2c60c4bfba8f5eaa9e82dc64c&amp;source=Advertiser_Similar_Kol" TargetMode="External" Id="rId770" /><Relationship Type="http://schemas.openxmlformats.org/officeDocument/2006/relationships/hyperlink" Target="https://www.xiaohongshu.com/user/profile/59c7633e51783a665429dfaa" TargetMode="External" Id="rId771" /><Relationship Type="http://schemas.openxmlformats.org/officeDocument/2006/relationships/hyperlink" Target="https://pgy.xiaohongshu.com/solar/pre-trade/blogger-detail/561ddba73f0f3c54015447ad?track_id=kolSimilar_437256d2c60c4bfba8f5eaa9e82dc64c&amp;source=Advertiser_Similar_Kol" TargetMode="External" Id="rId772" /><Relationship Type="http://schemas.openxmlformats.org/officeDocument/2006/relationships/hyperlink" Target="https://www.xiaohongshu.com/user/profile/561ddba73f0f3c54015447ad" TargetMode="External" Id="rId773" /><Relationship Type="http://schemas.openxmlformats.org/officeDocument/2006/relationships/hyperlink" Target="https://pgy.xiaohongshu.com/solar/pre-trade/blogger-detail/5e54f2c9000000000100566b?track_id=kolSimilar_437256d2c60c4bfba8f5eaa9e82dc64c&amp;source=Advertiser_Similar_Kol" TargetMode="External" Id="rId774" /><Relationship Type="http://schemas.openxmlformats.org/officeDocument/2006/relationships/hyperlink" Target="https://www.xiaohongshu.com/user/profile/5e54f2c9000000000100566b" TargetMode="External" Id="rId775" /><Relationship Type="http://schemas.openxmlformats.org/officeDocument/2006/relationships/hyperlink" Target="https://pgy.xiaohongshu.com/solar/pre-trade/blogger-detail/67c318df000000000a03e88a?track_id=kolSimilar_437256d2c60c4bfba8f5eaa9e82dc64c&amp;source=Advertiser_Similar_Kol" TargetMode="External" Id="rId776" /><Relationship Type="http://schemas.openxmlformats.org/officeDocument/2006/relationships/hyperlink" Target="https://www.xiaohongshu.com/user/profile/67c318df000000000a03e88a" TargetMode="External" Id="rId777" /><Relationship Type="http://schemas.openxmlformats.org/officeDocument/2006/relationships/hyperlink" Target="https://pgy.xiaohongshu.com/solar/pre-trade/blogger-detail/668e43f7000000000d024d59?track_id=kolSimilar_60877fa9c5ca4e89b2b162450d47e050&amp;source=Advertiser_Similar_Kol" TargetMode="External" Id="rId778" /><Relationship Type="http://schemas.openxmlformats.org/officeDocument/2006/relationships/hyperlink" Target="https://www.xiaohongshu.com/user/profile/668e43f7000000000d024d59" TargetMode="External" Id="rId779" /><Relationship Type="http://schemas.openxmlformats.org/officeDocument/2006/relationships/hyperlink" Target="https://pgy.xiaohongshu.com/solar/pre-trade/blogger-detail/59e389b96b645522282aaa37?track_id=kolSimilar_60877fa9c5ca4e89b2b162450d47e050&amp;source=Advertiser_Similar_Kol" TargetMode="External" Id="rId780" /><Relationship Type="http://schemas.openxmlformats.org/officeDocument/2006/relationships/hyperlink" Target="https://www.xiaohongshu.com/user/profile/59e389b96b645522282aaa37" TargetMode="External" Id="rId781" /><Relationship Type="http://schemas.openxmlformats.org/officeDocument/2006/relationships/hyperlink" Target="https://pgy.xiaohongshu.com/solar/pre-trade/blogger-detail/66f413f0000000001d022644?track_id=kolSimilar_77d0c7ed463146fcbe2cd2fb972d6000&amp;source=Advertiser_Similar_Kol" TargetMode="External" Id="rId782" /><Relationship Type="http://schemas.openxmlformats.org/officeDocument/2006/relationships/hyperlink" Target="https://www.xiaohongshu.com/user/profile/66f413f0000000001d022644" TargetMode="External" Id="rId783" /><Relationship Type="http://schemas.openxmlformats.org/officeDocument/2006/relationships/hyperlink" Target="https://pgy.xiaohongshu.com/solar/pre-trade/blogger-detail/63f862ad000000000f011cb9?track_id=kolSimilar_77d0c7ed463146fcbe2cd2fb972d6000&amp;source=Advertiser_Similar_Kol" TargetMode="External" Id="rId784" /><Relationship Type="http://schemas.openxmlformats.org/officeDocument/2006/relationships/hyperlink" Target="https://www.xiaohongshu.com/user/profile/63f862ad000000000f011cb9" TargetMode="External" Id="rId785" /><Relationship Type="http://schemas.openxmlformats.org/officeDocument/2006/relationships/hyperlink" Target="https://pgy.xiaohongshu.com/solar/pre-trade/blogger-detail/5c8a07060000000016000146?track_id=kolSimilar_77d0c7ed463146fcbe2cd2fb972d6000&amp;source=Advertiser_Similar_Kol" TargetMode="External" Id="rId786" /><Relationship Type="http://schemas.openxmlformats.org/officeDocument/2006/relationships/hyperlink" Target="https://www.xiaohongshu.com/user/profile/5c8a07060000000016000146" TargetMode="External" Id="rId787" /><Relationship Type="http://schemas.openxmlformats.org/officeDocument/2006/relationships/hyperlink" Target="https://pgy.xiaohongshu.com/solar/pre-trade/blogger-detail/5b220a236b58b710f77c1e07?track_id=kolSimilar_77d0c7ed463146fcbe2cd2fb972d6000&amp;source=Advertiser_Similar_Kol" TargetMode="External" Id="rId788" /><Relationship Type="http://schemas.openxmlformats.org/officeDocument/2006/relationships/hyperlink" Target="https://www.xiaohongshu.com/user/profile/5b220a236b58b710f77c1e07" TargetMode="External" Id="rId789" /><Relationship Type="http://schemas.openxmlformats.org/officeDocument/2006/relationships/hyperlink" Target="https://pgy.xiaohongshu.com/solar/pre-trade/blogger-detail/5abc4aa811be10672e30cbde?track_id=kolSimilar_77d0c7ed463146fcbe2cd2fb972d6000&amp;source=Advertiser_Similar_Kol" TargetMode="External" Id="rId790" /><Relationship Type="http://schemas.openxmlformats.org/officeDocument/2006/relationships/hyperlink" Target="https://www.xiaohongshu.com/user/profile/5abc4aa811be10672e30cbde" TargetMode="External" Id="rId791" /><Relationship Type="http://schemas.openxmlformats.org/officeDocument/2006/relationships/hyperlink" Target="https://pgy.xiaohongshu.com/solar/pre-trade/blogger-detail/6006865c000000000100a999?track_id=kolSimilar_77d0c7ed463146fcbe2cd2fb972d6000&amp;source=Advertiser_Similar_Kol" TargetMode="External" Id="rId792" /><Relationship Type="http://schemas.openxmlformats.org/officeDocument/2006/relationships/hyperlink" Target="https://www.xiaohongshu.com/user/profile/6006865c000000000100a999" TargetMode="External" Id="rId793" /><Relationship Type="http://schemas.openxmlformats.org/officeDocument/2006/relationships/hyperlink" Target="https://pgy.xiaohongshu.com/solar/pre-trade/blogger-detail/5c25af600000000006027254?track_id=kolSimilar_77d0c7ed463146fcbe2cd2fb972d6000&amp;source=Advertiser_Similar_Kol" TargetMode="External" Id="rId794" /><Relationship Type="http://schemas.openxmlformats.org/officeDocument/2006/relationships/hyperlink" Target="https://www.xiaohongshu.com/user/profile/5c25af600000000006027254" TargetMode="External" Id="rId795" /><Relationship Type="http://schemas.openxmlformats.org/officeDocument/2006/relationships/hyperlink" Target="https://pgy.xiaohongshu.com/solar/pre-trade/blogger-detail/5cf7affb000000000603419f?track_id=kolSimilar_77d0c7ed463146fcbe2cd2fb972d6000&amp;source=Advertiser_Similar_Kol" TargetMode="External" Id="rId796" /><Relationship Type="http://schemas.openxmlformats.org/officeDocument/2006/relationships/hyperlink" Target="https://www.xiaohongshu.com/user/profile/5cf7affb000000000603419f" TargetMode="External" Id="rId797" /><Relationship Type="http://schemas.openxmlformats.org/officeDocument/2006/relationships/hyperlink" Target="https://pgy.xiaohongshu.com/solar/pre-trade/blogger-detail/6882e5c6000000001e03cd80?track_id=kolSimilar_77d0c7ed463146fcbe2cd2fb972d6000&amp;source=Advertiser_Similar_Kol" TargetMode="External" Id="rId798" /><Relationship Type="http://schemas.openxmlformats.org/officeDocument/2006/relationships/hyperlink" Target="https://www.xiaohongshu.com/user/profile/6882e5c6000000001e03cd80" TargetMode="External" Id="rId799" /><Relationship Type="http://schemas.openxmlformats.org/officeDocument/2006/relationships/hyperlink" Target="https://pgy.xiaohongshu.com/solar/pre-trade/blogger-detail/5fd3778e0000000001004dfe?track_id=kolSimilar_77d0c7ed463146fcbe2cd2fb972d6000&amp;source=Advertiser_Similar_Kol" TargetMode="External" Id="rId800" /><Relationship Type="http://schemas.openxmlformats.org/officeDocument/2006/relationships/hyperlink" Target="https://www.xiaohongshu.com/user/profile/5fd3778e0000000001004dfe" TargetMode="External" Id="rId801" /><Relationship Type="http://schemas.openxmlformats.org/officeDocument/2006/relationships/hyperlink" Target="https://pgy.xiaohongshu.com/solar/pre-trade/blogger-detail/5d77430a000000000101b81f?track_id=kolSimilar_032e389fecaa425a8d32e120dc50999b&amp;source=Advertiser_Kol" TargetMode="External" Id="rId802" /><Relationship Type="http://schemas.openxmlformats.org/officeDocument/2006/relationships/hyperlink" Target="https://www.xiaohongshu.com/user/profile/5d77430a000000000101b81f" TargetMode="External" Id="rId803" /><Relationship Type="http://schemas.openxmlformats.org/officeDocument/2006/relationships/hyperlink" Target="https://pgy.xiaohongshu.com/solar/pre-trade/blogger-detail/6432cb4700000000290118f6?track_id=kolSimilar_032e389fecaa425a8d32e120dc50999b&amp;source=Advertiser_Kol" TargetMode="External" Id="rId804" /><Relationship Type="http://schemas.openxmlformats.org/officeDocument/2006/relationships/hyperlink" Target="https://www.xiaohongshu.com/user/profile/6432cb4700000000290118f6" TargetMode="External" Id="rId805" /><Relationship Type="http://schemas.openxmlformats.org/officeDocument/2006/relationships/hyperlink" Target="https://pgy.xiaohongshu.com/solar/pre-trade/blogger-detail/5926f0f450c4b45ab48d214f?track_id=kolSimilar_032e389fecaa425a8d32e120dc50999b&amp;source=Advertiser_Kol" TargetMode="External" Id="rId806" /><Relationship Type="http://schemas.openxmlformats.org/officeDocument/2006/relationships/hyperlink" Target="https://www.xiaohongshu.com/user/profile/5926f0f450c4b45ab48d214f" TargetMode="External" Id="rId807" /><Relationship Type="http://schemas.openxmlformats.org/officeDocument/2006/relationships/hyperlink" Target="https://pgy.xiaohongshu.com/solar/pre-trade/blogger-detail/6108c02b000000000100967a?track_id=kolSimilar_032e389fecaa425a8d32e120dc50999b&amp;source=Advertiser_Kol" TargetMode="External" Id="rId808" /><Relationship Type="http://schemas.openxmlformats.org/officeDocument/2006/relationships/hyperlink" Target="https://www.xiaohongshu.com/user/profile/6108c02b000000000100967a" TargetMode="External" Id="rId809" /><Relationship Type="http://schemas.openxmlformats.org/officeDocument/2006/relationships/hyperlink" Target="https://pgy.xiaohongshu.com/solar/pre-trade/blogger-detail/5ca93e000000000011017c64?track_id=kolSimilar_fb7e5cc258924fce8045cc4aadb8dc02&amp;source=Advertiser_Kol" TargetMode="External" Id="rId810" /><Relationship Type="http://schemas.openxmlformats.org/officeDocument/2006/relationships/hyperlink" Target="https://www.xiaohongshu.com/user/profile/5ca93e000000000011017c64" TargetMode="External" Id="rId811" /><Relationship Type="http://schemas.openxmlformats.org/officeDocument/2006/relationships/hyperlink" Target="https://pgy.xiaohongshu.com/solar/pre-trade/blogger-detail/582d061850c4b4270363405a?track_id=kolSimilar_fb7e5cc258924fce8045cc4aadb8dc02&amp;source=Advertiser_Kol" TargetMode="External" Id="rId812" /><Relationship Type="http://schemas.openxmlformats.org/officeDocument/2006/relationships/hyperlink" Target="https://www.xiaohongshu.com/user/profile/582d061850c4b4270363405a" TargetMode="External" Id="rId813" /><Relationship Type="http://schemas.openxmlformats.org/officeDocument/2006/relationships/hyperlink" Target="https://pgy.xiaohongshu.com/solar/pre-trade/blogger-detail/674d7b20000000001d02c11c?track_id=kolSimilar_fb7e5cc258924fce8045cc4aadb8dc02&amp;source=Advertiser_Kol" TargetMode="External" Id="rId814" /><Relationship Type="http://schemas.openxmlformats.org/officeDocument/2006/relationships/hyperlink" Target="https://www.xiaohongshu.com/user/profile/674d7b20000000001d02c11c" TargetMode="External" Id="rId815" /><Relationship Type="http://schemas.openxmlformats.org/officeDocument/2006/relationships/hyperlink" Target="https://pgy.xiaohongshu.com/solar/pre-trade/blogger-detail/662f160c000000000700702e?track_id=kolMatch_e6d78e722cd3414a9b0d3543dd51ed5e&amp;source=Advertiser_Kol" TargetMode="External" Id="rId816" /><Relationship Type="http://schemas.openxmlformats.org/officeDocument/2006/relationships/hyperlink" Target="https://www.xiaohongshu.com/user/profile/662f160c000000000700702e" TargetMode="External" Id="rId817" /><Relationship Type="http://schemas.openxmlformats.org/officeDocument/2006/relationships/hyperlink" Target="https://pgy.xiaohongshu.com/solar/pre-trade/blogger-detail/603db003000000000100b55e?track_id=kolMatch_e6d78e722cd3414a9b0d3543dd51ed5e&amp;source=Advertiser_Kol" TargetMode="External" Id="rId818" /><Relationship Type="http://schemas.openxmlformats.org/officeDocument/2006/relationships/hyperlink" Target="https://www.xiaohongshu.com/user/profile/603db003000000000100b55e" TargetMode="External" Id="rId819" /><Relationship Type="http://schemas.openxmlformats.org/officeDocument/2006/relationships/hyperlink" Target="https://pgy.xiaohongshu.com/solar/pre-trade/blogger-detail/66068688000000000600fd72?track_id=kolMatch_e6d78e722cd3414a9b0d3543dd51ed5e&amp;source=Advertiser_Kol" TargetMode="External" Id="rId820" /><Relationship Type="http://schemas.openxmlformats.org/officeDocument/2006/relationships/hyperlink" Target="https://www.xiaohongshu.com/user/profile/66068688000000000600fd72" TargetMode="External" Id="rId821" /><Relationship Type="http://schemas.openxmlformats.org/officeDocument/2006/relationships/hyperlink" Target="https://pgy.xiaohongshu.com/solar/pre-trade/blogger-detail/5d0a4d800000000016039582?track_id=kolMatch_e6d78e722cd3414a9b0d3543dd51ed5e&amp;source=Advertiser_Kol" TargetMode="External" Id="rId822" /><Relationship Type="http://schemas.openxmlformats.org/officeDocument/2006/relationships/hyperlink" Target="https://www.xiaohongshu.com/user/profile/5d0a4d800000000016039582" TargetMode="External" Id="rId823" /><Relationship Type="http://schemas.openxmlformats.org/officeDocument/2006/relationships/hyperlink" Target="https://pgy.xiaohongshu.com/solar/pre-trade/blogger-detail/5e1004680000000001005829?track_id=kolMatch_e6d78e722cd3414a9b0d3543dd51ed5e&amp;source=Advertiser_Kol" TargetMode="External" Id="rId824" /><Relationship Type="http://schemas.openxmlformats.org/officeDocument/2006/relationships/hyperlink" Target="https://www.xiaohongshu.com/user/profile/5e1004680000000001005829" TargetMode="External" Id="rId825" /><Relationship Type="http://schemas.openxmlformats.org/officeDocument/2006/relationships/hyperlink" Target="https://pgy.xiaohongshu.com/solar/pre-trade/blogger-detail/5db3f93c0000000001006765?track_id=kolMatch_e6d78e722cd3414a9b0d3543dd51ed5e&amp;source=Advertiser_Kol" TargetMode="External" Id="rId826" /><Relationship Type="http://schemas.openxmlformats.org/officeDocument/2006/relationships/hyperlink" Target="https://www.xiaohongshu.com/user/profile/5db3f93c0000000001006765" TargetMode="External" Id="rId827" /><Relationship Type="http://schemas.openxmlformats.org/officeDocument/2006/relationships/hyperlink" Target="https://pgy.xiaohongshu.com/solar/pre-trade/blogger-detail/650ea51500000000120078d8?track_id=kolSimilar_013b5b6b9f08455f857f489ec61dcdb8&amp;source=Advertiser_Kol" TargetMode="External" Id="rId828" /><Relationship Type="http://schemas.openxmlformats.org/officeDocument/2006/relationships/hyperlink" Target="https://www.xiaohongshu.com/user/profile/650ea51500000000120078d8" TargetMode="External" Id="rId829" /><Relationship Type="http://schemas.openxmlformats.org/officeDocument/2006/relationships/hyperlink" Target="https://pgy.xiaohongshu.com/solar/pre-trade/blogger-detail/66114bc5000000000b033b98?track_id=kolSimilar_e4f9fed00191488eb4c3db3b580a1ab9&amp;source=Advertiser_Kol" TargetMode="External" Id="rId830" /><Relationship Type="http://schemas.openxmlformats.org/officeDocument/2006/relationships/hyperlink" Target="https://www.xiaohongshu.com/user/profile/66114bc5000000000b033b98" TargetMode="External" Id="rId831" /><Relationship Type="http://schemas.openxmlformats.org/officeDocument/2006/relationships/hyperlink" Target="https://pgy.xiaohongshu.com/solar/pre-trade/blogger-detail/5432b9ced6e4a978331c1f2a?track_id=kolSimilar_e4f9fed00191488eb4c3db3b580a1ab9&amp;source=Advertiser_Kol" TargetMode="External" Id="rId832" /><Relationship Type="http://schemas.openxmlformats.org/officeDocument/2006/relationships/hyperlink" Target="https://www.xiaohongshu.com/user/profile/5432b9ced6e4a978331c1f2a" TargetMode="External" Id="rId833" /><Relationship Type="http://schemas.openxmlformats.org/officeDocument/2006/relationships/hyperlink" Target="https://pgy.xiaohongshu.com/solar/pre-trade/blogger-detail/67f1da8f000000000e011be7?track_id=kolSimilar_c1ec9582edbb4a8a8bb08a65eec8644a&amp;source=Advertiser_Kol" TargetMode="External" Id="rId834" /><Relationship Type="http://schemas.openxmlformats.org/officeDocument/2006/relationships/hyperlink" Target="https://www.xiaohongshu.com/user/profile/67f1da8f000000000e011be7" TargetMode="External" Id="rId835" /><Relationship Type="http://schemas.openxmlformats.org/officeDocument/2006/relationships/hyperlink" Target="https://pgy.xiaohongshu.com/solar/pre-trade/blogger-detail/62b1884c000000001b02845e?track_id=kolSimilar_7de27e9505c84d8da9f6bc3bd0f7052d&amp;source=Advertiser_Kol" TargetMode="External" Id="rId836" /><Relationship Type="http://schemas.openxmlformats.org/officeDocument/2006/relationships/hyperlink" Target="https://www.xiaohongshu.com/user/profile/62b1884c000000001b02845e" TargetMode="External" Id="rId837" /><Relationship Type="http://schemas.openxmlformats.org/officeDocument/2006/relationships/hyperlink" Target="https://pgy.xiaohongshu.com/solar/pre-trade/blogger-detail/6755b46d00000000010032eb?track_id=kolSimilar_7fdcd60241cc49c1a47554718ccfebeb&amp;source=Advertiser_Kol" TargetMode="External" Id="rId838" /><Relationship Type="http://schemas.openxmlformats.org/officeDocument/2006/relationships/hyperlink" Target="https://www.xiaohongshu.com/user/profile/6755b46d00000000010032eb" TargetMode="External" Id="rId839" /><Relationship Type="http://schemas.openxmlformats.org/officeDocument/2006/relationships/hyperlink" Target="https://pgy.xiaohongshu.com/solar/pre-trade/blogger-detail/66fa1f36000000001d033cb7?track_id=kolSimilar_7fdcd60241cc49c1a47554718ccfebeb&amp;source=Advertiser_Kol" TargetMode="External" Id="rId840" /><Relationship Type="http://schemas.openxmlformats.org/officeDocument/2006/relationships/hyperlink" Target="https://www.xiaohongshu.com/user/profile/66fa1f36000000001d033cb7" TargetMode="External" Id="rId841" /><Relationship Type="http://schemas.openxmlformats.org/officeDocument/2006/relationships/hyperlink" Target="https://pgy.xiaohongshu.com/solar/pre-trade/blogger-detail/5b1e46c94eacab13d1c8b97c?track_id=kolSimilar_1db6f42425f0414ca2d9cd4356be6036&amp;source=Advertiser_Kol" TargetMode="External" Id="rId842" /><Relationship Type="http://schemas.openxmlformats.org/officeDocument/2006/relationships/hyperlink" Target="https://www.xiaohongshu.com/user/profile/5b1e46c94eacab13d1c8b97c" TargetMode="External" Id="rId843" /><Relationship Type="http://schemas.openxmlformats.org/officeDocument/2006/relationships/hyperlink" Target="https://pgy.xiaohongshu.com/solar/pre-trade/blogger-detail/59c0a26751783a0278e8c59c?track_id=kolSimilar_34a6216e46894f14811db04c0cc239de&amp;source=Advertiser_Kol" TargetMode="External" Id="rId844" /><Relationship Type="http://schemas.openxmlformats.org/officeDocument/2006/relationships/hyperlink" Target="https://www.xiaohongshu.com/user/profile/59c0a26751783a0278e8c59c" TargetMode="External" Id="rId845" /><Relationship Type="http://schemas.openxmlformats.org/officeDocument/2006/relationships/hyperlink" Target="https://pgy.xiaohongshu.com/solar/pre-trade/blogger-detail/65337fca000000002a029291?track_id=kolSimilar_bbee699d9f614db89ed0fac7f4b60ed3&amp;source=Advertiser_Kol" TargetMode="External" Id="rId846" /><Relationship Type="http://schemas.openxmlformats.org/officeDocument/2006/relationships/hyperlink" Target="https://www.xiaohongshu.com/user/profile/65337fca000000002a029291" TargetMode="External" Id="rId847" /><Relationship Type="http://schemas.openxmlformats.org/officeDocument/2006/relationships/hyperlink" Target="https://pgy.xiaohongshu.com/solar/pre-trade/blogger-detail/680a38f5000000000e01242f?track_id=kolSimilar_6c3a91249c7c403395e6867fdcd975a7&amp;source=Advertiser_Kol" TargetMode="External" Id="rId848" /><Relationship Type="http://schemas.openxmlformats.org/officeDocument/2006/relationships/hyperlink" Target="https://www.xiaohongshu.com/user/profile/680a38f5000000000e01242f" TargetMode="External" Id="rId849" /><Relationship Type="http://schemas.openxmlformats.org/officeDocument/2006/relationships/hyperlink" Target="https://pgy.xiaohongshu.com/solar/pre-trade/blogger-detail/6379b31d000000001f01df33?track_id=kolSimilar_fbfeb5b558ec4f4ea68598399869bf26&amp;source=Advertiser_Kol" TargetMode="External" Id="rId850" /><Relationship Type="http://schemas.openxmlformats.org/officeDocument/2006/relationships/hyperlink" Target="https://www.xiaohongshu.com/user/profile/6379b31d000000001f01df33" TargetMode="External" Id="rId851" /><Relationship Type="http://schemas.openxmlformats.org/officeDocument/2006/relationships/hyperlink" Target="https://pgy.xiaohongshu.com/solar/pre-trade/blogger-detail/60a74513000000000101ee4c?track_id=kolSimilar_0757f9a7d1394d319300407b55016ae9&amp;source=Advertiser_Kol" TargetMode="External" Id="rId852" /><Relationship Type="http://schemas.openxmlformats.org/officeDocument/2006/relationships/hyperlink" Target="https://www.xiaohongshu.com/user/profile/60a74513000000000101ee4c" TargetMode="External" Id="rId853" /><Relationship Type="http://schemas.openxmlformats.org/officeDocument/2006/relationships/hyperlink" Target="https://pgy.xiaohongshu.com/solar/pre-trade/blogger-detail/680d726f000000000a03f4d1?track_id=kolMatch_d799ae91abf847af8603caa9fff592b0&amp;source=Advertiser_Kol" TargetMode="External" Id="rId854" /><Relationship Type="http://schemas.openxmlformats.org/officeDocument/2006/relationships/hyperlink" Target="https://www.xiaohongshu.com/user/profile/680d726f000000000a03f4d1" TargetMode="External" Id="rId855" /><Relationship Type="http://schemas.openxmlformats.org/officeDocument/2006/relationships/hyperlink" Target="https://pgy.xiaohongshu.com/solar/pre-trade/blogger-detail/66781e1d000000000b030323?track_id=kolSimilar_1eb8a6e33812485da7d688d5368bb0ed&amp;source=Advertiser_Kol" TargetMode="External" Id="rId856" /><Relationship Type="http://schemas.openxmlformats.org/officeDocument/2006/relationships/hyperlink" Target="https://www.xiaohongshu.com/user/profile/66781e1d000000000b030323" TargetMode="External" Id="rId857" /><Relationship Type="http://schemas.openxmlformats.org/officeDocument/2006/relationships/hyperlink" Target="https://pgy.xiaohongshu.com/solar/pre-trade/blogger-detail/686cb593000000001d0098c8?track_id=kolSimilar_1eb8a6e33812485da7d688d5368bb0ed&amp;source=Advertiser_Kol" TargetMode="External" Id="rId858" /><Relationship Type="http://schemas.openxmlformats.org/officeDocument/2006/relationships/hyperlink" Target="https://www.xiaohongshu.com/user/profile/686cb593000000001d0098c8" TargetMode="External" Id="rId859" /><Relationship Type="http://schemas.openxmlformats.org/officeDocument/2006/relationships/hyperlink" Target="https://pgy.xiaohongshu.com/solar/pre-trade/blogger-detail/6579cc4200000000190104fb?track_id=kolSimilar_f2b7c64459d740b4a9c92ad26077597e&amp;source=Advertiser_Kol" TargetMode="External" Id="rId860" /><Relationship Type="http://schemas.openxmlformats.org/officeDocument/2006/relationships/hyperlink" Target="https://www.xiaohongshu.com/user/profile/6579cc4200000000190104fb" TargetMode="External" Id="rId861" /><Relationship Type="http://schemas.openxmlformats.org/officeDocument/2006/relationships/hyperlink" Target="https://pgy.xiaohongshu.com/solar/pre-trade/blogger-detail/6704d0e4000000001e00dbdf?track_id=kolSimilar_f2b7c64459d740b4a9c92ad26077597e&amp;source=Advertiser_Kol" TargetMode="External" Id="rId862" /><Relationship Type="http://schemas.openxmlformats.org/officeDocument/2006/relationships/hyperlink" Target="https://www.xiaohongshu.com/user/profile/6704d0e4000000001e00dbdf" TargetMode="External" Id="rId863" /><Relationship Type="http://schemas.openxmlformats.org/officeDocument/2006/relationships/hyperlink" Target="https://pgy.xiaohongshu.com/solar/pre-trade/blogger-detail/6857c3d2000000001e00bb6b?track_id=kolSimilar_2bc09894548e4108b55c4233fa35c94e&amp;source=Advertiser_Kol" TargetMode="External" Id="rId864" /><Relationship Type="http://schemas.openxmlformats.org/officeDocument/2006/relationships/hyperlink" Target="https://www.xiaohongshu.com/user/profile/6857c3d2000000001e00bb6b" TargetMode="External" Id="rId865" /><Relationship Type="http://schemas.openxmlformats.org/officeDocument/2006/relationships/hyperlink" Target="https://pgy.xiaohongshu.com/solar/pre-trade/blogger-detail/5acac214e8ac2b505416be43?track_id=kolSimilar_2bc09894548e4108b55c4233fa35c94e&amp;source=Advertiser_Kol" TargetMode="External" Id="rId866" /><Relationship Type="http://schemas.openxmlformats.org/officeDocument/2006/relationships/hyperlink" Target="https://www.xiaohongshu.com/user/profile/5acac214e8ac2b505416be43" TargetMode="External" Id="rId867" /><Relationship Type="http://schemas.openxmlformats.org/officeDocument/2006/relationships/hyperlink" Target="https://pgy.xiaohongshu.com/solar/pre-trade/blogger-detail/643e530e000000000e01f780?track_id=kolSimilar_b46f6156e0ef40f78512d15c8bcc4a26&amp;source=Advertiser_Kol" TargetMode="External" Id="rId868" /><Relationship Type="http://schemas.openxmlformats.org/officeDocument/2006/relationships/hyperlink" Target="https://www.xiaohongshu.com/user/profile/643e530e000000000e01f780" TargetMode="External" Id="rId869" /><Relationship Type="http://schemas.openxmlformats.org/officeDocument/2006/relationships/hyperlink" Target="https://pgy.xiaohongshu.com/solar/pre-trade/blogger-detail/66b17f28000000001d0228c8?track_id=kolSimilar_b46f6156e0ef40f78512d15c8bcc4a26&amp;source=Advertiser_Kol" TargetMode="External" Id="rId870" /><Relationship Type="http://schemas.openxmlformats.org/officeDocument/2006/relationships/hyperlink" Target="https://www.xiaohongshu.com/user/profile/66b17f28000000001d0228c8" TargetMode="External" Id="rId871" /><Relationship Type="http://schemas.openxmlformats.org/officeDocument/2006/relationships/hyperlink" Target="https://pgy.xiaohongshu.com/solar/pre-trade/blogger-detail/65d464f0000000000401cb90?track_id=kolSimilar_b46f6156e0ef40f78512d15c8bcc4a26&amp;source=Advertiser_Kol" TargetMode="External" Id="rId872" /><Relationship Type="http://schemas.openxmlformats.org/officeDocument/2006/relationships/hyperlink" Target="https://www.xiaohongshu.com/user/profile/65d464f0000000000401cb90" TargetMode="External" Id="rId873" /><Relationship Type="http://schemas.openxmlformats.org/officeDocument/2006/relationships/hyperlink" Target="https://pgy.xiaohongshu.com/solar/pre-trade/blogger-detail/5e43f1f500000000010082f0?track_id=kolSimilar_609d8fd2380e422dbeaf63ebfb5e67e9&amp;source=Advertiser_Kol" TargetMode="External" Id="rId874" /><Relationship Type="http://schemas.openxmlformats.org/officeDocument/2006/relationships/hyperlink" Target="https://www.xiaohongshu.com/user/profile/5e43f1f500000000010082f0" TargetMode="External" Id="rId875" /><Relationship Type="http://schemas.openxmlformats.org/officeDocument/2006/relationships/hyperlink" Target="https://pgy.xiaohongshu.com/solar/pre-trade/blogger-detail/5cf3851d000000001701b655?track_id=kolSimilar_7ef226c14d4c45d2bf642e13fda08e87&amp;source=Advertiser_Kol" TargetMode="External" Id="rId876" /><Relationship Type="http://schemas.openxmlformats.org/officeDocument/2006/relationships/hyperlink" Target="https://www.xiaohongshu.com/user/profile/5cf3851d000000001701b655" TargetMode="External" Id="rId877" /><Relationship Type="http://schemas.openxmlformats.org/officeDocument/2006/relationships/hyperlink" Target="https://pgy.xiaohongshu.com/solar/pre-trade/blogger-detail/67bde509000000000601ce3b?track_id=kolSimilar_7ef226c14d4c45d2bf642e13fda08e87&amp;source=Advertiser_Kol" TargetMode="External" Id="rId878" /><Relationship Type="http://schemas.openxmlformats.org/officeDocument/2006/relationships/hyperlink" Target="https://www.xiaohongshu.com/user/profile/67bde509000000000601ce3b" TargetMode="External" Id="rId879" /><Relationship Type="http://schemas.openxmlformats.org/officeDocument/2006/relationships/hyperlink" Target="https://pgy.xiaohongshu.com/solar/pre-trade/blogger-detail/655c800a0000000002028ae1?track_id=kolSearch_e5114f43139e4c9b88ac15d6e14cd0b2&amp;source=Advertiser_Kol" TargetMode="External" Id="rId880" /><Relationship Type="http://schemas.openxmlformats.org/officeDocument/2006/relationships/hyperlink" Target="https://www.xiaohongshu.com/user/profile/655c800a0000000002028ae1" TargetMode="External" Id="rId881" /><Relationship Type="http://schemas.openxmlformats.org/officeDocument/2006/relationships/hyperlink" Target="https://pgy.xiaohongshu.com/solar/pre-trade/blogger-detail/5e500318000000000100baac?track_id=kolSearch_19d1f77fc703487c9b1cefe7dc5ff4dc&amp;source=Advertiser_Kol" TargetMode="External" Id="rId882" /><Relationship Type="http://schemas.openxmlformats.org/officeDocument/2006/relationships/hyperlink" Target="https://www.xiaohongshu.com/user/profile/5e500318000000000100baac" TargetMode="External" Id="rId883" /><Relationship Type="http://schemas.openxmlformats.org/officeDocument/2006/relationships/hyperlink" Target="https://pgy.xiaohongshu.com/solar/pre-trade/blogger-detail/66cec1e0000000001d0237cc?track_id=kolSearch_0be61ce7ad5a465693045c326dd0a215&amp;source=Advertiser_Kol" TargetMode="External" Id="rId884" /><Relationship Type="http://schemas.openxmlformats.org/officeDocument/2006/relationships/hyperlink" Target="https://www.xiaohongshu.com/user/profile/66cec1e0000000001d0237cc" TargetMode="External" Id="rId885" /><Relationship Type="http://schemas.openxmlformats.org/officeDocument/2006/relationships/hyperlink" Target="https://pgy.xiaohongshu.com/solar/pre-trade/blogger-detail/676555c20000000014032476?track_id=kolSearch_dd819fab0481445b99fa28fadfbaec95&amp;source=Advertiser_Kol" TargetMode="External" Id="rId886" /><Relationship Type="http://schemas.openxmlformats.org/officeDocument/2006/relationships/hyperlink" Target="https://www.xiaohongshu.com/user/profile/676555c20000000014032476" TargetMode="External" Id="rId887" /><Relationship Type="http://schemas.openxmlformats.org/officeDocument/2006/relationships/hyperlink" Target="https://pgy.xiaohongshu.com/solar/pre-trade/blogger-detail/6729e07a000000001c01b2ea?track_id=kolSearch_3d1dbedceaba4821aadb0eb9bc96a0a6&amp;source=Advertiser_Kol" TargetMode="External" Id="rId888" /><Relationship Type="http://schemas.openxmlformats.org/officeDocument/2006/relationships/hyperlink" Target="https://www.xiaohongshu.com/user/profile/6729e07a000000001c01b2ea" TargetMode="External" Id="rId889" /><Relationship Type="http://schemas.openxmlformats.org/officeDocument/2006/relationships/hyperlink" Target="https://pgy.xiaohongshu.com/solar/pre-trade/blogger-detail/67342146000000001c01a209?track_id=kolSearch_d773aaa8e5154e869bc06cec876091c5&amp;source=Advertiser_Kol" TargetMode="External" Id="rId890" /><Relationship Type="http://schemas.openxmlformats.org/officeDocument/2006/relationships/hyperlink" Target="https://www.xiaohongshu.com/user/profile/67342146000000001c01a209" TargetMode="External" Id="rId891" /><Relationship Type="http://schemas.openxmlformats.org/officeDocument/2006/relationships/hyperlink" Target="https://pgy.xiaohongshu.com/solar/pre-trade/blogger-detail/66f642cd000000001d022522?track_id=kolSearch_08a648d9ac84453f8acd8023a960dcdd&amp;source=Advertiser_Kol" TargetMode="External" Id="rId892" /><Relationship Type="http://schemas.openxmlformats.org/officeDocument/2006/relationships/hyperlink" Target="https://www.xiaohongshu.com/user/profile/66f642cd000000001d022522" TargetMode="External" Id="rId893" /><Relationship Type="http://schemas.openxmlformats.org/officeDocument/2006/relationships/hyperlink" Target="https://pgy.xiaohongshu.com/solar/pre-trade/blogger-detail/6373890a000000001f01c80e?track_id=kolMatch_beb46a50baae4dc79ef0cc38a11e9a63&amp;source=Advertiser_Kol" TargetMode="External" Id="rId894" /><Relationship Type="http://schemas.openxmlformats.org/officeDocument/2006/relationships/hyperlink" Target="https://www.xiaohongshu.com/user/profile/6373890a000000001f01c80e" TargetMode="External" Id="rId895" /><Relationship Type="http://schemas.openxmlformats.org/officeDocument/2006/relationships/hyperlink" Target="https://pgy.xiaohongshu.com/solar/pre-trade/blogger-detail/67ec8250000000000e02def8?track_id=kolMatch_beb46a50baae4dc79ef0cc38a11e9a63&amp;source=Advertiser_Kol" TargetMode="External" Id="rId896" /><Relationship Type="http://schemas.openxmlformats.org/officeDocument/2006/relationships/hyperlink" Target="https://www.xiaohongshu.com/user/profile/67ec8250000000000e02def8" TargetMode="External" Id="rId897" /><Relationship Type="http://schemas.openxmlformats.org/officeDocument/2006/relationships/hyperlink" Target="https://pgy.xiaohongshu.com/solar/pre-trade/blogger-detail/59125735a9b2ed7bb6260890?track_id=kolMatch_b62cf4138cc14665b9c8390189c1174c&amp;source=Advertiser_Kol" TargetMode="External" Id="rId898" /><Relationship Type="http://schemas.openxmlformats.org/officeDocument/2006/relationships/hyperlink" Target="https://www.xiaohongshu.com/user/profile/59125735a9b2ed7bb6260890" TargetMode="External" Id="rId899" /><Relationship Type="http://schemas.openxmlformats.org/officeDocument/2006/relationships/hyperlink" Target="https://pgy.xiaohongshu.com/solar/pre-trade/blogger-detail/67e279f0000000000d0080e6?track_id=kolMatch_b62cf4138cc14665b9c8390189c1174c&amp;source=Advertiser_Kol" TargetMode="External" Id="rId900" /><Relationship Type="http://schemas.openxmlformats.org/officeDocument/2006/relationships/hyperlink" Target="https://www.xiaohongshu.com/user/profile/67e279f0000000000d0080e6" TargetMode="External" Id="rId901" /><Relationship Type="http://schemas.openxmlformats.org/officeDocument/2006/relationships/hyperlink" Target="https://pgy.xiaohongshu.com/solar/pre-trade/blogger-detail/5858de6082ec3903a9fd7c99?track_id=kolMatch_b62cf4138cc14665b9c8390189c1174c&amp;source=Advertiser_Kol" TargetMode="External" Id="rId902" /><Relationship Type="http://schemas.openxmlformats.org/officeDocument/2006/relationships/hyperlink" Target="https://www.xiaohongshu.com/user/profile/5858de6082ec3903a9fd7c99" TargetMode="External" Id="rId903" /><Relationship Type="http://schemas.openxmlformats.org/officeDocument/2006/relationships/hyperlink" Target="https://pgy.xiaohongshu.com/solar/pre-trade/blogger-detail/657e7fe8000000001c01a5b8?track_id=kolMatch_b62cf4138cc14665b9c8390189c1174c&amp;source=Advertiser_Kol" TargetMode="External" Id="rId904" /><Relationship Type="http://schemas.openxmlformats.org/officeDocument/2006/relationships/hyperlink" Target="https://www.xiaohongshu.com/user/profile/657e7fe8000000001c01a5b8" TargetMode="External" Id="rId905" /><Relationship Type="http://schemas.openxmlformats.org/officeDocument/2006/relationships/hyperlink" Target="https://pgy.xiaohongshu.com/solar/pre-trade/blogger-detail/5f05e0f8000000000101de53?track_id=kolMatch_a28209deaec7483786b4ca78ca2cb24d&amp;source=Advertiser_Kol" TargetMode="External" Id="rId906" /><Relationship Type="http://schemas.openxmlformats.org/officeDocument/2006/relationships/hyperlink" Target="https://www.xiaohongshu.com/user/profile/5f05e0f8000000000101de53" TargetMode="External" Id="rId907" /><Relationship Type="http://schemas.openxmlformats.org/officeDocument/2006/relationships/hyperlink" Target="https://pgy.xiaohongshu.com/solar/pre-trade/blogger-detail/676e5a8a000000001900a6fe?track_id=kolMatch_a7c394937a0143cbb7503ee992f0743d&amp;source=Advertiser_Kol" TargetMode="External" Id="rId908" /><Relationship Type="http://schemas.openxmlformats.org/officeDocument/2006/relationships/hyperlink" Target="https://www.xiaohongshu.com/user/profile/676e5a8a000000001900a6fe" TargetMode="External" Id="rId909" /><Relationship Type="http://schemas.openxmlformats.org/officeDocument/2006/relationships/hyperlink" Target="https://pgy.xiaohongshu.com/solar/pre-trade/blogger-detail/6579acba0000000020033819?track_id=kolMatch_a7c394937a0143cbb7503ee992f0743d&amp;source=Advertiser_Kol" TargetMode="External" Id="rId910" /><Relationship Type="http://schemas.openxmlformats.org/officeDocument/2006/relationships/hyperlink" Target="https://www.xiaohongshu.com/user/profile/6579acba0000000020033819" TargetMode="External" Id="rId911" /><Relationship Type="http://schemas.openxmlformats.org/officeDocument/2006/relationships/hyperlink" Target="https://pgy.xiaohongshu.com/solar/pre-trade/blogger-detail/5a0d40104eacab4b37daf5a0?track_id=kolMatch_8e178e7df9b84efab9982af353add6db&amp;source=Advertiser_Kol" TargetMode="External" Id="rId912" /><Relationship Type="http://schemas.openxmlformats.org/officeDocument/2006/relationships/hyperlink" Target="https://pgy.xiaohongshu.com/solar/pre-trade/blogger-detail/63c7f2030000000026013433?track_id=kolMatch_8e178e7df9b84efab9982af353add6db&amp;source=Advertiser_Kol" TargetMode="External" Id="rId913" /><Relationship Type="http://schemas.openxmlformats.org/officeDocument/2006/relationships/hyperlink" Target="https://pgy.xiaohongshu.com/solar/pre-trade/blogger-detail/614072aa00000000020257a5?track_id=kolMatch_1c352172a9954b30a6a14b3ccd4185be&amp;source=Advertiser_Kol" TargetMode="External" Id="rId914" /><Relationship Type="http://schemas.openxmlformats.org/officeDocument/2006/relationships/hyperlink" Target="https://pgy.xiaohongshu.com/solar/pre-trade/blogger-detail/605f0e7c000000000101c1b1?track_id=kolMatch_1c352172a9954b30a6a14b3ccd4185be&amp;source=Advertiser_Kol" TargetMode="External" Id="rId915" /><Relationship Type="http://schemas.openxmlformats.org/officeDocument/2006/relationships/hyperlink" Target="https://pgy.xiaohongshu.com/solar/pre-trade/blogger-detail/589009ea5e87e705c57132f5?track_id=kolMatch_6cbc2efd76184abc96f45adfd99170f0&amp;source=Advertiser_Kol" TargetMode="External" Id="rId916" /><Relationship Type="http://schemas.openxmlformats.org/officeDocument/2006/relationships/hyperlink" Target="https://pgy.xiaohongshu.com/solar/pre-trade/blogger-detail/655529a200000000080018d4?track_id=kolMatch_6cbc2efd76184abc96f45adfd99170f0&amp;source=Advertiser_Kol" TargetMode="External" Id="rId917" /><Relationship Type="http://schemas.openxmlformats.org/officeDocument/2006/relationships/hyperlink" Target="https://pgy.xiaohongshu.com/solar/pre-trade/blogger-detail/60c348b700000000010007a3?track_id=kolMatch_6cbc2efd76184abc96f45adfd99170f0&amp;source=Advertiser_Kol" TargetMode="External" Id="rId91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xingtu.cn/ad/creator/author-homepage/douyin-video/6865930306168291342?market_track_id=8PI13ORZW6DIKFVNCWUC&amp;search_session_id=7606288113703157810&amp;possessStarId&amp;active_tab=content_performance&amp;active_module=.content-video-list-panel&amp;content_key_word=&#30007;&#29983;&#29420;&#23621;" TargetMode="External" Id="rId1" /><Relationship Type="http://schemas.openxmlformats.org/officeDocument/2006/relationships/hyperlink" Target="https://www.douyin.com/user/MS4wLjABAAAAbLJBPtEluthKgB5iEdHmsMZP39RVMHP2agqPtCdCXMA" TargetMode="External" Id="rId2" /><Relationship Type="http://schemas.openxmlformats.org/officeDocument/2006/relationships/hyperlink" Target="https://www.xingtu.cn/ad/creator/author-homepage/douyin-video/6629723095294803972?market_track_id=6Q06C4YZ12E8VGLA5LM5&amp;search_session_id=7605440788826193930&amp;possessStarId" TargetMode="External" Id="rId3" /><Relationship Type="http://schemas.openxmlformats.org/officeDocument/2006/relationships/hyperlink" Target="https://www.douyin.com/user/MS4wLjABAAAAw8NhdxOpRKRDinaMIQO86uMbGBiSUeWIzP2hsZhgilM" TargetMode="External" Id="rId4" /><Relationship Type="http://schemas.openxmlformats.org/officeDocument/2006/relationships/hyperlink" Target="https://www.xingtu.cn/ad/creator/author-homepage/douyin-video/7223968676859346983" TargetMode="External" Id="rId5" /><Relationship Type="http://schemas.openxmlformats.org/officeDocument/2006/relationships/hyperlink" Target="https://www.douyin.com/user/MS4wLjABAAAA-AxocquhRbdEnJgt4wwUHZvX8UjXsfFZpJkCtSsviQw" TargetMode="External" Id="rId6" /><Relationship Type="http://schemas.openxmlformats.org/officeDocument/2006/relationships/hyperlink" Target="https://www.xingtu.cn/ad/creator/author-homepage/douyin-video/7009167040824999967" TargetMode="External" Id="rId7" /><Relationship Type="http://schemas.openxmlformats.org/officeDocument/2006/relationships/hyperlink" Target="https://www.douyin.com/user/MS4wLjABAAAA13sw7b10xdM6P0VHXa8RRYkgKvAw5ZH9O1zA0sWrFrA" TargetMode="External" Id="rId8" /><Relationship Type="http://schemas.openxmlformats.org/officeDocument/2006/relationships/hyperlink" Target="https://www.xingtu.cn/ad/creator/author-homepage/douyin-video/6852032860858089487?market_track_id=I3AXFCO2FFOA5SYPCT78&amp;search_session_id=7605451398251888690&amp;possessStarId" TargetMode="External" Id="rId9" /><Relationship Type="http://schemas.openxmlformats.org/officeDocument/2006/relationships/hyperlink" Target="https://www.douyin.com/user/MS4wLjABAAAA5eWz7uX9robWyIw2haX9428cHpyuIrWUeDqFI1J7mko" TargetMode="External" Id="rId10" /><Relationship Type="http://schemas.openxmlformats.org/officeDocument/2006/relationships/hyperlink" Target="https://www.xingtu.cn/ad/creator/author-homepage/douyin-video/7392820710936150043?market_track_id=I3AXFCO2FFOA5SYPCT78&amp;search_session_id=7605461347393945650&amp;possessStarId" TargetMode="External" Id="rId11" /><Relationship Type="http://schemas.openxmlformats.org/officeDocument/2006/relationships/hyperlink" Target="https://www.douyin.com/user/MS4wLjABAAAAAWhAWhUAyY2CutbyZn9yXoE7ZyMpzdRzxeV72Znt5qI" TargetMode="External" Id="rId12" /><Relationship Type="http://schemas.openxmlformats.org/officeDocument/2006/relationships/hyperlink" Target="https://www.xingtu.cn/ad/creator/author-homepage/douyin-video/6896359756827459591?market_track_id=BU8GKV5W3XFJCTREMRGB&amp;search_session_id=7605444486264520755&amp;possessStarId" TargetMode="External" Id="rId13" /><Relationship Type="http://schemas.openxmlformats.org/officeDocument/2006/relationships/hyperlink" Target="https://www.douyin.com/user/MS4wLjABAAAA5iMhOQOEbK1fkp3ALCP3QrUcBfWiw-CElER1wF2ybX4" TargetMode="External" Id="rId14" /><Relationship Type="http://schemas.openxmlformats.org/officeDocument/2006/relationships/hyperlink" Target="https://www.xingtu.cn/ad/creator/author/douyin/7356549493598355506/1?marketType=&amp;btm_ppre=a0.b0.c0.d0&amp;btm_pre=a4738.b27311.c0.author-card&amp;btm_show_id=d06bfb35-b92e-4036-be94-128d3a1be541" TargetMode="External" Id="rId15" /><Relationship Type="http://schemas.openxmlformats.org/officeDocument/2006/relationships/hyperlink" Target="https://www.douyin.com/user/MS4wLjABAAAAQEr3rgm6HFh0n-GW8u1rag2L2KTnirio3s7bxv1Xhgo" TargetMode="External" Id="rId16" /><Relationship Type="http://schemas.openxmlformats.org/officeDocument/2006/relationships/hyperlink" Target="https://www.xingtu.cn/ad/creator/author/douyin/7205496090076905505" TargetMode="External" Id="rId17" /><Relationship Type="http://schemas.openxmlformats.org/officeDocument/2006/relationships/hyperlink" Target="https://www.douyin.com/user/MS4wLjABAAAAdy54iMw9v0rItTFjtmCXCXU5XTPJyBwGMm00s481eiuqFyJSLyKtT5_cU2bF4wR_" TargetMode="External" Id="rId18" /><Relationship Type="http://schemas.openxmlformats.org/officeDocument/2006/relationships/hyperlink" Target="https://www.xingtu.cn/ad/creator/author-homepage/douyin-video/7151686548088586254?market_track_id=FLCBD4RXT5HYWEMG7UHR&amp;search_session_id=7611816153388367918&amp;possessStarId" TargetMode="External" Id="rId19" /><Relationship Type="http://schemas.openxmlformats.org/officeDocument/2006/relationships/hyperlink" Target="https://www.douyin.com/user/MS4wLjABAAAA-B8K8qRcEYfVBRrGhcVxZa5o1rm4kukc7Oq3j21tEHU" TargetMode="External" Id="rId20" /><Relationship Type="http://schemas.openxmlformats.org/officeDocument/2006/relationships/hyperlink" Target="https://www.xingtu.cn/ad/creator/author/douyin/7398789700661542921" TargetMode="External" Id="rId21" /><Relationship Type="http://schemas.openxmlformats.org/officeDocument/2006/relationships/hyperlink" Target="https://www.douyin.com/user/MS4wLjABAAAAAvf2gi6BdyGzGUhSeEVAJN2wJ5712EoZhwCZXs7u9x5grbnAcdihsJcnW72wKJ6_" TargetMode="External" Id="rId22" /><Relationship Type="http://schemas.openxmlformats.org/officeDocument/2006/relationships/hyperlink" Target="https://www.xingtu.cn/ad/creator/author/douyin/7336866178540765193/1?marketType=&amp;btm_ppre=a0.b0.c0.d0&amp;btm_pre=a4738.b27311.c0.author-card&amp;btm_show_id=d06bfb35-b92e-4036-be94-128d3a1be541" TargetMode="External" Id="rId23" /><Relationship Type="http://schemas.openxmlformats.org/officeDocument/2006/relationships/hyperlink" Target="https://www.douyin.com/user/MS4wLjABAAAA8B1gm6Nu-V21Aj9faU1H1ovL0O6tKESdPfC4uuecqy0" TargetMode="External" Id="rId24" /><Relationship Type="http://schemas.openxmlformats.org/officeDocument/2006/relationships/hyperlink" Target="https://www.xingtu.cn/ad/creator/author/douyin/6854183693821411342/1?search_session_id=7293820566220931098&amp;video_type=2&amp;_route_from=from_page=Market&amp;search_session_id=7293820566220931098&amp;is_for_order=1&amp;platform_source=1&amp;key=%E6%9E%97%E5%8C%97%E7%9A%84%E6%9E%97&amp;order_by=score&amp;sort_type=2&amp;search_scene=1&amp;display_scene=1&amp;limit=20&amp;page=1&amp;regular_filter=%5Bobject+Object%5D&amp;task_category=1&amp;package_id=&amp;is_filter=0&amp;current_tab=1&amp;displayScene=market&amp;is_limit_time_price=0&amp;btm_ppre=a0.b0.c0.d0&amp;btm_pre=a4738.b16016.c26503.d3332&amp;btm_show_id=49a1515b-2fec-49c9-aacf-07ac4e5fb5fb&amp;btm_pre_unit_params=%7B%22platform_source%22%3A1%2C%22key%22%3A%22%E6%9E%97%E5%8C%97%E7%9A%84%E6%9E%97%22%2C%22order_by%22%3A%22score%22%2C%22sort_type%22%3A2%2C%22search_scene%22%3A1%2C%22display_scene%22%3A1%2C%22limit%22%3A20%2C%22page%22%3A1%2C%22regular_filter%22%3A%7B%22current_tab%22%3A1%2C%22marketing_target%22%3A1%2C%22task_category%22%3A1%7D%2C%22task_category%22%3A%221%22%2C%22package_id%22%3A%22%22%2C%22is_filter%2" TargetMode="External" Id="rId25" /><Relationship Type="http://schemas.openxmlformats.org/officeDocument/2006/relationships/hyperlink" Target="https://www.douyin.com/user/MS4wLjABAAAAUmQrXVKInsrXEg3hPFSuq23ZqInyfWXUWdaHArYi2OY" TargetMode="External" Id="rId26" /><Relationship Type="http://schemas.openxmlformats.org/officeDocument/2006/relationships/hyperlink" Target="https://www.xingtu.cn/ad/creator/author/douyin/7401427182419247113" TargetMode="External" Id="rId27" /><Relationship Type="http://schemas.openxmlformats.org/officeDocument/2006/relationships/hyperlink" Target="https://www.douyin.com/user/MS4wLjABAAAAkueLcwUl-2FFXjGAkoYMxnoCK0Bx5j8CcRpYaAlpsJQ" TargetMode="External" Id="rId28" /><Relationship Type="http://schemas.openxmlformats.org/officeDocument/2006/relationships/hyperlink" Target="https://www.xingtu.cn/ad/creator/author/douyin/7173687464870019076" TargetMode="External" Id="rId29" /><Relationship Type="http://schemas.openxmlformats.org/officeDocument/2006/relationships/hyperlink" Target="https://www.douyin.com/user/MS4wLjABAAAAIFj1JP9UPWhs18VcYR0GWnoaG0_3IuysonhEak_y-E9sMIancFJvxAv5ouUg-AfN" TargetMode="External" Id="rId30" /><Relationship Type="http://schemas.openxmlformats.org/officeDocument/2006/relationships/hyperlink" Target="https://www.xingtu.cn/ad/creator/author-homepage/douyin-video/6870163126906519565?market_track_id=FLCBD4RXT5HYWEMG7UHR&amp;search_session_id=7611812381207265326&amp;possessStarId" TargetMode="External" Id="rId31" /><Relationship Type="http://schemas.openxmlformats.org/officeDocument/2006/relationships/hyperlink" Target="https://www.douyin.com/user/MS4wLjABAAAAytQ5bEH0kqRGdZKusd4gNP8-Hpu2cStRb0eBe4zkekw" TargetMode="External" Id="rId32" /><Relationship Type="http://schemas.openxmlformats.org/officeDocument/2006/relationships/hyperlink" Target="https://www.xingtu.cn/ad/creator/author/douyin/7187717265784045571" TargetMode="External" Id="rId33" /><Relationship Type="http://schemas.openxmlformats.org/officeDocument/2006/relationships/hyperlink" Target="https://www.douyin.com/user/MS4wLjABAAAA36ygQUleS8zQJWN96YBvSNwcASyhmwtmalAqx_BXrhQ" TargetMode="External" Id="rId34" /><Relationship Type="http://schemas.openxmlformats.org/officeDocument/2006/relationships/hyperlink" Target="https://www.xingtu.cn/ad/creator/author-homepage/douyin-video/6845479040711655437?market_track_id=FLCBD4RXT5HYWEMG7UHR&amp;search_session_id=7611816153388367918&amp;possessStarId" TargetMode="External" Id="rId35" /><Relationship Type="http://schemas.openxmlformats.org/officeDocument/2006/relationships/hyperlink" Target="https://www.douyin.com/user/MS4wLjABAAAAHidCXCW5lERrbOCVnFNYPYPgMDo-3ABhbupZNm8loQHeB6nGV9d98e77DVqKhwLz" TargetMode="External" Id="rId36" /><Relationship Type="http://schemas.openxmlformats.org/officeDocument/2006/relationships/hyperlink" Target="https://www.xingtu.cn/ad/creator/author/douyin/6986582519093149727" TargetMode="External" Id="rId37" /><Relationship Type="http://schemas.openxmlformats.org/officeDocument/2006/relationships/hyperlink" Target="https://www.douyin.com/user/MS4wLjABAAAAiqXKqFZq0zlTPzqTlkrc2n76duP8WLouphqLRgLEswk" TargetMode="External" Id="rId38" /><Relationship Type="http://schemas.openxmlformats.org/officeDocument/2006/relationships/hyperlink" Target="https://www.xingtu.cn/ad/creator/author-homepage/douyin-video/7056697681633673254?market_track_id=5MSRLKT79NBF9NI0VRJU&amp;search_session_id=7605882072573870089&amp;possessStarId" TargetMode="External" Id="rId39" /><Relationship Type="http://schemas.openxmlformats.org/officeDocument/2006/relationships/hyperlink" Target="https://www.douyin.com/user/MS4wLjABAAAAGMRZ4QN-LI4wGhJlz6QYxBmj8wo9EV9ehqyzHZvon3DoJucSdZL6W2iIXsWGjl2i" TargetMode="External" Id="rId40" /><Relationship Type="http://schemas.openxmlformats.org/officeDocument/2006/relationships/hyperlink" Target="https://xingtu.cn/ad/creator/author/douyin/6947639719861682212" TargetMode="External" Id="rId41" /><Relationship Type="http://schemas.openxmlformats.org/officeDocument/2006/relationships/hyperlink" Target="https://v.douyin.com/i59tPD8u/" TargetMode="External" Id="rId42" /><Relationship Type="http://schemas.openxmlformats.org/officeDocument/2006/relationships/hyperlink" Target="https://www.xingtu.cn/ad/creator/author-homepage/douyin-video/7299303437693354022?market_track_id=5W4GPBJ2JJT2E799W4F4&amp;search_session_id=7551686984231141426&amp;possessStarId&amp;active_tab=content_performance&amp;active_module=.content-video-list-panel&amp;content_key_word=&#27979;&#35780;&#32769;&#29399;" TargetMode="External" Id="rId43" /><Relationship Type="http://schemas.openxmlformats.org/officeDocument/2006/relationships/hyperlink" Target="https://www.douyin.com/user/MS4wLjABAAAA_1uM9bextDP_cjub5FDnHh-A-7qvt_nKvQ-QShfxEQ8pvWd4C6tEXMR9G4UhcZZA" TargetMode="External" Id="rId44" /><Relationship Type="http://schemas.openxmlformats.org/officeDocument/2006/relationships/hyperlink" Target="https://www.xingtu.cn/ad/creator/author-homepage/douyin-video/6870165875882721288?market_track_id=28IV43G9Y3MLDF90H43F&amp;search_session_id=7605449129901080603&amp;possessStarId" TargetMode="External" Id="rId45" /><Relationship Type="http://schemas.openxmlformats.org/officeDocument/2006/relationships/hyperlink" Target="https://www.douyin.com/user/MS4wLjABAAAAHEZvl70FPnX_9i3jFHyJUQcIer7Hz2124cXXeOlxAgs" TargetMode="External" Id="rId46" /><Relationship Type="http://schemas.openxmlformats.org/officeDocument/2006/relationships/hyperlink" Target="https://www.xingtu.cn/ad/creator/author-homepage/douyin-video/6795431243358928903?market_track_id=23A7DS8IV3VZ3BZD3ORA&amp;search_session_id=7605567873494908978&amp;possessStarId" TargetMode="External" Id="rId47" /><Relationship Type="http://schemas.openxmlformats.org/officeDocument/2006/relationships/hyperlink" Target="https://www.douyin.com/user/MS4wLjABAAAAst53hCwDJvgLvx0QuB5nt9Ev23U_06ghD9oYzN5YIx8" TargetMode="External" Id="rId48" /><Relationship Type="http://schemas.openxmlformats.org/officeDocument/2006/relationships/hyperlink" Target="https://www.xingtu.cn/ad/creator/author/douyin/7346524774392135706/1?marketType=&amp;btm_ppre=a0.b0.c0.d0&amp;btm_pre=a4738.b27311.c0.author-card&amp;btm_show_id=d06bfb35-b92e-4036-be94-128d3a1be541" TargetMode="External" Id="rId49" /><Relationship Type="http://schemas.openxmlformats.org/officeDocument/2006/relationships/hyperlink" Target="https://www.douyin.com/user/MS4wLjABAAAArxL0BSEqY3kbcD7CYFoRZ9fZnGSXxsW3arUEmhRE264" TargetMode="External" Id="rId50" /><Relationship Type="http://schemas.openxmlformats.org/officeDocument/2006/relationships/hyperlink" Target="https://www.xingtu.cn/ad/creator/author/douyin/7402836723379470373/1?marketType=&amp;btm_ppre=a0.b0.c0.d0&amp;btm_pre=a4738.b27311.c0.author-card&amp;btm_show_id=d06bfb35-b92e-4036-be94-128d3a1be541" TargetMode="External" Id="rId51" /><Relationship Type="http://schemas.openxmlformats.org/officeDocument/2006/relationships/hyperlink" Target="https://www.douyin.com/user/MS4wLjABAAAAlVRAIx5eEEh9C-T760TYtgItJlYm3gjuZz68l8LC28KukBXOUR5uqdM0ngQ1I7_E" TargetMode="External" Id="rId52" /><Relationship Type="http://schemas.openxmlformats.org/officeDocument/2006/relationships/hyperlink" Target="https://www.xingtu.cn/ad/creator/author/douyin/6826619167102205959/1?btm_ppre=a0.b0.c0.d0&amp;btm_pre=a4738.b27311.c0.author-card&amp;btm_show_id=089b2a17-f6f4-4103-84f7-6bda5e1c12e0" TargetMode="External" Id="rId53" /><Relationship Type="http://schemas.openxmlformats.org/officeDocument/2006/relationships/hyperlink" Target="https://www.douyin.com/user/MS4wLjABAAAA_gBK-ZwbzJaBiimasLqFsM9X4t0u5prBW2XI_YbYPkcY3VeT0-2JRtiu7VkJZoQs" TargetMode="External" Id="rId54" /><Relationship Type="http://schemas.openxmlformats.org/officeDocument/2006/relationships/hyperlink" Target="https://www.xingtu.cn/ad/creator/author/douyin/7233312685742358586/1?btm_ppre=a0.b0.c0.d0&amp;btm_pre=a4738.b27311.c0.author-card&amp;btm_show_id=3c0a7dee-95cd-4952-9994-ce5f968043c7" TargetMode="External" Id="rId55" /><Relationship Type="http://schemas.openxmlformats.org/officeDocument/2006/relationships/hyperlink" Target="https://www.douyin.com/user/MS4wLjABAAAA1wy_xe0j9NsoN04EQ05GMFDfbZpiXA12RPyDEIPWqG4" TargetMode="External" Id="rId56" /><Relationship Type="http://schemas.openxmlformats.org/officeDocument/2006/relationships/hyperlink" Target="https://www.xingtu.cn/ad/creator/author-homepage/douyin-video/7176954671339143205" TargetMode="External" Id="rId57" /><Relationship Type="http://schemas.openxmlformats.org/officeDocument/2006/relationships/hyperlink" Target="https://www.douyin.com/user/MS4wLjABAAAA0zbdjp55k_xPO_WFHME8puEMWr_muIxryU0cQWkeWfE" TargetMode="External" Id="rId58" /><Relationship Type="http://schemas.openxmlformats.org/officeDocument/2006/relationships/hyperlink" Target="https://www.xingtu.cn/ad/creator/author-homepage/douyin-video/6629663844786503688" TargetMode="External" Id="rId59" /><Relationship Type="http://schemas.openxmlformats.org/officeDocument/2006/relationships/hyperlink" Target="https://www.douyin.com/user/MS4wLjABAAAAGMJDEhNA2KhnLNCgnWNGjMjKXbnaFCg1MRhsAgxVB5U" TargetMode="External" Id="rId60" /><Relationship Type="http://schemas.openxmlformats.org/officeDocument/2006/relationships/hyperlink" Target="https://www.xingtu.cn/ad/creator/author-homepage/douyin-video/7097190289210949646" TargetMode="External" Id="rId61" /><Relationship Type="http://schemas.openxmlformats.org/officeDocument/2006/relationships/hyperlink" Target="https://www.douyin.com/user/MS4wLjABAAAA6BqFdHOUc8e18q8Q34HN9fecXBHAqAfBPH-EsDnU2HsOSRBaeCJI_tbCEfcnWiUv" TargetMode="External" Id="rId62" /><Relationship Type="http://schemas.openxmlformats.org/officeDocument/2006/relationships/hyperlink" Target="https://www.xingtu.cn/ad/creator/author/douyin/7035148598673145893" TargetMode="External" Id="rId63" /><Relationship Type="http://schemas.openxmlformats.org/officeDocument/2006/relationships/hyperlink" Target="https://www.douyin.com/user/MS4wLjABAAAAXsGCC7lQH6QEZlSFR0IMjIusmJ797ycDSJ7i2-xuNVI" TargetMode="External" Id="rId64" /><Relationship Type="http://schemas.openxmlformats.org/officeDocument/2006/relationships/hyperlink" Target="https://www.xingtu.cn/ad/creator/author-homepage/douyin-video/6802195315425280008?market_track_id=I3AXFCO2FFOA5SYPCT78&amp;search_session_id=7605461670957154354&amp;possessStarId" TargetMode="External" Id="rId65" /><Relationship Type="http://schemas.openxmlformats.org/officeDocument/2006/relationships/hyperlink" Target="https://www.douyin.com/user/MS4wLjABAAAAlSz3mcmyAGG0yhJn26N7Q51TJVEmSIt5wFl8dJbQBNgbOYDsnizQJ15y0-ub0MBe" TargetMode="External" Id="rId66" /><Relationship Type="http://schemas.openxmlformats.org/officeDocument/2006/relationships/hyperlink" Target="https://www.xingtu.cn/ad/creator/author-homepage/douyin-video/7004513676719816744?market_track_id=FLCBD4RXT5HYWEMG7UHR&amp;search_session_id=7611812381207265326&amp;possessStarId" TargetMode="External" Id="rId67" /><Relationship Type="http://schemas.openxmlformats.org/officeDocument/2006/relationships/hyperlink" Target="https://www.douyin.com/user/MS4wLjABAAAAfWs_3gUY6EKpOhbOFOLilwxIPW_JM4XKhPZPOA0ohD7JHVWhFyR_EGVIsQC910Ap" TargetMode="External" Id="rId68" /><Relationship Type="http://schemas.openxmlformats.org/officeDocument/2006/relationships/hyperlink" Target="https://www.xingtu.cn/ad/creator/author-homepage/douyin-video/7246352677957337144?market_track_id=57AK8QJ7796S4R61FYUD&amp;search_session_id=7612533405930700826&amp;possessStarId" TargetMode="External" Id="rId69" /><Relationship Type="http://schemas.openxmlformats.org/officeDocument/2006/relationships/hyperlink" Target="https://www.douyin.com/user/MS4wLjABAAAAZFmYPgUHqqxk_luIC30MdKFhNUYPl0-R1RZrXi8ogf-46LoebLrUlVumhLo_aR03" TargetMode="External" Id="rId70" /><Relationship Type="http://schemas.openxmlformats.org/officeDocument/2006/relationships/hyperlink" Target="https://www.xingtu.cn/ad/creator/author-homepage/douyin-video/6990087234833612808?market_track_id=57AK8QJ7796S4R61FYUD&amp;search_session_id=7612502818071134259&amp;possessStarId" TargetMode="External" Id="rId71" /><Relationship Type="http://schemas.openxmlformats.org/officeDocument/2006/relationships/hyperlink" Target="https://www.douyin.com/user/MS4wLjABAAAALo-dnnTtgS055trtiwIb9LIYw9NLekOf6orRrRvq0SE" TargetMode="External" Id="rId72" /><Relationship Type="http://schemas.openxmlformats.org/officeDocument/2006/relationships/hyperlink" Target="https://www.xingtu.cn/ad/creator/author-homepage/douyin-video/6629723096418877454?market_track_id=57AK8QJ7796S4R61FYUD&amp;search_session_id=7612502745140183091&amp;possessStarId" TargetMode="External" Id="rId73" /><Relationship Type="http://schemas.openxmlformats.org/officeDocument/2006/relationships/hyperlink" Target="https://www.douyin.com/user/MS4wLjABAAAA8nfGYiyMxS0JSR2QQ9ohg51nWsgriMzhed2KkMZW4XA" TargetMode="External" Id="rId74" /><Relationship Type="http://schemas.openxmlformats.org/officeDocument/2006/relationships/hyperlink" Target="https://www.xingtu.cn/ad/creator/author-homepage/douyin-video/7149057923442802702?market_track_id=9K7OTRAQ24V81HJAUGHT&amp;search_session_id=7611489091637346350&amp;possessStarId" TargetMode="External" Id="rId75" /><Relationship Type="http://schemas.openxmlformats.org/officeDocument/2006/relationships/hyperlink" Target="https://www.douyin.com/user/MS4wLjABAAAA8j6DdRwjDfVLHr4ZtK7lQeVXOLclCBolX-grHNjRb1ZnXBXgmRbFCPCA-ScPWtWr" TargetMode="External" Id="rId76" /><Relationship Type="http://schemas.openxmlformats.org/officeDocument/2006/relationships/hyperlink" Target="https://www.xingtu.cn/ad/creator/author-homepage/douyin-video/7071192806672302093?market_track_id=4R4VHAH5IAPUM29AQEBN&amp;search_session_id=7606283967965003785&amp;possessStarId" TargetMode="External" Id="rId77" /><Relationship Type="http://schemas.openxmlformats.org/officeDocument/2006/relationships/hyperlink" Target="https://www.douyin.com/user/MS4wLjABAAAAKK-HMXrcPWRCREuUz4lGati_ps_g7Psu6SDFX4ihxK8" TargetMode="External" Id="rId78" /><Relationship Type="http://schemas.openxmlformats.org/officeDocument/2006/relationships/hyperlink" Target="https://www.xingtu.cn/ad/creator/author-homepage/douyin-video/7223299753998565433?market_track_id=QVMB18W2UWWRTUQYLG0Z&amp;search_session_id=7610341499209269254&amp;possessStarId" TargetMode="External" Id="rId79" /><Relationship Type="http://schemas.openxmlformats.org/officeDocument/2006/relationships/hyperlink" Target="https://v.douyin.com/ceqyjYhyXkM/" TargetMode="External" Id="rId80" /><Relationship Type="http://schemas.openxmlformats.org/officeDocument/2006/relationships/hyperlink" Target="https://www.xingtu.cn/ad/creator/author-homepage/douyin-video/7125807321149603844?market_track_id=H7TG6Q3HJUST7OSLQIED&amp;search_session_id=7612588703508758554&amp;possessStarId" TargetMode="External" Id="rId81" /><Relationship Type="http://schemas.openxmlformats.org/officeDocument/2006/relationships/hyperlink" Target="https://www.douyin.com/user/MS4wLjABAAAAW-V64ivlroI9D9G7fraQp-13WohcK4C4Bnk2F9kgEp8" TargetMode="External" Id="rId82" /><Relationship Type="http://schemas.openxmlformats.org/officeDocument/2006/relationships/hyperlink" Target="https://www.xingtu.cn/ad/creator/author-homepage/douyin-video/7032103225947865124?market_track_id=L9AYHYUVYRH6ZBF3SAN3&amp;search_session_id=7605441073725194291&amp;possessStarId" TargetMode="External" Id="rId83" /><Relationship Type="http://schemas.openxmlformats.org/officeDocument/2006/relationships/hyperlink" Target="https://www.douyin.com/user/MS4wLjABAAAAhTNv_fp7VMr_aSD_7Du_mhZ3XKc2htdl7eA4HCm2G5o" TargetMode="External" Id="rId84" /><Relationship Type="http://schemas.openxmlformats.org/officeDocument/2006/relationships/hyperlink" Target="https://www.xingtu.cn/ad/creator/author-homepage/douyin-video/6749722842033553416?market_track_id=JF1X85GBF9MLNYSFVA7A&amp;search_session_id=7612595187349176358&amp;possessStarId" TargetMode="External" Id="rId85" /><Relationship Type="http://schemas.openxmlformats.org/officeDocument/2006/relationships/hyperlink" Target="https://www.douyin.com/user/MS4wLjABAAAA6vwqPovlRVQ917JyAiHDej5PIjJphpNyBFtx3__EecI" TargetMode="External" Id="rId86" /><Relationship Type="http://schemas.openxmlformats.org/officeDocument/2006/relationships/hyperlink" Target="https://www.xingtu.cn/ad/creator/author-homepage/douyin-video/7143563533668581389?market_track_id=JF1X85GBF9MLNYSFVA7A&amp;search_session_id=7612602001314414619&amp;possessStarId" TargetMode="External" Id="rId87" /><Relationship Type="http://schemas.openxmlformats.org/officeDocument/2006/relationships/hyperlink" Target="https://www.douyin.com/user/MS4wLjABAAAA4ZqwUCLTLLMJOCrGnhGEe3MZOPbHG7muT-NIS0tFonE" TargetMode="External" Id="rId88" /><Relationship Type="http://schemas.openxmlformats.org/officeDocument/2006/relationships/hyperlink" Target="https://www.xingtu.cn/ad/creator/author-homepage/douyin-video/6629724072496332808?market_track_id=SUA9KH7ZBLCVW9Q8I8O3&amp;search_session_id=7611010792837922826&amp;possessStarId" TargetMode="External" Id="rId89" /><Relationship Type="http://schemas.openxmlformats.org/officeDocument/2006/relationships/hyperlink" Target="https://www.douyin.com/user/MS4wLjABAAAAp52iIUIC50X_sKEA9gkGSW3EbhMfkj6rJ5oOiL_tXtw" TargetMode="External" Id="rId90" /><Relationship Type="http://schemas.openxmlformats.org/officeDocument/2006/relationships/hyperlink" Target="https://www.xingtu.cn/ad/creator/author-homepage/douyin-video/7061818206880530445?market_track_id=JF1X85GBF9MLNYSFVA7A&amp;search_session_id=7612597976676319283&amp;possessStarId" TargetMode="External" Id="rId91" /><Relationship Type="http://schemas.openxmlformats.org/officeDocument/2006/relationships/hyperlink" Target="https://www.douyin.com/user/MS4wLjABAAAAqQcMC2sp9-Zvj3rKj6yBFWM3G3or4Zl7zBYSVrxauYw" TargetMode="External" Id="rId92" /><Relationship Type="http://schemas.openxmlformats.org/officeDocument/2006/relationships/hyperlink" Target="https://www.xingtu.cn/ad/creator/author-homepage/douyin-video/7144302846098276383?market_track_id=57AK8QJ7796S4R61FYUD&amp;search_session_id=7612529862233899054&amp;possessStarId" TargetMode="External" Id="rId93" /><Relationship Type="http://schemas.openxmlformats.org/officeDocument/2006/relationships/hyperlink" Target="https://www.douyin.com/user/MS4wLjABAAAADpWLYF7Frwaj4FHsza8dnXlbdTvG_edRvEBZWw3j71o-83zgeU9rWf1A62iQ0y6h" TargetMode="External" Id="rId94" /><Relationship Type="http://schemas.openxmlformats.org/officeDocument/2006/relationships/hyperlink" Target="https://www.xingtu.cn/ad/creator/author-homepage/douyin-video/7212663785511714874?market_track_id=57AK8QJ7796S4R61FYUD&amp;search_session_id=7612528920269586483&amp;possessStarId" TargetMode="External" Id="rId95" /><Relationship Type="http://schemas.openxmlformats.org/officeDocument/2006/relationships/hyperlink" Target="https://www.douyin.com/user/MS4wLjABAAAA8i9Yi9gV4RDqVvKtoXXIebIOnLLtOOJpoP3zQICKudg" TargetMode="External" Id="rId96" /><Relationship Type="http://schemas.openxmlformats.org/officeDocument/2006/relationships/hyperlink" Target="https://www.xingtu.cn/ad/creator/author-homepage/douyin-video/6906929328903159821?market_track_id=57AK8QJ7796S4R61FYUD&amp;search_session_id=7612502818071134259&amp;possessStarId" TargetMode="External" Id="rId97" /><Relationship Type="http://schemas.openxmlformats.org/officeDocument/2006/relationships/hyperlink" Target="https://www.douyin.com/user/MS4wLjABAAAA57X26jieEwRnyDdFjl9Cx8mY_hSVPTdepH-jt6KyrPZEp8UtnJa9_Rd8GM43Mq_W" TargetMode="External" Id="rId98" /><Relationship Type="http://schemas.openxmlformats.org/officeDocument/2006/relationships/hyperlink" Target="https://www.xingtu.cn/ad/creator/author-homepage/douyin-video/7157865824835862542?market_track_id=57AK8QJ7796S4R61FYUD&amp;search_session_id=7612502818071134259&amp;possessStarId" TargetMode="External" Id="rId99" /><Relationship Type="http://schemas.openxmlformats.org/officeDocument/2006/relationships/hyperlink" Target="https://www.douyin.com/user/MS4wLjABAAAAMLDrARFvjdkKw63auSBFCFfVAWQFw3QezRE2NxE4BC5DoRsDDqMDCoMMV4MGheJ-" TargetMode="External" Id="rId100" /><Relationship Type="http://schemas.openxmlformats.org/officeDocument/2006/relationships/hyperlink" Target="https://www.xingtu.cn/ad/creator/author-homepage/douyin-video/7120107426002501639?market_track_id=57AK8QJ7796S4R61FYUD&amp;search_session_id=7612502040543313958&amp;possessStarId" TargetMode="External" Id="rId101" /><Relationship Type="http://schemas.openxmlformats.org/officeDocument/2006/relationships/hyperlink" Target="https://www.douyin.com/user/MS4wLjABAAAAhypbxRbizDVv1dY9rd98S-EDJ1W0ZB7iOgcz-e-dyDEnRLMIz9Y8Afip7b318VW0" TargetMode="External" Id="rId102" /><Relationship Type="http://schemas.openxmlformats.org/officeDocument/2006/relationships/hyperlink" Target="https://www.xingtu.cn/ad/creator/author-homepage/douyin-video/6690478800708304908?market_track_id=SUA9KH7ZBLCVW9Q8I8O3&amp;search_session_id=7611015321839599625&amp;possessStarId" TargetMode="External" Id="rId103" /><Relationship Type="http://schemas.openxmlformats.org/officeDocument/2006/relationships/hyperlink" Target="https://www.douyin.com/user/MS4wLjABAAAALfr_yeD1TZl2Imjm_V45ptcvrG4DNFWWuqY_26vhXTg" TargetMode="External" Id="rId104" /><Relationship Type="http://schemas.openxmlformats.org/officeDocument/2006/relationships/hyperlink" Target="https://www.xingtu.cn/ad/creator/author-homepage/douyin-video/6652976723044335628?market_track_id=JHTNBEGQO60RJNOU4K0V&amp;search_session_id=7612610999124672522&amp;possessStarId" TargetMode="External" Id="rId105" /><Relationship Type="http://schemas.openxmlformats.org/officeDocument/2006/relationships/hyperlink" Target="https://www.douyin.com/user/MS4wLjABAAAAgZ8hMEqeWypZqFR0qPPKjCIA2Kn9dlhqX3LjzGHx_40" TargetMode="External" Id="rId106" /><Relationship Type="http://schemas.openxmlformats.org/officeDocument/2006/relationships/hyperlink" Target="https://www.xingtu.cn/ad/creator/author-homepage/douyin-video/7411126425756893221?market_track_id=JHTNBEGQO60RJNOU4K0V&amp;search_session_id=7612611836790308873&amp;possessStarId" TargetMode="External" Id="rId107" /><Relationship Type="http://schemas.openxmlformats.org/officeDocument/2006/relationships/hyperlink" Target="https://www.douyin.com/user/MS4wLjABAAAARUypKahedhA7ZUKq8lGwB7JlQ6dWkAaafyXnU9MdhTgLGC5w0AW2ZKnxtVsg5nZw" TargetMode="External" Id="rId108" /><Relationship Type="http://schemas.openxmlformats.org/officeDocument/2006/relationships/hyperlink" Target="https://www.xingtu.cn/ad/creator/author-homepage/douyin-video/6870162144202063885?market_track_id=JHTNBEGQO60RJNOU4K0V&amp;search_session_id=7612612744516632585&amp;possessStarId" TargetMode="External" Id="rId109" /><Relationship Type="http://schemas.openxmlformats.org/officeDocument/2006/relationships/hyperlink" Target="https://www.douyin.com/user/MS4wLjABAAAASQlIT9yA-LNfju8IjDx0j2GdcdLhlHwn_qr83KMtCY0" TargetMode="External" Id="rId110" /><Relationship Type="http://schemas.openxmlformats.org/officeDocument/2006/relationships/hyperlink" Target="https://www.xingtu.cn/ad/creator/author-homepage/douyin-video/7427403870072111155?market_track_id=JHTNBEGQO60RJNOU4K0V&amp;search_session_id=7612612744516632585&amp;possessStarId" TargetMode="External" Id="rId111" /><Relationship Type="http://schemas.openxmlformats.org/officeDocument/2006/relationships/hyperlink" Target="https://www.douyin.com/user/MS4wLjABAAAAvTAJb8dJVKxeMB1JkonLZFg0RomZgtjxb05Ya0FR4H4" TargetMode="External" Id="rId112" /><Relationship Type="http://schemas.openxmlformats.org/officeDocument/2006/relationships/hyperlink" Target="https://www.xingtu.cn/ad/creator/author-homepage/douyin-video/6877547150427848712?market_track_id=KXF3U58FINQOMQVTKIE7&amp;search_session_id=7612870942158635034&amp;possessStarId" TargetMode="External" Id="rId113" /><Relationship Type="http://schemas.openxmlformats.org/officeDocument/2006/relationships/hyperlink" Target="https://www.douyin.com/user/MS4wLjABAAAAzx_SHNZCoiEF9zJCwNb6F7xPqm-jHdPyJZPBuIqkmw4" TargetMode="External" Id="rId114" /><Relationship Type="http://schemas.openxmlformats.org/officeDocument/2006/relationships/hyperlink" Target="https://www.xingtu.cn/ad/creator/author-homepage/douyin-video/7296811576265277490?market_track_id=NBFHER5MW37GY5E9I36C&amp;search_session_id=7612904275731628041&amp;possessStarId" TargetMode="External" Id="rId115" /><Relationship Type="http://schemas.openxmlformats.org/officeDocument/2006/relationships/hyperlink" Target="https://www.douyin.com/user/MS4wLjABAAAAUffHkEq19-jESF1fZkTu3bWAm9hJGebHwIobcTsfadbEBf7WjmG6lmfKfUW1SWCW" TargetMode="External" Id="rId116" /><Relationship Type="http://schemas.openxmlformats.org/officeDocument/2006/relationships/hyperlink" Target="https://www.xingtu.cn/ad/creator/author-homepage/douyin-video/6681057961172795404?market_track_id=CYF5EVY6IO8FUOF70E80&amp;search_session_id=7612907392548421659&amp;possessStarId" TargetMode="External" Id="rId117" /><Relationship Type="http://schemas.openxmlformats.org/officeDocument/2006/relationships/hyperlink" Target="https://www.douyin.com/user/MS4wLjABAAAAv03JeFhWkbCcVR6OOSJtI9vc6NRr269VW6Fr5TuILfQ" TargetMode="External" Id="rId118" /><Relationship Type="http://schemas.openxmlformats.org/officeDocument/2006/relationships/hyperlink" Target="https://www.xingtu.cn/ad/creator/author-homepage/douyin-video/7215143016137228343?market_track_id=ZWASKBQKMRJE74YLWW0T&amp;search_session_id=7612924184762941490&amp;possessStarId" TargetMode="External" Id="rId119" /><Relationship Type="http://schemas.openxmlformats.org/officeDocument/2006/relationships/hyperlink" Target="https://www.douyin.com/user/MS4wLjABAAAAP9FAhfUuXfeXuRmUQTZ3slajCN0N0L1aLQQO3x_CWn0QJ9ckx6pIu7zIhQhaoi7A" TargetMode="External" Id="rId120" /><Relationship Type="http://schemas.openxmlformats.org/officeDocument/2006/relationships/hyperlink" Target="https://www.xingtu.cn/ad/creator/author-homepage/douyin-video/6691420211976863756?market_track_id=ZWASKBQKMRJE74YLWW0T&amp;search_session_id=7612924623893954606&amp;possessStarId" TargetMode="External" Id="rId121" /><Relationship Type="http://schemas.openxmlformats.org/officeDocument/2006/relationships/hyperlink" Target="https://www.douyin.com/user/MS4wLjABAAAAQVoXcsLDAhu05iT-D12Iysy6xhKjFhAyfRAgWgv_NKA" TargetMode="External" Id="rId122" /><Relationship Type="http://schemas.openxmlformats.org/officeDocument/2006/relationships/hyperlink" Target="https://www.xingtu.cn/ad/creator/author-homepage/douyin-video/7352563615523831846?market_track_id=ZWASKBQKMRJE74YLWW0T&amp;search_session_id=7612928637989568563&amp;possessStarId" TargetMode="External" Id="rId123" /><Relationship Type="http://schemas.openxmlformats.org/officeDocument/2006/relationships/hyperlink" Target="https://www.douyin.com/user/MS4wLjABAAAAgQVOa4WQ3cDk9Z3fGmEQMIKnZrLhfe-e3SXQwBHv8w9YpxR48MqGTTYvf-_NGLuI" TargetMode="External" Id="rId124" /><Relationship Type="http://schemas.openxmlformats.org/officeDocument/2006/relationships/hyperlink" Target="https://www.xingtu.cn/ad/creator/author-homepage/douyin-video/6847685914861256712?market_track_id=ZWASKBQKMRJE74YLWW0T&amp;search_session_id=7612929464566906889&amp;possessStarId" TargetMode="External" Id="rId125" /><Relationship Type="http://schemas.openxmlformats.org/officeDocument/2006/relationships/hyperlink" Target="https://www.douyin.com/user/MS4wLjABAAAAvlVAsV0qst24Wwa1RhvrDPZQy2XnMJ9jXAArajRxG5U" TargetMode="External" Id="rId126" /><Relationship Type="http://schemas.openxmlformats.org/officeDocument/2006/relationships/hyperlink" Target="https://www.xingtu.cn/ad/creator/author-homepage/douyin-video/7475264104974778406?market_track_id=ZWASKBQKMRJE74YLWW0T&amp;search_session_id=7612933352894545947&amp;possessStarId" TargetMode="External" Id="rId127" /><Relationship Type="http://schemas.openxmlformats.org/officeDocument/2006/relationships/hyperlink" Target="https://www.douyin.com/user/MS4wLjABAAAA-k56s429UgYVRVj7_ppi7YZ171L9zDXOkdM1Kl46PqQ" TargetMode="External" Id="rId128" /><Relationship Type="http://schemas.openxmlformats.org/officeDocument/2006/relationships/hyperlink" Target="https://www.xingtu.cn/ad/creator/author-homepage/douyin-video/7209600735070126136?market_track_id=N9IQ7NEJKRBGPYRMSWWF&amp;search_session_id=7612939479762698291&amp;possessStarId" TargetMode="External" Id="rId129" /><Relationship Type="http://schemas.openxmlformats.org/officeDocument/2006/relationships/hyperlink" Target="https://www.douyin.com/user/MS4wLjABAAAAP6YjZLD6MkDQVfiFvhCKdWpPJNz959om7-SO1HklBfwyJSwZLmJIVFC83Gh5_01z" TargetMode="External" Id="rId130" /><Relationship Type="http://schemas.openxmlformats.org/officeDocument/2006/relationships/hyperlink" Target="https://www.xingtu.cn/ad/creator/author-homepage/douyin-video/6761626737932517384?market_track_id=N9IQ7NEJKRBGPYRMSWWF&amp;search_session_id=7612939785783017510&amp;possessStarId" TargetMode="External" Id="rId131" /><Relationship Type="http://schemas.openxmlformats.org/officeDocument/2006/relationships/hyperlink" Target="https://www.douyin.com/user/MS4wLjABAAAAzGNmyPglN_tEeXltzb0FRx_IWcvcG8H1vSWvvcYscCs" TargetMode="External" Id="rId132" /><Relationship Type="http://schemas.openxmlformats.org/officeDocument/2006/relationships/hyperlink" Target="https://www.xingtu.cn/ad/creator/author-homepage/douyin-video/7163093702716424205?market_track_id=N9IQ7NEJKRBGPYRMSWWF&amp;search_session_id=7612939785783017510&amp;possessStarId" TargetMode="External" Id="rId133" /><Relationship Type="http://schemas.openxmlformats.org/officeDocument/2006/relationships/hyperlink" Target="https://www.douyin.com/user/MS4wLjABAAAAC_oB-DcCsAMhMV1WabgD7hp9l_-6HXNXBtM8n_k9cQA" TargetMode="External" Id="rId134" /><Relationship Type="http://schemas.openxmlformats.org/officeDocument/2006/relationships/hyperlink" Target="https://www.xingtu.cn/ad/creator/author-homepage/douyin-video/7413640819007029267?market_track_id=N9IQ7NEJKRBGPYRMSWWF&amp;search_session_id=7612941942036414515&amp;possessStarId" TargetMode="External" Id="rId135" /><Relationship Type="http://schemas.openxmlformats.org/officeDocument/2006/relationships/hyperlink" Target="https://www.douyin.com/user/MS4wLjABAAAAkJFloFA-68D6sZUUM615Vzi8ObcJ7Ply6_aLRWYwYxJGJ6MWXXjYJT61bQcCpQJn" TargetMode="External" Id="rId136" /><Relationship Type="http://schemas.openxmlformats.org/officeDocument/2006/relationships/hyperlink" Target="https://www.xingtu.cn/ad/creator/author-homepage/douyin-video/6690565304818335758?market_track_id=O233IZ869NSDQCZLCJHD&amp;search_session_id=7612972205831831561&amp;possessStarId" TargetMode="External" Id="rId137" /><Relationship Type="http://schemas.openxmlformats.org/officeDocument/2006/relationships/hyperlink" Target="https://www.douyin.com/user/MS4wLjABAAAA9XCy4m6UWZDVnXhEc7gzcDlAKZJ_-1KJzI16OCmL78MM1ch4LRoxjPYh--eHhBHc" TargetMode="External" Id="rId138" /><Relationship Type="http://schemas.openxmlformats.org/officeDocument/2006/relationships/hyperlink" Target="https://www.xingtu.cn/ad/creator/author-homepage/douyin-video/7297376877595852826?market_track_id=ZTGPPKPB1QN8N8QD8AWP&amp;search_session_id=7613003383180017673&amp;possessStarId" TargetMode="External" Id="rId139" /><Relationship Type="http://schemas.openxmlformats.org/officeDocument/2006/relationships/hyperlink" Target="https://www.douyin.com/user/MS4wLjABAAAAnnd_otANYtuTi4Jn0kS5cLYvnjZuIqB5bchusrHnzEg" TargetMode="External" Id="rId140" /><Relationship Type="http://schemas.openxmlformats.org/officeDocument/2006/relationships/hyperlink" Target="https://www.xingtu.cn/ad/creator/author-homepage/douyin-video/7143503434384146469?market_track_id=ZTGPPKPB1QN8N8QD8AWP&amp;search_session_id=7613001832579448870&amp;possessStarId" TargetMode="External" Id="rId141" /><Relationship Type="http://schemas.openxmlformats.org/officeDocument/2006/relationships/hyperlink" Target="https://www.douyin.com/user/MS4wLjABAAAA063eYdIfBZzUreE0ASL_ULuh7pZ_1PYgFbAhh91aCEmuwLXh029g7GzlE7h5st2A" TargetMode="External" Id="rId142" /><Relationship Type="http://schemas.openxmlformats.org/officeDocument/2006/relationships/hyperlink" Target="https://www.xingtu.cn/ad/creator/author-homepage/douyin-video/6691420211976863756?market_track_id=ZTGPPKPB1QN8N8QD8AWP&amp;search_session_id=7613000898088108042&amp;possessStarId" TargetMode="External" Id="rId143" /><Relationship Type="http://schemas.openxmlformats.org/officeDocument/2006/relationships/hyperlink" Target="https://www.douyin.com/user/MS4wLjABAAAAQVoXcsLDAhu05iT-D12Iysy6xhKjFhAyfRAgWgv_NKA" TargetMode="External" Id="rId144" /><Relationship Type="http://schemas.openxmlformats.org/officeDocument/2006/relationships/hyperlink" Target="https://www.xingtu.cn/ad/creator/author-homepage/douyin-video/7286272063084429369?market_track_id=MZCT008XDQ9LRFKWE2VY&amp;search_session_id=7613243975943913523&amp;possessStarId" TargetMode="External" Id="rId145" /><Relationship Type="http://schemas.openxmlformats.org/officeDocument/2006/relationships/hyperlink" Target="https://www.douyin.com/user/MS4wLjABAAAAZ-xWxEMO6xr9oNSAHhMQrwAKjYmKtkFr0QLWrxmg0-Y" TargetMode="External" Id="rId146" /><Relationship Type="http://schemas.openxmlformats.org/officeDocument/2006/relationships/hyperlink" Target="https://www.xingtu.cn/ad/creator/author-homepage/douyin-video/6629658460059336711?market_track_id=MZCT008XDQ9LRFKWE2VY&amp;search_session_id=7613242839255744521&amp;possessStarId" TargetMode="External" Id="rId147" /><Relationship Type="http://schemas.openxmlformats.org/officeDocument/2006/relationships/hyperlink" Target="https://www.douyin.com/user/MS4wLjABAAAADuP3bF1OcPUmbyMptWG0cIfrxGNLefaMoyoK71ODLh4" TargetMode="External" Id="rId148" /><Relationship Type="http://schemas.openxmlformats.org/officeDocument/2006/relationships/hyperlink" Target="https://www.xingtu.cn/ad/creator/author-homepage/douyin-video/6629723076944723982?market_track_id=MZCT008XDQ9LRFKWE2VY&amp;search_session_id=7613238334059888666&amp;possessStarId" TargetMode="External" Id="rId149" /><Relationship Type="http://schemas.openxmlformats.org/officeDocument/2006/relationships/hyperlink" Target="https://www.douyin.com/user/MS4wLjABAAAAiMXgOIae2J55MiXM0s8r1FsElMSypnQdPrEd48eZFVY" TargetMode="External" Id="rId150" /><Relationship Type="http://schemas.openxmlformats.org/officeDocument/2006/relationships/hyperlink" Target="https://www.xingtu.cn/ad/creator/author-homepage/douyin-video/7212663785511714874?market_track_id=MZCT008XDQ9LRFKWE2VY&amp;search_session_id=7613236685597949962&amp;possessStarId" TargetMode="External" Id="rId151" /><Relationship Type="http://schemas.openxmlformats.org/officeDocument/2006/relationships/hyperlink" Target="https://www.douyin.com/user/MS4wLjABAAAA8i9Yi9gV4RDqVvKtoXXIebIOnLLtOOJpoP3zQICKudg" TargetMode="External" Id="rId152" /><Relationship Type="http://schemas.openxmlformats.org/officeDocument/2006/relationships/hyperlink" Target="https://www.xingtu.cn/ad/creator/author-homepage/douyin-video/7307527579370520603?market_track_id=BE9M1106TZDMQ96PG2WO&amp;search_session_id=7613227907317907502&amp;possessStarId" TargetMode="External" Id="rId153" /><Relationship Type="http://schemas.openxmlformats.org/officeDocument/2006/relationships/hyperlink" Target="https://www.douyin.com/user/MS4wLjABAAAAdhPlRBdVIyaR81Rr4Oz-8qAu3Rn00lpzmuHzv9LqGR9PPjJD8IAkG3zhDF6EiRo2" TargetMode="External" Id="rId154" /><Relationship Type="http://schemas.openxmlformats.org/officeDocument/2006/relationships/hyperlink" Target="https://www.xingtu.cn/ad/creator/author-homepage/douyin-video/7033786770315542542?market_track_id=ZTGPPKPB1QN8N8QD8AWP&amp;search_session_id=7612998250903388186&amp;possessStarId" TargetMode="External" Id="rId155" /><Relationship Type="http://schemas.openxmlformats.org/officeDocument/2006/relationships/hyperlink" Target="https://www.douyin.com/user/MS4wLjABAAAAq4exE1wcLVUQMzNLIqTNfetMJm9s9wZXP5pupQ91c3sSlyFNdE6oopJowgFxd4Uq" TargetMode="External" Id="rId156" /><Relationship Type="http://schemas.openxmlformats.org/officeDocument/2006/relationships/hyperlink" Target="https://www.xingtu.cn/ad/creator/author-homepage/douyin-video/7237693402249494560?market_track_id=ZTGPPKPB1QN8N8QD8AWP&amp;search_session_id=7612995721113665574&amp;possessStarId" TargetMode="External" Id="rId157" /><Relationship Type="http://schemas.openxmlformats.org/officeDocument/2006/relationships/hyperlink" Target="https://www.douyin.com/user/MS4wLjABAAAA9YU4u9kZcGzGzr0ca4sT4-aDqkN8Pm4sEaS2jfEZGJU7raTBd3TsTI36FaCmgctp" TargetMode="External" Id="rId158" /><Relationship Type="http://schemas.openxmlformats.org/officeDocument/2006/relationships/hyperlink" Target="https://www.xingtu.cn/ad/creator/author-homepage/douyin-video/7225455728285188157?market_track_id=IHKJ7RCF85I21XAQ009Q&amp;search_session_id=7613295973854871603&amp;possessStarId" TargetMode="External" Id="rId159" /><Relationship Type="http://schemas.openxmlformats.org/officeDocument/2006/relationships/hyperlink" Target="https://www.douyin.com/user/MS4wLjABAAAAuhXbv8NUQf-wNDmUaV5U4D5KCHUigR7QsO4E_6ji5kUabmtzcFYUtrQu3SkYmVSR" TargetMode="External" Id="rId160" /><Relationship Type="http://schemas.openxmlformats.org/officeDocument/2006/relationships/hyperlink" Target="https://www.xingtu.cn/ad/creator/author-homepage/douyin-video/7352030108036644901?market_track_id=M7AZXMJ7R29ET9J3CFY9&amp;search_session_id=7613295809123352586&amp;possessStarId" TargetMode="External" Id="rId161" /><Relationship Type="http://schemas.openxmlformats.org/officeDocument/2006/relationships/hyperlink" Target="https://www.douyin.com/user/MS4wLjABAAAAWe0wnZPzKj2XGvjTmPDlIGVwyllIgwtk2y-n4oCsYSfG5OEtVPP7Sd22um79jfR2" TargetMode="External" Id="rId162" /><Relationship Type="http://schemas.openxmlformats.org/officeDocument/2006/relationships/hyperlink" Target="https://www.xingtu.cn/ad/creator/author-homepage/douyin-video/7121607124089569316?market_track_id=CTMSOHG2UEDVFASGDN5K&amp;search_session_id=7613298886794395674&amp;possessStarId" TargetMode="External" Id="rId163" /><Relationship Type="http://schemas.openxmlformats.org/officeDocument/2006/relationships/hyperlink" Target="https://www.douyin.com/user/MS4wLjABAAAA_N4YHaBZG_IZZPlX7oB0vR7z3cTveIodjhr3FXhmnYwo0qy9nnZzVA0idcTMj3-H" TargetMode="External" Id="rId164" /><Relationship Type="http://schemas.openxmlformats.org/officeDocument/2006/relationships/hyperlink" Target="https://www.xingtu.cn/ad/creator/author-homepage/douyin-video/6997128678010273805?market_track_id=T3F09RSZB5J532D966YC&amp;search_session_id=7613301898976575514&amp;possessStarId" TargetMode="External" Id="rId165" /><Relationship Type="http://schemas.openxmlformats.org/officeDocument/2006/relationships/hyperlink" Target="https://www.douyin.com/user/MS4wLjABAAAA5qA_IOOFelSPMHIXHW-NyZNIX55R8yceM5gpFr99Ugend87C0wVRO2g1CSHDY67o" TargetMode="External" Id="rId166" /><Relationship Type="http://schemas.openxmlformats.org/officeDocument/2006/relationships/hyperlink" Target="https://www.xingtu.cn/ad/creator/author-homepage/douyin-video/7012557078963159043?market_track_id=T3F09RSZB5J532D966YC&amp;search_session_id=7613303540936818738&amp;possessStarId" TargetMode="External" Id="rId167" /><Relationship Type="http://schemas.openxmlformats.org/officeDocument/2006/relationships/hyperlink" Target="https://www.douyin.com/user/MS4wLjABAAAAfNVPEhjcQudNSFplx0LoYrdvH8rrT7GoYQ_Ij09FMfw" TargetMode="External" Id="rId168" /><Relationship Type="http://schemas.openxmlformats.org/officeDocument/2006/relationships/hyperlink" Target="https://www.xingtu.cn/ad/creator/author-homepage/douyin-video/6870161635978248200?market_track_id=T3F09RSZB5J532D966YC&amp;search_session_id=7613305670808518694&amp;possessStarId" TargetMode="External" Id="rId169" /><Relationship Type="http://schemas.openxmlformats.org/officeDocument/2006/relationships/hyperlink" Target="https://www.douyin.com/user/MS4wLjABAAAAqvZxAHFLfL78cSnQE4ryO2MVRIV7Js0d30t7HrghwW8" TargetMode="External" Id="rId170" /><Relationship Type="http://schemas.openxmlformats.org/officeDocument/2006/relationships/hyperlink" Target="https://www.xingtu.cn/ad/creator/author-homepage/douyin-video/7143563533668581389?market_track_id=JF1X85GBF9MLNYSFVA7A&amp;search_session_id=7612602001314414619&amp;possessStarId" TargetMode="External" Id="rId171" /><Relationship Type="http://schemas.openxmlformats.org/officeDocument/2006/relationships/hyperlink" Target="https://www.douyin.com/user/MS4wLjABAAAA4ZqwUCLTLLMJOCrGnhGEe3MZOPbHG7muT-NIS0tFonE" TargetMode="External" Id="rId172" /><Relationship Type="http://schemas.openxmlformats.org/officeDocument/2006/relationships/hyperlink" Target="https://www.xingtu.cn/ad/creator/author-homepage/douyin-video/6870160240763994120?market_track_id=1NN8XWAK1CGIJFNAQBZ8&amp;search_session_id=7613355683773808649&amp;possessStarId" TargetMode="External" Id="rId173" /><Relationship Type="http://schemas.openxmlformats.org/officeDocument/2006/relationships/hyperlink" Target="https://www.douyin.com/user/MS4wLjABAAAAAwdV_ZaHwV7yn4Imf8Q1PqZ7IENSzyyY0u24mWgn-xE" TargetMode="External" Id="rId174" /><Relationship Type="http://schemas.openxmlformats.org/officeDocument/2006/relationships/hyperlink" Target="https://www.xingtu.cn/ad/creator/author-homepage/douyin-video/7151686548088586254?market_track_id=FLCBD4RXT5HYWEMG7UHR&amp;search_session_id=7611816153388367918&amp;possessStarId" TargetMode="External" Id="rId175" /><Relationship Type="http://schemas.openxmlformats.org/officeDocument/2006/relationships/hyperlink" Target="https://www.douyin.com/user/MS4wLjABAAAA-B8K8qRcEYfVBRrGhcVxZa5o1rm4kukc7Oq3j21tEHU" TargetMode="External" Id="rId176" /><Relationship Type="http://schemas.openxmlformats.org/officeDocument/2006/relationships/hyperlink" Target="https://www.xingtu.cn/ad/creator/author-homepage/douyin-video/7008950281987686413?market_track_id=1NN8XWAK1CGIJFNAQBZ8&amp;search_session_id=7613351311513714726&amp;possessStarId" TargetMode="External" Id="rId177" /><Relationship Type="http://schemas.openxmlformats.org/officeDocument/2006/relationships/hyperlink" Target="https://www.douyin.com/user/MS4wLjABAAAAaiXLTcfTvuyI_yPSnMdmJQbyrZ2g0sKYzUVs_UnJ0mq9lEIqcE0XyW7VpZbVkzWx" TargetMode="External" Id="rId178" /><Relationship Type="http://schemas.openxmlformats.org/officeDocument/2006/relationships/hyperlink" Target="https://www.xingtu.cn/ad/creator/author-homepage/douyin-video/6926304630271901711?market_track_id=0OYPCAVV8EYK36F21DKG&amp;search_session_id=7613346160124297225&amp;possessStarId" TargetMode="External" Id="rId179" /><Relationship Type="http://schemas.openxmlformats.org/officeDocument/2006/relationships/hyperlink" Target="https://www.douyin.com/user/MS4wLjABAAAAj4jdFLdrSSmm1yQo6MMLOSXaMM0biQjbTVDPT3VRmuY" TargetMode="External" Id="rId180" /><Relationship Type="http://schemas.openxmlformats.org/officeDocument/2006/relationships/hyperlink" Target="https://www.xingtu.cn/ad/creator/author-homepage/douyin-video/6740972275522076676?market_track_id=0OYPCAVV8EYK36F21DKG&amp;search_session_id=7613344002150580262&amp;possessStarId" TargetMode="External" Id="rId181" /><Relationship Type="http://schemas.openxmlformats.org/officeDocument/2006/relationships/hyperlink" Target="https://www.douyin.com/user/MS4wLjABAAAA1L_6xSXNev3kU4eW6bo8Te3S8Ms380R0DtiWqjn0JSE" TargetMode="External" Id="rId182" /><Relationship Type="http://schemas.openxmlformats.org/officeDocument/2006/relationships/hyperlink" Target="https://www.xingtu.cn/ad/creator/author-homepage/douyin-video/7011387294233919518?market_track_id=0OYPCAVV8EYK36F21DKG&amp;search_session_id=7613344002150580262&amp;possessStarId" TargetMode="External" Id="rId183" /><Relationship Type="http://schemas.openxmlformats.org/officeDocument/2006/relationships/hyperlink" Target="https://www.douyin.com/user/MS4wLjABAAAAcCjSwK8NJHrt0Cz_ix8LGKtU17tlcQpOxB54KvGAmTY" TargetMode="External" Id="rId184" /><Relationship Type="http://schemas.openxmlformats.org/officeDocument/2006/relationships/hyperlink" Target="https://www.xingtu.cn/ad/creator/author-homepage/douyin-video/7389515547106344970?market_track_id=YLXB7MTD8TPJAQ2SP4QR&amp;search_session_id=7613680168258830382&amp;possessStarId" TargetMode="External" Id="rId185" /><Relationship Type="http://schemas.openxmlformats.org/officeDocument/2006/relationships/hyperlink" Target="https://www.douyin.com/user/MS4wLjABAAAAoZ6CLpKzWCX0PzVpVpH1TIPOHXlA83s6lXi-w-FJBYI-INgk9uNE6LsDAhrI47sg" TargetMode="External" Id="rId186" /><Relationship Type="http://schemas.openxmlformats.org/officeDocument/2006/relationships/hyperlink" Target="https://www.xingtu.cn/ad/creator/author-homepage/douyin-video/6870160260540137486?market_track_id=YLXB7MTD8TPJAQ2SP4QR&amp;search_session_id=7613679778771779594&amp;possessStarId" TargetMode="External" Id="rId187" /><Relationship Type="http://schemas.openxmlformats.org/officeDocument/2006/relationships/hyperlink" Target="https://www.douyin.com/user/MS4wLjABAAAASz4Fz2ZvwPrjz2p5h5YkRvH7s83R2_VApQX-jqHOtBg" TargetMode="External" Id="rId188" /><Relationship Type="http://schemas.openxmlformats.org/officeDocument/2006/relationships/hyperlink" Target="https://www.xingtu.cn/ad/creator/author-homepage/douyin-video/7235217904738926596?market_track_id=2KVOMPJN4QSG01E4YUAX&amp;search_session_id=7613672629345452082&amp;possessStarId" TargetMode="External" Id="rId189" /><Relationship Type="http://schemas.openxmlformats.org/officeDocument/2006/relationships/hyperlink" Target="https://www.douyin.com/user/MS4wLjABAAAAtR50iDXDnqRgvZGtkakkoNhbJvAL145MBUi55rnGd4CooXaFwC5zmcfTfPJctKY9" TargetMode="External" Id="rId190" /><Relationship Type="http://schemas.openxmlformats.org/officeDocument/2006/relationships/hyperlink" Target="https://www.xingtu.cn/ad/creator/author-homepage/douyin-video/7488345600363233306?market_track_id=2KVOMPJN4QSG01E4YUAX&amp;search_session_id=7613673581612662830&amp;possessStarId" TargetMode="External" Id="rId191" /><Relationship Type="http://schemas.openxmlformats.org/officeDocument/2006/relationships/hyperlink" Target="https://www.douyin.com/user/MS4wLjABAAAAz3CgZ8w-Ax6zIVV41_gwyemwR1iaYdL5x5urb2uPW8E-QVGLks7gcboovLp2GFIe" TargetMode="External" Id="rId192" /><Relationship Type="http://schemas.openxmlformats.org/officeDocument/2006/relationships/hyperlink" Target="https://www.xingtu.cn/ad/creator/author-homepage/douyin-video/6712186904856494092?market_track_id=H4ETHBZMFZY3TAGCQ3FA&amp;search_session_id=7613668965579276334&amp;possessStarId" TargetMode="External" Id="rId193" /><Relationship Type="http://schemas.openxmlformats.org/officeDocument/2006/relationships/hyperlink" Target="https://www.douyin.com/user/MS4wLjABAAAASaOzqb3HtzTba42DOg3aAsg7Xj9oYxXp4e_iSSmPwcGAU8sr2O5GDfJ9GPYkRqvS" TargetMode="External" Id="rId194" /><Relationship Type="http://schemas.openxmlformats.org/officeDocument/2006/relationships/hyperlink" Target="https://www.xingtu.cn/ad/creator/author-homepage/douyin-video/6629659220260159491?market_track_id=H4ETHBZMFZY3TAGCQ3FA&amp;search_session_id=7613666091105501234&amp;possessStarId" TargetMode="External" Id="rId195" /><Relationship Type="http://schemas.openxmlformats.org/officeDocument/2006/relationships/hyperlink" Target="https://www.douyin.com/user/MS4wLjABAAAAaGPupGXkpAjXZOVH21EVXCRlX-WY4k0pSwspKgpfC9c" TargetMode="External" Id="rId196" /><Relationship Type="http://schemas.openxmlformats.org/officeDocument/2006/relationships/hyperlink" Target="https://www.xingtu.cn/ad/creator/author-homepage/douyin-video/6968524225481015299?market_track_id=H4ETHBZMFZY3TAGCQ3FA&amp;search_session_id=7613665705892266034&amp;possessStarId" TargetMode="External" Id="rId197" /><Relationship Type="http://schemas.openxmlformats.org/officeDocument/2006/relationships/hyperlink" Target="https://www.douyin.com/user/MS4wLjABAAAAvbVySaoiJbUbHymqxLMTMoWoy5m3jybj_ZtILScBFnw" TargetMode="External" Id="rId198" /><Relationship Type="http://schemas.openxmlformats.org/officeDocument/2006/relationships/hyperlink" Target="https://www.xingtu.cn/ad/creator/author-homepage/douyin-video/7072745980210184223?market_track_id=H4ETHBZMFZY3TAGCQ3FA&amp;search_session_id=7613665085277880366&amp;possessStarId" TargetMode="External" Id="rId199" /><Relationship Type="http://schemas.openxmlformats.org/officeDocument/2006/relationships/hyperlink" Target="https://www.douyin.com/user/MS4wLjABAAAA_HxonAavr589mpQxQuiYeJM_UbmAFJze0ivECvL-BMo" TargetMode="External" Id="rId200" /><Relationship Type="http://schemas.openxmlformats.org/officeDocument/2006/relationships/hyperlink" Target="https://www.xingtu.cn/ad/creator/author-homepage/douyin-video/7381753558883893299?market_track_id=H4ETHBZMFZY3TAGCQ3FA&amp;search_session_id=7613664374527885358&amp;possessStarId" TargetMode="External" Id="rId201" /><Relationship Type="http://schemas.openxmlformats.org/officeDocument/2006/relationships/hyperlink" Target="https://www.douyin.com/user/MS4wLjABAAAAlW6qdt6ZVRhZtUHJNWqoM3xP-TOU3bXaVQyE5UjRTH8uU4lnR0hPF-7LlHozelfw" TargetMode="External" Id="rId202" /><Relationship Type="http://schemas.openxmlformats.org/officeDocument/2006/relationships/hyperlink" Target="https://www.xingtu.cn/ad/creator/author-homepage/douyin-video/7147705319940948005?market_track_id=H4ETHBZMFZY3TAGCQ3FA&amp;search_session_id=7613664374527885358&amp;possessStarId" TargetMode="External" Id="rId203" /><Relationship Type="http://schemas.openxmlformats.org/officeDocument/2006/relationships/hyperlink" Target="https://www.douyin.com/user/MS4wLjABAAAA8VE5ljHzd8prz-FqC6920tEcl7HSI3b_ihPQol808HQ7nA-f6RDwkeZ3Mm8jMp3Y" TargetMode="External" Id="rId204" /><Relationship Type="http://schemas.openxmlformats.org/officeDocument/2006/relationships/hyperlink" Target="https://www.xingtu.cn/ad/creator/author-homepage/douyin-video/6629659019592073224?market_track_id=9T58FEEOSH7RZ6RU7JP4&amp;search_session_id=7613654499672358963&amp;possessStarId" TargetMode="External" Id="rId205" /><Relationship Type="http://schemas.openxmlformats.org/officeDocument/2006/relationships/hyperlink" Target="https://www.douyin.com/user/MS4wLjABAAAA-P7_GdR9aFaQkisBWd64Rn11rIAk5-nrYvqYnLRR3Iw" TargetMode="External" Id="rId206" /><Relationship Type="http://schemas.openxmlformats.org/officeDocument/2006/relationships/hyperlink" Target="https://www.xingtu.cn/ad/creator/author-homepage/douyin-video/7441551962656636937?market_track_id=9T58FEEOSH7RZ6RU7JP4&amp;search_session_id=7613652077218316339&amp;possessStarId" TargetMode="External" Id="rId207" /><Relationship Type="http://schemas.openxmlformats.org/officeDocument/2006/relationships/hyperlink" Target="https://www.douyin.com/user/MS4wLjABAAAAPawOZPInC7aNMiahiNWqSTvSU73vSPqIAAE7PmkJSZ2bnoyStZpgGe55ibre3Iyg" TargetMode="External" Id="rId208" /><Relationship Type="http://schemas.openxmlformats.org/officeDocument/2006/relationships/hyperlink" Target="https://www.xingtu.cn/ad/creator/author-homepage/douyin-video/7407996550481182746?market_track_id=9T58FEEOSH7RZ6RU7JP4&amp;search_session_id=7613651291757068297&amp;possessStarId" TargetMode="External" Id="rId209" /><Relationship Type="http://schemas.openxmlformats.org/officeDocument/2006/relationships/hyperlink" Target="https://www.douyin.com/user/MS4wLjABAAAA5ksjDSvoNDp0_Cj4lJK78sgBsNYya-gkhHfv_Gm9yHcIzZM9JoReSh8Nz1XIT309" TargetMode="External" Id="rId210" /><Relationship Type="http://schemas.openxmlformats.org/officeDocument/2006/relationships/hyperlink" Target="https://www.xingtu.cn/ad/creator/author-homepage/douyin-video/7339119448336531492?market_track_id=9T58FEEOSH7RZ6RU7JP4&amp;search_session_id=7613650056704557102&amp;possessStarId" TargetMode="External" Id="rId211" /><Relationship Type="http://schemas.openxmlformats.org/officeDocument/2006/relationships/hyperlink" Target="https://www.douyin.com/user/MS4wLjABAAAAwXO-GxaDXyS0WJlPfR6TenCQAaKb0fsq3h_PabCyISRjszxeVS_MYpDP9Z52J_9m" TargetMode="External" Id="rId212" /><Relationship Type="http://schemas.openxmlformats.org/officeDocument/2006/relationships/hyperlink" Target="https://www.xingtu.cn/ad/creator/author-homepage/douyin-video/7177294850537029670?market_track_id=G4M03VE5NZX91CG58L6U&amp;search_session_id=7613715835726888987&amp;possessStarId&amp;active_tab=content_performance&amp;active_module=.content-video-list-panel&amp;content_key_word=&#22823;&#24179;&#23618;" TargetMode="External" Id="rId213" /><Relationship Type="http://schemas.openxmlformats.org/officeDocument/2006/relationships/hyperlink" Target="https://www.douyin.com/user/MS4wLjABAAAAPbj87_5buxdwlFq2PRpq2Z916eeLK-obh6GTg6FFHEA" TargetMode="External" Id="rId214" /><Relationship Type="http://schemas.openxmlformats.org/officeDocument/2006/relationships/hyperlink" Target="https://www.xingtu.cn/ad/creator/author-homepage/douyin-video/7374012112449830963?market_track_id=SW5R02Z287BG97RJ9TP0&amp;search_session_id=7613708909291520009&amp;possessStarId" TargetMode="External" Id="rId215" /><Relationship Type="http://schemas.openxmlformats.org/officeDocument/2006/relationships/hyperlink" Target="https://www.douyin.com/user/MS4wLjABAAAAWhUtU86K-QcRWDv9sq_jLbAHWRckIXJ5YcHK7qI9pOQ" TargetMode="External" Id="rId216" /><Relationship Type="http://schemas.openxmlformats.org/officeDocument/2006/relationships/hyperlink" Target="https://www.xingtu.cn/ad/creator/author-homepage/douyin-video/6870161864530067464?market_track_id=SW5R02Z287BG97RJ9TP0&amp;search_session_id=7613707172631248922&amp;possessStarId" TargetMode="External" Id="rId217" /><Relationship Type="http://schemas.openxmlformats.org/officeDocument/2006/relationships/hyperlink" Target="https://www.douyin.com/user/MS4wLjABAAAA9s29W8yTEu9z0lw-htFiNE5EKgb5NFtFxHSJ-3PiV4k" TargetMode="External" Id="rId218" /><Relationship Type="http://schemas.openxmlformats.org/officeDocument/2006/relationships/hyperlink" Target="https://www.xingtu.cn/ad/creator/author-homepage/douyin-video/6973984670757158925?market_track_id=SW5R02Z287BG97RJ9TP0&amp;search_session_id=7613706512968204297&amp;possessStarId" TargetMode="External" Id="rId219" /><Relationship Type="http://schemas.openxmlformats.org/officeDocument/2006/relationships/hyperlink" Target="https://www.douyin.com/user/MS4wLjABAAAAeMH1t7OsIdxsAxGYLyESXFhnRoFWAc9idky8prQSN6U" TargetMode="External" Id="rId220" /><Relationship Type="http://schemas.openxmlformats.org/officeDocument/2006/relationships/hyperlink" Target="https://www.xingtu.cn/ad/creator/author-homepage/douyin-video/7081282575808856077?market_track_id=SW5R02Z287BG97RJ9TP0&amp;search_session_id=7613706512968204297&amp;possessStarId" TargetMode="External" Id="rId221" /><Relationship Type="http://schemas.openxmlformats.org/officeDocument/2006/relationships/hyperlink" Target="https://www.douyin.com/user/MS4wLjABAAAARm0fFK6Hcg4xhAZPIVpCIFlU9knYBEwU0nRhbYWpdJs" TargetMode="External" Id="rId222" /><Relationship Type="http://schemas.openxmlformats.org/officeDocument/2006/relationships/hyperlink" Target="https://www.xingtu.cn/ad/creator/author-homepage/douyin-video/6853190192438706190?market_track_id=78VR9JEBU8DD0YYMAQP6&amp;search_session_id=7613712134341574682&amp;possessStarId&amp;active_tab=content_performance&amp;active_module=.content-video-list-panel&amp;content_key_word=&#21035;&#22661;" TargetMode="External" Id="rId223" /><Relationship Type="http://schemas.openxmlformats.org/officeDocument/2006/relationships/hyperlink" Target="https://www.douyin.com/user/MS4wLjABAAAAOZRzvPyZglQrsM4OFoeoMBVti1C1pOPeca0FmVn6asI" TargetMode="External" Id="rId224" /><Relationship Type="http://schemas.openxmlformats.org/officeDocument/2006/relationships/hyperlink" Target="https://www.xingtu.cn/ad/creator/author-homepage/douyin-video/7352563615523831846?market_track_id=4BERLIU6SO8XHSXLC73B&amp;search_session_id=7613713015862558770&amp;possessStarId&amp;active_tab=content_performance&amp;active_module=.content-video-list-panel&amp;content_key_word=&#35946;&#21326;&#35013;&#20462;" TargetMode="External" Id="rId225" /><Relationship Type="http://schemas.openxmlformats.org/officeDocument/2006/relationships/hyperlink" Target="https://www.douyin.com/user/MS4wLjABAAAAgQVOa4WQ3cDk9Z3fGmEQMIKnZrLhfe-e3SXQwBHv8w9YpxR48MqGTTYvf-_NGLuI" TargetMode="External" Id="rId226" /><Relationship Type="http://schemas.openxmlformats.org/officeDocument/2006/relationships/hyperlink" Target="https://www.xingtu.cn/ad/creator/author-homepage/douyin-video/6985112676447813673?market_track_id=L6OVDUJQ4O614ZL9TH2Q&amp;search_session_id=7614030191970631707&amp;possessStarId" TargetMode="External" Id="rId227" /><Relationship Type="http://schemas.openxmlformats.org/officeDocument/2006/relationships/hyperlink" Target="https://www.douyin.com/user/MS4wLjABAAAAxY1B2wXgRFIM56Dgmq6l5LbbLyZkVzxrwerDc-nkWz8" TargetMode="External" Id="rId228" /><Relationship Type="http://schemas.openxmlformats.org/officeDocument/2006/relationships/hyperlink" Target="https://www.xingtu.cn/ad/creator/author-homepage/douyin-video/6986059745152991272?market_track_id=L6OVDUJQ4O614ZL9TH2Q&amp;search_session_id=7614028749639303218&amp;possessStarId" TargetMode="External" Id="rId229" /><Relationship Type="http://schemas.openxmlformats.org/officeDocument/2006/relationships/hyperlink" Target="https://www.douyin.com/user/MS4wLjABAAAA0IM_YtJKDo8tVLPsKWnHWVUSQjnHKgZpw0TRsqXB35GlzriFzcns96tjKKRr7WTI" TargetMode="External" Id="rId230" /><Relationship Type="http://schemas.openxmlformats.org/officeDocument/2006/relationships/hyperlink" Target="https://www.xingtu.cn/ad/creator/author-homepage/douyin-video/6676069661546643469?market_track_id=L6OVDUJQ4O614ZL9TH2Q&amp;search_session_id=7614028319940329481&amp;possessStarId" TargetMode="External" Id="rId231" /><Relationship Type="http://schemas.openxmlformats.org/officeDocument/2006/relationships/hyperlink" Target="https://www.douyin.com/user/MS4wLjABAAAAsIc5vRvWsrV1GaqH6o-SAbRJtC8nwg7lsnHhVZZgDxY" TargetMode="External" Id="rId232" /><Relationship Type="http://schemas.openxmlformats.org/officeDocument/2006/relationships/hyperlink" Target="https://www.xingtu.cn/ad/creator/author-homepage/douyin-video/6870170372180803598?market_track_id=L6OVDUJQ4O614ZL9TH2Q&amp;search_session_id=7614027246912929802&amp;possessStarId" TargetMode="External" Id="rId233" /><Relationship Type="http://schemas.openxmlformats.org/officeDocument/2006/relationships/hyperlink" Target="https://www.douyin.com/user/MS4wLjABAAAAm3V44lWQilTjDS47oNpamPBHH8ZcVDsGzaa3fpHU6-W2RUK6fUc4ZNwi7FGgtBch" TargetMode="External" Id="rId234" /><Relationship Type="http://schemas.openxmlformats.org/officeDocument/2006/relationships/hyperlink" Target="https://www.xingtu.cn/ad/creator/author-homepage/douyin-video/7178384753874173987?market_track_id=WQYDLK95ZIKAMRQ6Y2QU&amp;search_session_id=7614026091378180146&amp;possessStarId" TargetMode="External" Id="rId235" /><Relationship Type="http://schemas.openxmlformats.org/officeDocument/2006/relationships/hyperlink" Target="https://www.douyin.com/user/MS4wLjABAAAAGkPRwD17lxAwIwfU_cS_ZCFQDp3onlv7Vt4oWuF3UhNS0eRgdJMLDUx_2-BynGRj" TargetMode="External" Id="rId236" /><Relationship Type="http://schemas.openxmlformats.org/officeDocument/2006/relationships/hyperlink" Target="https://www.xingtu.cn/ad/creator/author-homepage/douyin-video/6870161635978248200?market_track_id=WQYDLK95ZIKAMRQ6Y2QU&amp;search_session_id=7614026091378180146&amp;possessStarId" TargetMode="External" Id="rId237" /><Relationship Type="http://schemas.openxmlformats.org/officeDocument/2006/relationships/hyperlink" Target="https://www.douyin.com/user/MS4wLjABAAAAqvZxAHFLfL78cSnQE4ryO2MVRIV7Js0d30t7HrghwW8" TargetMode="External" Id="rId238" /><Relationship Type="http://schemas.openxmlformats.org/officeDocument/2006/relationships/hyperlink" Target="https://www.xingtu.cn/ad/creator/author-homepage/douyin-video/7508697881956581426?market_track_id=3YU55T6DF8CQHN5XHUD0&amp;search_session_id=7614018373919326259&amp;possessStarId" TargetMode="External" Id="rId239" /><Relationship Type="http://schemas.openxmlformats.org/officeDocument/2006/relationships/hyperlink" Target="https://www.douyin.com/user/MS4wLjABAAAAV0cJA1agqmxtM2EzsVN1cftQhT-e7OmmA7mldgm76ZE" TargetMode="External" Id="rId240" /><Relationship Type="http://schemas.openxmlformats.org/officeDocument/2006/relationships/hyperlink" Target="https://www.xingtu.cn/ad/creator/author-homepage/douyin-video/7477844741715918857?market_track_id=PINW6WI6KSBUMZJ76TDD&amp;search_session_id=7614018057254125595&amp;possessStarId" TargetMode="External" Id="rId241" /><Relationship Type="http://schemas.openxmlformats.org/officeDocument/2006/relationships/hyperlink" Target="https://www.douyin.com/user/MS4wLjABAAAApxtSK4SUdrPKkhZOD0OonucazNqEnp5UVxkT6_2JY80" TargetMode="External" Id="rId242" /><Relationship Type="http://schemas.openxmlformats.org/officeDocument/2006/relationships/hyperlink" Target="https://www.xingtu.cn/ad/creator/author-homepage/douyin-video/6724813695026724872?market_track_id=JKO9S71X89B2JTGHM2WK&amp;search_session_id=7614017373054173230&amp;possessStarId" TargetMode="External" Id="rId243" /><Relationship Type="http://schemas.openxmlformats.org/officeDocument/2006/relationships/hyperlink" Target="https://www.douyin.com/user/MS4wLjABAAAAOGUuJYH1ZGSzKalWWD7o9jvgV2MEJAL-KrZxEHEbtRKBkaFMI7fw1UIGZC98-3c8" TargetMode="External" Id="rId244" /><Relationship Type="http://schemas.openxmlformats.org/officeDocument/2006/relationships/hyperlink" Target="https://www.xingtu.cn/ad/creator/author-homepage/douyin-video/6802523335012909069?market_track_id=EYBQHQN99X2O5Q0DSX1Q&amp;search_session_id=7614014387368149030&amp;possessStarId" TargetMode="External" Id="rId245" /><Relationship Type="http://schemas.openxmlformats.org/officeDocument/2006/relationships/hyperlink" Target="https://www.douyin.com/user/MS4wLjABAAAAISjmopPTsqgdmoF2_63yBDkUBB5dl1JxIS4veijKvu8lHpIfoe697n4IHzQiiL1h" TargetMode="External" Id="rId246" /><Relationship Type="http://schemas.openxmlformats.org/officeDocument/2006/relationships/hyperlink" Target="https://www.xingtu.cn/ad/creator/author-homepage/douyin-video/7084154934194602015?market_track_id=7P11BU0QH3JUILEBBP4A&amp;search_session_id=7614057364714962953&amp;possessStarId" TargetMode="External" Id="rId247" /><Relationship Type="http://schemas.openxmlformats.org/officeDocument/2006/relationships/hyperlink" Target="https://www.douyin.com/user/MS4wLjABAAAAePAjINl-WhZkoYb5XTGudH1ixmQmSu6TEJVq4rSlg52ZHnq4AqamylK0xaEe89My" TargetMode="External" Id="rId248" /><Relationship Type="http://schemas.openxmlformats.org/officeDocument/2006/relationships/hyperlink" Target="https://www.xingtu.cn/ad/creator/author-homepage/douyin-video/7270897124420616248?market_track_id=7P11BU0QH3JUILEBBP4A&amp;search_session_id=7614054949244190758&amp;possessStarId" TargetMode="External" Id="rId249" /><Relationship Type="http://schemas.openxmlformats.org/officeDocument/2006/relationships/hyperlink" Target="https://www.douyin.com/user/MS4wLjABAAAAg8Mg_d7hgLjyA9uAtaqiTvttWPKZ5yWHuoIODMrmP44HvVKzkPwWZqK19nFJ1WeF" TargetMode="External" Id="rId250" /><Relationship Type="http://schemas.openxmlformats.org/officeDocument/2006/relationships/hyperlink" Target="https://www.xingtu.cn/ad/creator/author-homepage/douyin-video/7033380756344799245?market_track_id=LJEBFSAIHN7BCR7ZI2HV&amp;search_session_id=7614051618291892275&amp;possessStarId&amp;active_tab=content_performance&amp;active_module=.content-video-list-panel&amp;content_key_word=&#35199;&#38376;&#23376;&#27927;&#30871;&#26426;" TargetMode="External" Id="rId251" /><Relationship Type="http://schemas.openxmlformats.org/officeDocument/2006/relationships/hyperlink" Target="https://www.douyin.com/user/MS4wLjABAAAAMIow4IidM8LpJKIPiUQWPenIKujwU5tQSVJs425VcmG8XHQLBhZv1rhMqaoa2HHD" TargetMode="External" Id="rId252" /><Relationship Type="http://schemas.openxmlformats.org/officeDocument/2006/relationships/hyperlink" Target="https://www.xingtu.cn/ad/creator/author-homepage/douyin-video/7328292040884617243?market_track_id=LJEBFSAIHN7BCR7ZI2HV&amp;search_session_id=7614051246857158682&amp;possessStarId&amp;active_tab=content_performance&amp;active_module=.content-video-list-panel&amp;content_key_word=&#35199;&#38376;&#23376;&#27927;&#30871;&#26426;" TargetMode="External" Id="rId253" /><Relationship Type="http://schemas.openxmlformats.org/officeDocument/2006/relationships/hyperlink" Target="https://www.douyin.com/user/MS4wLjABAAAAhXJSKlSxBE7TmZ82DXRrnqZEry4CIY91uzCvy2ndLOs" TargetMode="External" Id="rId254" /><Relationship Type="http://schemas.openxmlformats.org/officeDocument/2006/relationships/hyperlink" Target="https://www.xingtu.cn/ad/creator/author-homepage/douyin-video/7049972731298709518?market_track_id=JWHCKSQATMGCFTWYYRMO&amp;search_session_id=7614050235639300105&amp;possessStarId&amp;active_tab=content_performance&amp;active_module=.content-video-list-panel&amp;content_key_word=&#35199;&#38376;&#23376;&#27927;&#30871;&#26426;" TargetMode="External" Id="rId255" /><Relationship Type="http://schemas.openxmlformats.org/officeDocument/2006/relationships/hyperlink" Target="https://www.douyin.com/user/MS4wLjABAAAAHL128hJOpcnMRU7OtD11aNRgmrPm2_zqIGng1cGE3kQ" TargetMode="External" Id="rId256" /><Relationship Type="http://schemas.openxmlformats.org/officeDocument/2006/relationships/hyperlink" Target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&#27927;&#30871;&#26426;" TargetMode="External" Id="rId257" /><Relationship Type="http://schemas.openxmlformats.org/officeDocument/2006/relationships/hyperlink" Target="https://www.douyin.com/user/MS4wLjABAAAA7slDjZsDDFxXoscBEUG2oZSUhl0f8x-RhBd5rK2YchuwBEDJD-fXQrisE7VCeOrJ" TargetMode="External" Id="rId258" /><Relationship Type="http://schemas.openxmlformats.org/officeDocument/2006/relationships/hyperlink" Target="https://www.xingtu.cn/ad/creator/author-homepage/douyin-video/6904928031547064335?market_track_id=NHDHIZHMWY3LDTI1FTJQ&amp;search_session_id=7614064463817539610&amp;possessStarId" TargetMode="External" Id="rId259" /><Relationship Type="http://schemas.openxmlformats.org/officeDocument/2006/relationships/hyperlink" Target="https://www.douyin.com/user/MS4wLjABAAAA4BllNusuuP22r0wVxSBWvVleCtUAvfEKlWx_vHMFjP8" TargetMode="External" Id="rId260" /><Relationship Type="http://schemas.openxmlformats.org/officeDocument/2006/relationships/hyperlink" Target="https://www.xingtu.cn/ad/creator/author-homepage/douyin-video/7147705319940948005?market_track_id=L60CDC3Z3L2F86KHGUO5&amp;search_session_id=7615128024560467977&amp;possessStarId" TargetMode="External" Id="rId261" /><Relationship Type="http://schemas.openxmlformats.org/officeDocument/2006/relationships/hyperlink" Target="https://www.douyin.com/user/MS4wLjABAAAA8VE5ljHzd8prz-FqC6920tEcl7HSI3b_ihPQol808HQ7nA-f6RDwkeZ3Mm8jMp3Y" TargetMode="External" Id="rId262" /><Relationship Type="http://schemas.openxmlformats.org/officeDocument/2006/relationships/hyperlink" Target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&#27927;&#30871;&#26426;" TargetMode="External" Id="rId263" /><Relationship Type="http://schemas.openxmlformats.org/officeDocument/2006/relationships/hyperlink" Target="https://www.douyin.com/user/MS4wLjABAAAA0BIOqMlFvRjsOveQoVO6Wq1DaOgs2LMB-wAXHRZeIIg" TargetMode="External" Id="rId264" /><Relationship Type="http://schemas.openxmlformats.org/officeDocument/2006/relationships/hyperlink" Target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&#27927;&#30871;&#26426;" TargetMode="External" Id="rId265" /><Relationship Type="http://schemas.openxmlformats.org/officeDocument/2006/relationships/hyperlink" Target="https://www.douyin.com/user/MS4wLjABAAAAi0Z66aFzn6W5NeNnoo3rJeN1JxHSs4ltPgW616-pL2Bv1fTfgd_AdyyBauGPe1xm" TargetMode="External" Id="rId266" /><Relationship Type="http://schemas.openxmlformats.org/officeDocument/2006/relationships/hyperlink" Target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&#27927;&#30871;&#26426;" TargetMode="External" Id="rId267" /><Relationship Type="http://schemas.openxmlformats.org/officeDocument/2006/relationships/hyperlink" Target="https://www.douyin.com/user/MS4wLjABAAAAc5kxst574ZOPmOCPOBZeuzPkfjqvCtEGcCL3rqLzrQI" TargetMode="External" Id="rId268" /><Relationship Type="http://schemas.openxmlformats.org/officeDocument/2006/relationships/hyperlink" Target="https://www.xingtu.cn/ad/creator/author-homepage/douyin-video/7274104585919135805?market_track_id=3G380J2URG4I92KTFQXH&amp;search_session_id=7615134247246250035&amp;possessStarId&amp;active_tab=content_performance&amp;active_module=.content-video-list-panel&amp;content_key_word=&#27927;&#30871;&#26426;" TargetMode="External" Id="rId269" /><Relationship Type="http://schemas.openxmlformats.org/officeDocument/2006/relationships/hyperlink" Target="https://www.douyin.com/user/MS4wLjABAAAABgjOPrLlY-rDPOX15I-GpgkzLdaFVd0auTxVmBqf29Lxklz11zM18PoftzsNHtTn" TargetMode="External" Id="rId270" /><Relationship Type="http://schemas.openxmlformats.org/officeDocument/2006/relationships/hyperlink" Target="https://www.xingtu.cn/ad/creator/author-homepage/douyin-video/6724813695026724872?market_track_id=3G380J2URG4I92KTFQXH&amp;search_session_id=7615134758137266202&amp;possessStarId&amp;active_tab=content_performance&amp;active_module=.content-video-list-panel&amp;content_key_word=&#27927;&#30871;&#26426;" TargetMode="External" Id="rId271" /><Relationship Type="http://schemas.openxmlformats.org/officeDocument/2006/relationships/hyperlink" Target="https://www.douyin.com/user/MS4wLjABAAAAOGUuJYH1ZGSzKalWWD7o9jvgV2MEJAL-KrZxEHEbtRKBkaFMI7fw1UIGZC98-3c8" TargetMode="External" Id="rId272" /><Relationship Type="http://schemas.openxmlformats.org/officeDocument/2006/relationships/hyperlink" Target="https://www.xingtu.cn/ad/creator/author-homepage/douyin-video/6618402488544395278?market_track_id=3G380J2URG4I92KTFQXH&amp;search_session_id=7615135036824371209&amp;possessStarId&amp;active_tab=content_performance&amp;active_module=.content-video-list-panel&amp;content_key_word=&#27927;&#30871;&#26426;" TargetMode="External" Id="rId273" /><Relationship Type="http://schemas.openxmlformats.org/officeDocument/2006/relationships/hyperlink" Target="https://www.douyin.com/user/MS4wLjABAAAAeRGufrbIlWfmqnnoR5HoFOQJRxKw23wrXHvOSjmNg9Q" TargetMode="External" Id="rId274" /><Relationship Type="http://schemas.openxmlformats.org/officeDocument/2006/relationships/hyperlink" Target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&#27927;&#30871;&#26426;" TargetMode="External" Id="rId275" /><Relationship Type="http://schemas.openxmlformats.org/officeDocument/2006/relationships/hyperlink" Target="https://www.douyin.com/user/MS4wLjABAAAAP0p19DKAPCeDWTBGWDVpHAsjIRQIlDl3ehczZGtLdZQ" TargetMode="External" Id="rId276" /><Relationship Type="http://schemas.openxmlformats.org/officeDocument/2006/relationships/hyperlink" Target="https://www.xingtu.cn/ad/creator/author-homepage/douyin-video/7540150952368537651?market_track_id=3G380J2URG4I92KTFQXH&amp;search_session_id=7615135518170447922&amp;possessStarId&amp;active_tab=content_performance&amp;active_module=.content-video-list-panel&amp;content_key_word=&#27927;&#30871;&#26426;" TargetMode="External" Id="rId277" /><Relationship Type="http://schemas.openxmlformats.org/officeDocument/2006/relationships/hyperlink" Target="https://www.douyin.com/user/MS4wLjABAAAAFQuoZ6RhUp0SnW8l1TEAokkGRgm5yh6xVQUd45wq8xciJ85WZUjDjLMtE5Z_4JF2" TargetMode="External" Id="rId278" /><Relationship Type="http://schemas.openxmlformats.org/officeDocument/2006/relationships/hyperlink" Target="https://www.xingtu.cn/ad/creator/author-homepage/douyin-video/7169851446777610248?market_track_id=3G380J2URG4I92KTFQXH&amp;search_session_id=7615135518170447922&amp;possessStarId&amp;active_tab=content_performance&amp;active_module=.content-video-list-panel&amp;content_key_word=&#27927;&#30871;&#26426;" TargetMode="External" Id="rId279" /><Relationship Type="http://schemas.openxmlformats.org/officeDocument/2006/relationships/hyperlink" Target="https://www.douyin.com/user/MS4wLjABAAAAtYkjMp_gk7RQq3D7tBkQs1LkPOJ6LcHYP5CXYCShZ3BM8-uq-ziaILKFiqLN5MoC" TargetMode="External" Id="rId280" /><Relationship Type="http://schemas.openxmlformats.org/officeDocument/2006/relationships/hyperlink" Target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&#27927;&#30871;&#26426;" TargetMode="External" Id="rId281" /><Relationship Type="http://schemas.openxmlformats.org/officeDocument/2006/relationships/hyperlink" Target="https://www.douyin.com/user/MS4wLjABAAAAqKockBn2sLlJTihnGBvV706p95ACOWq5a8RoXBHe4dY" TargetMode="External" Id="rId282" /><Relationship Type="http://schemas.openxmlformats.org/officeDocument/2006/relationships/hyperlink" Target="https://www.xingtu.cn/ad/creator/author-homepage/douyin-video/7307651283161186342?market_track_id=3G380J2URG4I92KTFQXH&amp;search_session_id=7615136157550723122&amp;possessStarId&amp;active_tab=content_performance&amp;active_module=.content-video-list-panel&amp;content_key_word=&#27927;&#30871;&#26426;" TargetMode="External" Id="rId283" /><Relationship Type="http://schemas.openxmlformats.org/officeDocument/2006/relationships/hyperlink" Target="https://www.douyin.com/user/MS4wLjABAAAAreB1EtCOEXZMDmoPqhDLAj0tu90QYDxBvSQiaskMwNnLVgKhMKxy_zDxCVC1k4XN" TargetMode="External" Id="rId284" /><Relationship Type="http://schemas.openxmlformats.org/officeDocument/2006/relationships/hyperlink" Target="https://www.xingtu.cn/ad/creator/author-homepage/douyin-video/7026223442739331108?market_track_id=3G380J2URG4I92KTFQXH&amp;search_session_id=7615136157550723122&amp;possessStarId&amp;active_tab=content_performance&amp;active_module=.content-video-list-panel&amp;content_key_word=&#27927;&#30871;&#26426;" TargetMode="External" Id="rId285" /><Relationship Type="http://schemas.openxmlformats.org/officeDocument/2006/relationships/hyperlink" Target="https://www.douyin.com/user/MS4wLjABAAAAvgt-N8kKGM10j6tquouBiy5QIQ81POIJKwq-U2rwPiWs4RkXsgHtou7t9jNSwmMb" TargetMode="External" Id="rId286" /><Relationship Type="http://schemas.openxmlformats.org/officeDocument/2006/relationships/hyperlink" Target="https://www.xingtu.cn/ad/creator/author-homepage/douyin-video/6906929328903159821?market_track_id=3G380J2URG4I92KTFQXH&amp;search_session_id=7615136157550723122&amp;possessStarId&amp;active_tab=content_performance&amp;active_module=.content-video-list-panel&amp;content_key_word=&#27927;&#30871;&#26426;" TargetMode="External" Id="rId287" /><Relationship Type="http://schemas.openxmlformats.org/officeDocument/2006/relationships/hyperlink" Target="https://www.douyin.com/user/MS4wLjABAAAA57X26jieEwRnyDdFjl9Cx8mY_hSVPTdepH-jt6KyrPZEp8UtnJa9_Rd8GM43Mq_W" TargetMode="External" Id="rId288" /><Relationship Type="http://schemas.openxmlformats.org/officeDocument/2006/relationships/hyperlink" Target="https://www.xingtu.cn/ad/creator/author-homepage/douyin-video/7347537372684222483?market_track_id=3G380J2URG4I92KTFQXH&amp;search_session_id=7615136758170828850&amp;possessStarId&amp;active_tab=content_performance&amp;active_module=.content-video-list-panel&amp;content_key_word=&#27927;&#30871;&#26426;" TargetMode="External" Id="rId289" /><Relationship Type="http://schemas.openxmlformats.org/officeDocument/2006/relationships/hyperlink" Target="https://www.douyin.com/user/MS4wLjABAAAARK2WtnWl7uvpQvtKMTP7i9hhf5Wk3bmUJa8GzRWdMD4" TargetMode="External" Id="rId290" /><Relationship Type="http://schemas.openxmlformats.org/officeDocument/2006/relationships/hyperlink" Target="https://www.xingtu.cn/ad/creator/author-homepage/douyin-video/7089045907315884069?market_track_id=77K7OT6KHM36OOHV8ROB&amp;search_session_id=7615137695518113843&amp;possessStarId&amp;active_tab=content_performance&amp;active_module=.content-video-list-panel&amp;content_key_word=&#27833;&#28895;&#26426;" TargetMode="External" Id="rId291" /><Relationship Type="http://schemas.openxmlformats.org/officeDocument/2006/relationships/hyperlink" Target="https://www.douyin.com/user/MS4wLjABAAAAT2z44py_T_Mt3x9PkvF0ZHYyU6R1DlLcYBTLgA6GkPe-gC17FlYvmt40XMV7EDHz" TargetMode="External" Id="rId292" /><Relationship Type="http://schemas.openxmlformats.org/officeDocument/2006/relationships/hyperlink" Target="https://www.xingtu.cn/ad/creator/author-homepage/douyin-video/7165647277933985825?market_track_id=77K7OT6KHM36OOHV8ROB&amp;search_session_id=7615139118062092298&amp;possessStarId&amp;active_tab=content_performance&amp;active_module=.content-video-list-panel&amp;content_key_word=&#27833;&#28895;&#26426;" TargetMode="External" Id="rId293" /><Relationship Type="http://schemas.openxmlformats.org/officeDocument/2006/relationships/hyperlink" Target="https://www.douyin.com/user/MS4wLjABAAAACtgEdFXImTysoKNBtymQvAFIpFUR1girZ-l6HWP7_JaZeR8_4AoYkHtonTFqCcYx" TargetMode="External" Id="rId294" /><Relationship Type="http://schemas.openxmlformats.org/officeDocument/2006/relationships/hyperlink" Target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&#27833;&#28895;&#26426;" TargetMode="External" Id="rId295" /><Relationship Type="http://schemas.openxmlformats.org/officeDocument/2006/relationships/hyperlink" Target="https://www.douyin.com/user/MS4wLjABAAAArUV5HctAWlnVc-augz__U2D--90a2UMmw9oiziP91Fw" TargetMode="External" Id="rId296" /><Relationship Type="http://schemas.openxmlformats.org/officeDocument/2006/relationships/hyperlink" Target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&#27833;&#28895;&#26426;" TargetMode="External" Id="rId297" /><Relationship Type="http://schemas.openxmlformats.org/officeDocument/2006/relationships/hyperlink" Target="https://www.douyin.com/user/MS4wLjABAAAAiN15qBuxq9JWH-8-zX4vmzMSSPoRvRUcOQze7Z3ORzs" TargetMode="External" Id="rId298" /><Relationship Type="http://schemas.openxmlformats.org/officeDocument/2006/relationships/hyperlink" Target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&#27833;&#28895;&#26426;" TargetMode="External" Id="rId299" /><Relationship Type="http://schemas.openxmlformats.org/officeDocument/2006/relationships/hyperlink" Target="https://www.douyin.com/user/MS4wLjABAAAAw62OndX7mTNjejKQRh6SQYU_9TjuHI_GsCqDZCEiz9c" TargetMode="External" Id="rId300" /><Relationship Type="http://schemas.openxmlformats.org/officeDocument/2006/relationships/hyperlink" Target="https://www.xingtu.cn/ad/creator/author-homepage/douyin-video/7215526602636001283?market_track_id=2HPQ3HRNLPZF3O2NNCPK&amp;search_session_id=7615456741454544923&amp;possessStarId" TargetMode="External" Id="rId301" /><Relationship Type="http://schemas.openxmlformats.org/officeDocument/2006/relationships/hyperlink" Target="https://www.douyin.com/user/MS4wLjABAAAAvLnzMrcSjaXfkhP2RsN54q3z2FdcxAf-CCFnJ9PrfMM" TargetMode="External" Id="rId302" /><Relationship Type="http://schemas.openxmlformats.org/officeDocument/2006/relationships/hyperlink" Target="https://www.xingtu.cn/ad/creator/author-homepage/douyin-video/6998453239444144141?market_track_id=2HPQ3HRNLPZF3O2NNCPK&amp;search_session_id=7615457725783031846&amp;possessStarId" TargetMode="External" Id="rId303" /><Relationship Type="http://schemas.openxmlformats.org/officeDocument/2006/relationships/hyperlink" Target="https://www.douyin.com/user/MS4wLjABAAAAxDMwGMy1oT3v6eKuMUTM4VvK7NUngdr1aCUmI6-42MA" TargetMode="External" Id="rId304" /><Relationship Type="http://schemas.openxmlformats.org/officeDocument/2006/relationships/hyperlink" Target="https://www.xingtu.cn/ad/creator/author-homepage/douyin-video/6629666241705410573?market_track_id=84IXJ55RHDHQ8YK07AR1&amp;search_session_id=7615523856413081609&amp;possessStarId&amp;active_tab=content_performance&amp;active_module=.content-video-list-panel&amp;content_key_word=&#27833;&#28895;&#26426;" TargetMode="External" Id="rId305" /><Relationship Type="http://schemas.openxmlformats.org/officeDocument/2006/relationships/hyperlink" Target="https://www.douyin.com/user/MS4wLjABAAAArUV5HctAWlnVc-augz__U2D--90a2UMmw9oiziP91Fw" TargetMode="External" Id="rId306" /><Relationship Type="http://schemas.openxmlformats.org/officeDocument/2006/relationships/hyperlink" Target="https://www.xingtu.cn/ad/creator/author-homepage/douyin-video/6865243178899865613?market_track_id=2HPQ3HRNLPZF3O2NNCPK&amp;search_session_id=7615457725783031846&amp;possessStarId" TargetMode="External" Id="rId307" /><Relationship Type="http://schemas.openxmlformats.org/officeDocument/2006/relationships/hyperlink" Target="https://www.douyin.com/user/MS4wLjABAAAAf_goQR48e315TNYn713YZygAzYX2u8HbrZqKl0J9wJY" TargetMode="External" Id="rId308" /><Relationship Type="http://schemas.openxmlformats.org/officeDocument/2006/relationships/hyperlink" Target="https://www.xingtu.cn/ad/creator/author-homepage/douyin-video/7284525791256412216?market_track_id=2HPQ3HRNLPZF3O2NNCPK&amp;search_session_id=7615457725783031846&amp;possessStarId" TargetMode="External" Id="rId309" /><Relationship Type="http://schemas.openxmlformats.org/officeDocument/2006/relationships/hyperlink" Target="https://www.douyin.com/user/MS4wLjABAAAAE02CEEZR-G8X-daREUFZiMOepruk8UmM1XuGjYLEm1Iq_aUvDbhnHG8wsz-x5kYZ" TargetMode="External" Id="rId310" /><Relationship Type="http://schemas.openxmlformats.org/officeDocument/2006/relationships/hyperlink" Target="https://www.xingtu.cn/ad/creator/author-homepage/douyin-video/6870170334209769479?market_track_id=2HPQ3HRNLPZF3O2NNCPK&amp;search_session_id=7615457725783031846&amp;possessStarId" TargetMode="External" Id="rId311" /><Relationship Type="http://schemas.openxmlformats.org/officeDocument/2006/relationships/hyperlink" Target="https://www.douyin.com/user/MS4wLjABAAAAsvKZAG9tg8xDWUM7kYrWLBjCK9xzFPoY5mHwGl2nd4Na-EHLIOqis9AKbu5RITbY" TargetMode="External" Id="rId312" /><Relationship Type="http://schemas.openxmlformats.org/officeDocument/2006/relationships/hyperlink" Target="https://www.xingtu.cn/ad/creator/author-homepage/douyin-video/7426413901488586762?market_track_id=7XTIV3268V2E8E5IT2EH&amp;search_session_id=7615462866862456883&amp;possessStarId" TargetMode="External" Id="rId313" /><Relationship Type="http://schemas.openxmlformats.org/officeDocument/2006/relationships/hyperlink" Target="https://www.douyin.com/user/MS4wLjABAAAA5ieCblRPwqy05p0W7-LUJsdt7jAFeDvq7__8Q6vLnW_TL-Vt3BjQ8lbCn6xwVik9" TargetMode="External" Id="rId314" /><Relationship Type="http://schemas.openxmlformats.org/officeDocument/2006/relationships/hyperlink" Target="https://www.xingtu.cn/ad/creator/author-homepage/douyin-video/6870163502879735815?market_track_id=7XTIV3268V2E8E5IT2EH&amp;search_session_id=7615463195943927858&amp;possessStarId" TargetMode="External" Id="rId315" /><Relationship Type="http://schemas.openxmlformats.org/officeDocument/2006/relationships/hyperlink" Target="https://www.douyin.com/user/MS4wLjABAAAATWFDIem4wHJK5WvRisrwahjXdK1bD_lsJ6ptOhWcZ24" TargetMode="External" Id="rId316" /><Relationship Type="http://schemas.openxmlformats.org/officeDocument/2006/relationships/hyperlink" Target="https://www.xingtu.cn/ad/creator/insight/hot-video-detail/7549408530558700810" TargetMode="External" Id="rId317" /><Relationship Type="http://schemas.openxmlformats.org/officeDocument/2006/relationships/hyperlink" Target="https://www.xingtu.cn/ad/creator/author-homepage/douyin-video/6852091331976626183?market_track_id=7XTIV3268V2E8E5IT2EH&amp;search_session_id=7615463195943927858&amp;possessStarId" TargetMode="External" Id="rId318" /><Relationship Type="http://schemas.openxmlformats.org/officeDocument/2006/relationships/hyperlink" Target="https://www.douyin.com/user/MS4wLjABAAAAppOS4DJ7fr7JBzuEkyD4Eb71j0RvJi2pzQ1RA8i0YUU" TargetMode="External" Id="rId319" /><Relationship Type="http://schemas.openxmlformats.org/officeDocument/2006/relationships/hyperlink" Target="https://www.xingtu.cn/ad/creator/author-homepage/douyin-video/7097903661300318212?market_track_id=7XTIV3268V2E8E5IT2EH&amp;search_session_id=7615464980443709490&amp;possessStarId" TargetMode="External" Id="rId320" /><Relationship Type="http://schemas.openxmlformats.org/officeDocument/2006/relationships/hyperlink" Target="https://www.douyin.com/user/MS4wLjABAAAAMOQYHIeQaSBfkKGYK3HinNMCCD-5F2wBfonYPYtOGv9Qf-dT6Hcc8hFbwGFUUJ_3" TargetMode="External" Id="rId321" /><Relationship Type="http://schemas.openxmlformats.org/officeDocument/2006/relationships/hyperlink" Target="https://www.xingtu.cn/ad/creator/author-homepage/douyin-video/7345359121169776650?market_track_id=7XTIV3268V2E8E5IT2EH&amp;search_session_id=7615464980443709490&amp;possessStarId" TargetMode="External" Id="rId322" /><Relationship Type="http://schemas.openxmlformats.org/officeDocument/2006/relationships/hyperlink" Target="https://www.douyin.com/user/MS4wLjABAAAAoZrfiAPRqnQsecoH9wT6_ghGAHI6xrCobmimGNFnCfyKylgFh9SW4GD3EYEn_r1p" TargetMode="External" Id="rId323" /><Relationship Type="http://schemas.openxmlformats.org/officeDocument/2006/relationships/hyperlink" Target="https://www.xingtu.cn/ad/creator/insight/hot-video-detail/7603636629379073194" TargetMode="External" Id="rId324" /><Relationship Type="http://schemas.openxmlformats.org/officeDocument/2006/relationships/hyperlink" Target="https://www.xingtu.cn/ad/creator/author-homepage/douyin-video/7156104742790234124?market_track_id=7XTIV3268V2E8E5IT2EH&amp;search_session_id=7615465608784199706&amp;possessStarId" TargetMode="External" Id="rId325" /><Relationship Type="http://schemas.openxmlformats.org/officeDocument/2006/relationships/hyperlink" Target="https://www.douyin.com/user/MS4wLjABAAAAoErf_F985MsYLuH6bzMVoMC8Hzuo-7cMx-IW5GHv-XU" TargetMode="External" Id="rId326" /><Relationship Type="http://schemas.openxmlformats.org/officeDocument/2006/relationships/hyperlink" Target="https://www.xingtu.cn/ad/creator/author-homepage/douyin-video/7411126425756893221?market_track_id=JHTNBEGQO60RJNOU4K0V&amp;search_session_id=7612611836790308873&amp;possessStarId" TargetMode="External" Id="rId327" /><Relationship Type="http://schemas.openxmlformats.org/officeDocument/2006/relationships/hyperlink" Target="https://www.douyin.com/user/MS4wLjABAAAARUypKahedhA7ZUKq8lGwB7JlQ6dWkAaafyXnU9MdhTgLGC5w0AW2ZKnxtVsg5nZw" TargetMode="External" Id="rId328" /><Relationship Type="http://schemas.openxmlformats.org/officeDocument/2006/relationships/hyperlink" Target="https://www.xingtu.cn/ad/creator/author-homepage/douyin-video/7055226032839884807?market_track_id=7XTIV3268V2E8E5IT2EH&amp;search_session_id=7615466233768443954&amp;possessStarId" TargetMode="External" Id="rId329" /><Relationship Type="http://schemas.openxmlformats.org/officeDocument/2006/relationships/hyperlink" Target="https://www.douyin.com/user/MS4wLjABAAAAsySP850WwppMDK6QAq7ZCuhOhbUYsRLYn0GqD63aYk4" TargetMode="External" Id="rId330" /><Relationship Type="http://schemas.openxmlformats.org/officeDocument/2006/relationships/hyperlink" Target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&#27833;&#28895;&#26426;" TargetMode="External" Id="rId331" /><Relationship Type="http://schemas.openxmlformats.org/officeDocument/2006/relationships/hyperlink" Target="https://www.douyin.com/user/MS4wLjABAAAAfYU-pzQ1R1LkhnEswzQeTah8XvAze2T-j9gmANn6w2E" TargetMode="External" Id="rId332" /><Relationship Type="http://schemas.openxmlformats.org/officeDocument/2006/relationships/hyperlink" Target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&#27833;&#28895;&#26426;" TargetMode="External" Id="rId333" /><Relationship Type="http://schemas.openxmlformats.org/officeDocument/2006/relationships/hyperlink" Target="https://www.douyin.com/user/MS4wLjABAAAA3qWxZw2BoHAJqcOlbTuiy9r6cAA4wtPJFmDXbEtp9mM" TargetMode="External" Id="rId334" /><Relationship Type="http://schemas.openxmlformats.org/officeDocument/2006/relationships/hyperlink" Target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&#27833;&#28895;&#26426;" TargetMode="External" Id="rId335" /><Relationship Type="http://schemas.openxmlformats.org/officeDocument/2006/relationships/hyperlink" Target="https://www.douyin.com/user/MS4wLjABAAAAGUA3s_FZOLUkQcZEn-t4I4BGQq7NKOfX2BkK-V-jbU0" TargetMode="External" Id="rId336" /><Relationship Type="http://schemas.openxmlformats.org/officeDocument/2006/relationships/hyperlink" Target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&#27833;&#28895;&#26426;" TargetMode="External" Id="rId337" /><Relationship Type="http://schemas.openxmlformats.org/officeDocument/2006/relationships/hyperlink" Target="https://www.douyin.com/user/MS4wLjABAAAAi5ESFdeQq1Lfu3IoL8O7RDD3wDBZrPzLm22BbHC_PyE" TargetMode="External" Id="rId338" /><Relationship Type="http://schemas.openxmlformats.org/officeDocument/2006/relationships/hyperlink" Target="https://www.xingtu.cn/ad/creator/author-homepage/douyin-video/6676069661546643469?market_track_id=7XTIV3268V2E8E5IT2EH&amp;search_session_id=7615463597411090470&amp;possessStarId" TargetMode="External" Id="rId339" /><Relationship Type="http://schemas.openxmlformats.org/officeDocument/2006/relationships/hyperlink" Target="https://www.douyin.com/user/MS4wLjABAAAAsIc5vRvWsrV1GaqH6o-SAbRJtC8nwg7lsnHhVZZgDxY" TargetMode="External" Id="rId340" /><Relationship Type="http://schemas.openxmlformats.org/officeDocument/2006/relationships/hyperlink" Target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&#27833;&#28895;&#26426;" TargetMode="External" Id="rId341" /><Relationship Type="http://schemas.openxmlformats.org/officeDocument/2006/relationships/hyperlink" Target="https://www.douyin.com/user/MS4wLjABAAAAM4M_uFNMnF9oxKUijqSgLnZwdSfbwLLszK-PJtgkQBRvZR__1-beUO8IJ95OBySo" TargetMode="External" Id="rId342" /><Relationship Type="http://schemas.openxmlformats.org/officeDocument/2006/relationships/hyperlink" Target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&#27833;&#28895;&#26426;" TargetMode="External" Id="rId343" /><Relationship Type="http://schemas.openxmlformats.org/officeDocument/2006/relationships/hyperlink" Target="https://www.douyin.com/user/MS4wLjABAAAA3ZS7aZGPmGiN_PLYTTftyWefff6Dcn2cMd0OPg2JNak" TargetMode="External" Id="rId344" /><Relationship Type="http://schemas.openxmlformats.org/officeDocument/2006/relationships/hyperlink" Target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&#27833;&#28895;&#26426;" TargetMode="External" Id="rId345" /><Relationship Type="http://schemas.openxmlformats.org/officeDocument/2006/relationships/hyperlink" Target="https://www.douyin.com/user/MS4wLjABAAAACtgEdFXImTysoKNBtymQvAFIpFUR1girZ-l6HWP7_JaZeR8_4AoYkHtonTFqCcYx" TargetMode="External" Id="rId346" /><Relationship Type="http://schemas.openxmlformats.org/officeDocument/2006/relationships/hyperlink" Target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&#27927;&#30871;&#26426;" TargetMode="External" Id="rId347" /><Relationship Type="http://schemas.openxmlformats.org/officeDocument/2006/relationships/hyperlink" Target="https://www.douyin.com/user/MS4wLjABAAAAhmWBGlEtnFXYP_l2mPtSVcAIWU7XFHRkw1uhSXKHmwo" TargetMode="External" Id="rId348" /><Relationship Type="http://schemas.openxmlformats.org/officeDocument/2006/relationships/hyperlink" Target="https://www.xingtu.cn/ad/creator/author-homepage/douyin-video/7470420750193983526?market_track_id=QD3GB9I3WY1B49U0XHN1&amp;search_session_id=7615533721722929178&amp;possessStarId&amp;active_tab=content_performance&amp;active_module=.content-video-list-panel&amp;content_key_word=&#27927;&#30871;&#26426;" TargetMode="External" Id="rId349" /><Relationship Type="http://schemas.openxmlformats.org/officeDocument/2006/relationships/hyperlink" Target="https://www.douyin.com/user/MS4wLjABAAAAyhtLhiL_qYBj3p-f7JsIbf_U18q7d5UPFZ4jqM6sEGg" TargetMode="External" Id="rId350" /><Relationship Type="http://schemas.openxmlformats.org/officeDocument/2006/relationships/hyperlink" Target="https://www.xingtu.cn/ad/creator/author-homepage/douyin-video/7155560692228030477" TargetMode="External" Id="rId351" /><Relationship Type="http://schemas.openxmlformats.org/officeDocument/2006/relationships/hyperlink" Target="https://www.douyin.com/user/MS4wLjABAAAAz1xavYuYxvZZxa4b-T1E2RsMjO6SFBMellpCu39kuQU" TargetMode="External" Id="rId352" /><Relationship Type="http://schemas.openxmlformats.org/officeDocument/2006/relationships/hyperlink" Target="https://www.xingtu.cn/ad/creator/author-homepage/douyin-video/6629724072496332808?market_track_id=SUA9KH7ZBLCVW9Q8I8O3&amp;search_session_id=7611010792837922826&amp;possessStarId" TargetMode="External" Id="rId353" /><Relationship Type="http://schemas.openxmlformats.org/officeDocument/2006/relationships/hyperlink" Target="https://www.douyin.com/user/MS4wLjABAAAAp52iIUIC50X_sKEA9gkGSW3EbhMfkj6rJ5oOiL_tXtw" TargetMode="External" Id="rId354" /><Relationship Type="http://schemas.openxmlformats.org/officeDocument/2006/relationships/hyperlink" Target="https://www.xingtu.cn/ad/creator/author-homepage/douyin-video/6920165577600270344?market_track_id=SYU2O2J77PRZD6HSWFO4&amp;search_session_id=7611491430255001609&amp;possessStarId" TargetMode="External" Id="rId355" /><Relationship Type="http://schemas.openxmlformats.org/officeDocument/2006/relationships/hyperlink" Target="https://www.douyin.com/user/MS4wLjABAAAAEvnSjkvkAzbDpQ0caF50IYBkgWOAyJwd-CNfev5tkxAj7GiO0lFBkO07G1LayvKm" TargetMode="External" Id="rId356" /><Relationship Type="http://schemas.openxmlformats.org/officeDocument/2006/relationships/hyperlink" Target="https://www.xingtu.cn/ad/creator/author-homepage/douyin-video/7495973776300408859?market_track_id=PWQW3OK5VNZ1SLBXNIR0&amp;search_session_id=7611072156659302427&amp;possessStarId" TargetMode="External" Id="rId357" /><Relationship Type="http://schemas.openxmlformats.org/officeDocument/2006/relationships/hyperlink" Target="https://www.douyin.com/user/MS4wLjABAAAAnq7rHHWhn8NtYJqh0PT6cEv-grsVAk9-MV_5DFwB2tX-u92xZiyX2-8drDyBmlL5" TargetMode="External" Id="rId358" /><Relationship Type="http://schemas.openxmlformats.org/officeDocument/2006/relationships/hyperlink" Target="https://www.xingtu.cn/ad/creator/author/douyin/7173687464870019076" TargetMode="External" Id="rId359" /><Relationship Type="http://schemas.openxmlformats.org/officeDocument/2006/relationships/hyperlink" Target="https://www.douyin.com/user/MS4wLjABAAAAIFj1JP9UPWhs18VcYR0GWnoaG0_3IuysonhEak_y-E9sMIancFJvxAv5ouUg-AfN" TargetMode="External" Id="rId360" /><Relationship Type="http://schemas.openxmlformats.org/officeDocument/2006/relationships/hyperlink" Target="https://www.xingtu.cn/ad/creator/author-homepage/douyin-video/7281563288301731859?market_track_id=28H8VODTJ0FNIG82X54T&amp;search_session_id=7615568443047297034&amp;possessStarId" TargetMode="External" Id="rId361" /><Relationship Type="http://schemas.openxmlformats.org/officeDocument/2006/relationships/hyperlink" Target="https://www.douyin.com/user/MS4wLjABAAAAe3cuvpCBepjeMy5x_Qd_zT7fM240_Ad-BcVkbl1UoYw" TargetMode="External" Id="rId362" /><Relationship Type="http://schemas.openxmlformats.org/officeDocument/2006/relationships/hyperlink" Target="https://www.xingtu.cn/ad/creator/author-homepage/douyin-video/6834368834065924104?market_track_id=EVK545173R6DJQ919O2U&amp;search_session_id=7615827593002287113&amp;possessStarId" TargetMode="External" Id="rId363" /><Relationship Type="http://schemas.openxmlformats.org/officeDocument/2006/relationships/hyperlink" Target="https://www.douyin.com/user/MS4wLjABAAAA-F9dWILzcODO8ptMC_wYoEMaqlWxDlkMc3pcG4Fv6ok" TargetMode="External" Id="rId364" /><Relationship Type="http://schemas.openxmlformats.org/officeDocument/2006/relationships/hyperlink" Target="https://www.xingtu.cn/ad/creator/author-homepage/douyin-video/7245215464144502821?market_track_id=FTU6556YBFN9GARRYMMU&amp;search_session_id=7615828418950250534&amp;possessStarId" TargetMode="External" Id="rId365" /><Relationship Type="http://schemas.openxmlformats.org/officeDocument/2006/relationships/hyperlink" Target="https://www.douyin.com/user/MS4wLjABAAAAcWdg-koNqRnGlL9eDZ_Y-G0_vn1YIXEF10B1W5yI-lcbhPk8sGck8zMoxIhTmKUO" TargetMode="External" Id="rId366" /><Relationship Type="http://schemas.openxmlformats.org/officeDocument/2006/relationships/hyperlink" Target="https://www.xingtu.cn/ad/creator/author-homepage/douyin-video/6944117204090617894?market_track_id=PVVZQQZTA088YGZCZE3M&amp;search_session_id=7615829959416086554&amp;possessStarId" TargetMode="External" Id="rId367" /><Relationship Type="http://schemas.openxmlformats.org/officeDocument/2006/relationships/hyperlink" Target="https://www.douyin.com/user/MS4wLjABAAAAuizX40s-AiiyhJ8OJ2i-rV2hqLjwZX_3PJaczfPMbVJxQShBk98mSmtC11y_wVBd" TargetMode="External" Id="rId368" /><Relationship Type="http://schemas.openxmlformats.org/officeDocument/2006/relationships/hyperlink" Target="https://www.xingtu.cn/ad/creator/author-homepage/douyin-video/7120255283875545118?market_track_id=RFXEOFXZ0NT7SBTM4NSS&amp;search_session_id=7615830168871747593&amp;possessStarId" TargetMode="External" Id="rId369" /><Relationship Type="http://schemas.openxmlformats.org/officeDocument/2006/relationships/hyperlink" Target="https://www.douyin.com/user/MS4wLjABAAAA4LaXCt3utG_riGzCCLCdF0nE4x1iqCMwnPw6kIyJew37c25uFtpFI1G_IgPL9ltN" TargetMode="External" Id="rId370" /><Relationship Type="http://schemas.openxmlformats.org/officeDocument/2006/relationships/hyperlink" Target="https://www.xingtu.cn/ad/creator/author-homepage/douyin-video/7443044824921407538?market_track_id=OTDIBZQ2VDQKJ5MLUFVC&amp;search_session_id=7615830546245566491&amp;possessStarId" TargetMode="External" Id="rId371" /><Relationship Type="http://schemas.openxmlformats.org/officeDocument/2006/relationships/hyperlink" Target="https://www.douyin.com/user/MS4wLjABAAAAU1CIlkZD-ncNht3DJ2gyjpQMbJA8cuxm85PhmuFBlH_Xuege6EKfHP7JJ1ejcU0i" TargetMode="External" Id="rId372" /><Relationship Type="http://schemas.openxmlformats.org/officeDocument/2006/relationships/hyperlink" Target="https://www.xingtu.cn/ad/creator/author-homepage/douyin-video/6739499247890071565?market_track_id=3WJJQM1BO6UF7F5FMUOZ&amp;search_session_id=7615867715550691337&amp;possessStarId&amp;active_tab=content_performance&amp;active_module=.content-video-list-panel&amp;content_key_word=&#31354;&#35843;" TargetMode="External" Id="rId373" /><Relationship Type="http://schemas.openxmlformats.org/officeDocument/2006/relationships/hyperlink" Target="https://www.douyin.com/user/MS4wLjABAAAAPpmxjaU9WAIjuHBeNcJjwxCe-WQt14KaW9OdaCMpx5w" TargetMode="External" Id="rId374" /><Relationship Type="http://schemas.openxmlformats.org/officeDocument/2006/relationships/hyperlink" Target="https://www.xingtu.cn/ad/creator/author-homepage/douyin-video/6756127062890643470?market_track_id=3WJJQM1BO6UF7F5FMUOZ&amp;search_session_id=7615869734516883483&amp;possessStarId&amp;active_tab=content_performance&amp;active_module=.content-video-list-panel&amp;content_key_word=&#31354;&#35843;" TargetMode="External" Id="rId375" /><Relationship Type="http://schemas.openxmlformats.org/officeDocument/2006/relationships/hyperlink" Target="https://www.douyin.com/user/MS4wLjABAAAAClvYs-T0IT0Jh-O_-dQKH3--0A741RDW2jR_uSYe3kQ" TargetMode="External" Id="rId376" /><Relationship Type="http://schemas.openxmlformats.org/officeDocument/2006/relationships/hyperlink" Target="https://www.xingtu.cn/ad/creator/author-homepage/douyin-video/7127213766332121124?market_track_id=3WJJQM1BO6UF7F5FMUOZ&amp;search_session_id=7615870486664691722&amp;possessStarId&amp;active_tab=content_performance&amp;active_module=.content-video-list-panel&amp;content_key_word=&#31354;&#35843;" TargetMode="External" Id="rId377" /><Relationship Type="http://schemas.openxmlformats.org/officeDocument/2006/relationships/hyperlink" Target="https://www.douyin.com/user/MS4wLjABAAAAGaIqVOnmR7lsUUWmFIXYrHxiGaswCmCGOXTyDCefVOU" TargetMode="External" Id="rId378" /><Relationship Type="http://schemas.openxmlformats.org/officeDocument/2006/relationships/hyperlink" Target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&#20912;&#31665;" TargetMode="External" Id="rId379" /><Relationship Type="http://schemas.openxmlformats.org/officeDocument/2006/relationships/hyperlink" Target="https://www.douyin.com/user/MS4wLjABAAAAIOpleKo7Lc3cla1Wa0km2Zx-rz5yHAufN_c36E1LY6M" TargetMode="External" Id="rId380" /><Relationship Type="http://schemas.openxmlformats.org/officeDocument/2006/relationships/hyperlink" Target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&#20912;&#31665;" TargetMode="External" Id="rId381" /><Relationship Type="http://schemas.openxmlformats.org/officeDocument/2006/relationships/hyperlink" Target="https://www.douyin.com/user/MS4wLjABAAAAxXgHKJ1FHUF1zt6f9FXSjPzFf_sN29TLoQs8UBWRxHI" TargetMode="External" Id="rId382" /><Relationship Type="http://schemas.openxmlformats.org/officeDocument/2006/relationships/hyperlink" Target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&#27927;&#34915;&#26426;" TargetMode="External" Id="rId383" /><Relationship Type="http://schemas.openxmlformats.org/officeDocument/2006/relationships/hyperlink" Target="https://www.douyin.com/user/MS4wLjABAAAAy_cE03ybdZUEslPjZeSfVh_3ZMsCX1Q0pyD4EscLA3zNkiCrxP6-ueEhdldhn4OT" TargetMode="External" Id="rId384" /><Relationship Type="http://schemas.openxmlformats.org/officeDocument/2006/relationships/hyperlink" Target="https://www.xingtu.cn/ad/creator/author-homepage/douyin-video/7441525730095136818?market_track_id=4JJPR0NAW5HLH2AL27DA&amp;search_session_id=7615830995779764251&amp;possessStarId" TargetMode="External" Id="rId385" /><Relationship Type="http://schemas.openxmlformats.org/officeDocument/2006/relationships/hyperlink" Target="https://www.douyin.com/user/MS4wLjABAAAAqoSN5f3OZoTcXBs_yQr5GSkpokLQJRmgEb9eaYAHRsc1fCILBauFLxSgdnYheyme" TargetMode="External" Id="rId386" /><Relationship Type="http://schemas.openxmlformats.org/officeDocument/2006/relationships/hyperlink" Target="https://www.xingtu.cn/ad/creator/author-homepage/douyin-video/6629658460059336711?market_track_id=MZCT008XDQ9LRFKWE2VY&amp;search_session_id=7613242839255744521&amp;possessStarId" TargetMode="External" Id="rId387" /><Relationship Type="http://schemas.openxmlformats.org/officeDocument/2006/relationships/hyperlink" Target="https://www.douyin.com/user/MS4wLjABAAAADuP3bF1OcPUmbyMptWG0cIfrxGNLefaMoyoK71ODLh4" TargetMode="External" Id="rId388" /><Relationship Type="http://schemas.openxmlformats.org/officeDocument/2006/relationships/hyperlink" Target="https://www.xingtu.cn/ad/creator/author-homepage/douyin-video/7368677997240385573?market_track_id=X7XM4BYETENRJE1S9R8R&amp;search_session_id=7615873045794717722&amp;possessStarId&amp;active_tab=content_performance&amp;active_module=.content-video-list-panel&amp;content_key_word=&#27927;&#34915;&#26426;" TargetMode="External" Id="rId389" /><Relationship Type="http://schemas.openxmlformats.org/officeDocument/2006/relationships/hyperlink" Target="https://www.douyin.com/user/MS4wLjABAAAA3Bd0BFA-N9Mq2j1VkaWBQDRa0gxM-KUADksFVHO3TlRGzOYd0eYlATGyaOVZV1Qs" TargetMode="External" Id="rId390" /><Relationship Type="http://schemas.openxmlformats.org/officeDocument/2006/relationships/hyperlink" Target="https://www.xingtu.cn/ad/creator/author-homepage/douyin-video/7133463608620482597?market_track_id=3WJJQM1BO6UF7F5FMUOZ&amp;search_session_id=7615870486664691722&amp;possessStarId&amp;active_tab=content_performance&amp;active_module=.content-video-list-panel&amp;content_key_word=&#31354;&#35843;" TargetMode="External" Id="rId391" /><Relationship Type="http://schemas.openxmlformats.org/officeDocument/2006/relationships/hyperlink" Target="https://www.douyin.com/user/MS4wLjABAAAA0ONFQl78h-Ad-jOm_ePmnspVPozUiHj3_NRmLKU2GQ4" TargetMode="External" Id="rId392" /><Relationship Type="http://schemas.openxmlformats.org/officeDocument/2006/relationships/hyperlink" Target="https://www.douyin.com/video/7565465871860174122" TargetMode="External" Id="rId393" /><Relationship Type="http://schemas.openxmlformats.org/officeDocument/2006/relationships/hyperlink" Target="https://www.xingtu.cn/ad/creator/author-homepage/douyin-video/7298673899103846450?market_track_id=GTKGQL8X2XU0PIMT6UI5&amp;search_session_id=7615897568245776411&amp;possessStarId" TargetMode="External" Id="rId394" /><Relationship Type="http://schemas.openxmlformats.org/officeDocument/2006/relationships/hyperlink" Target="https://www.douyin.com/user/MS4wLjABAAAAvYjqp_tSUvO_b1Y7bzRxfeIFffVjz5gGjz7JP1zXLMXIOd6GoDwRjQSR8focb3LZ" TargetMode="External" Id="rId395" /><Relationship Type="http://schemas.openxmlformats.org/officeDocument/2006/relationships/hyperlink" Target="https://www.xingtu.cn/ad/creator/author-homepage/douyin-video/6852280498769625096?market_track_id=GTKGQL8X2XU0PIMT6UI5&amp;search_session_id=7615899588088021019&amp;possessStarId" TargetMode="External" Id="rId396" /><Relationship Type="http://schemas.openxmlformats.org/officeDocument/2006/relationships/hyperlink" Target="https://www.douyin.com/user/MS4wLjABAAAA8fD4HMeRXg19fviZC02U7_d5fYr0aJKUiQ1Q_YZYIOc" TargetMode="External" Id="rId397" /><Relationship Type="http://schemas.openxmlformats.org/officeDocument/2006/relationships/hyperlink" Target="https://www.xingtu.cn/ad/creator/author-homepage/douyin-video/7034433199035908104?market_track_id=GTKGQL8X2XU0PIMT6UI5&amp;search_session_id=7615904229032853542&amp;possessStarId" TargetMode="External" Id="rId398" /><Relationship Type="http://schemas.openxmlformats.org/officeDocument/2006/relationships/hyperlink" Target="https://www.douyin.com/user/MS4wLjABAAAA5JHY8ivacRZn-zbolUMIPr92qZcohs47MhBiLtIkM_74JVM4TdCuCLrMScmQPEPZ" TargetMode="External" Id="rId399" /><Relationship Type="http://schemas.openxmlformats.org/officeDocument/2006/relationships/hyperlink" Target="https://www.xingtu.cn/ad/creator/author-homepage/douyin-video/6994640370961219591?market_track_id=BQFZGFBK6WAOAUFUKUFF&amp;search_session_id=7615925446161121326&amp;possessStarId" TargetMode="External" Id="rId400" /><Relationship Type="http://schemas.openxmlformats.org/officeDocument/2006/relationships/hyperlink" Target="https://www.douyin.com/user/MS4wLjABAAAAKFrzR-Lh8AvbUdXHxl0eiTdwcit_JiqOh6UBH4dAVI0" TargetMode="External" Id="rId401" /><Relationship Type="http://schemas.openxmlformats.org/officeDocument/2006/relationships/hyperlink" Target="https://www.xingtu.cn/ad/creator/author-homepage/douyin-video/7072745980210184223?market_track_id=BQFZGFBK6WAOAUFUKUFF&amp;search_session_id=7615927107147513866&amp;possessStarId" TargetMode="External" Id="rId402" /><Relationship Type="http://schemas.openxmlformats.org/officeDocument/2006/relationships/hyperlink" Target="https://www.douyin.com/user/MS4wLjABAAAA_HxonAavr589mpQxQuiYeJM_UbmAFJze0ivECvL-BMo" TargetMode="External" Id="rId403" /><Relationship Type="http://schemas.openxmlformats.org/officeDocument/2006/relationships/hyperlink" Target="https://www.xingtu.cn/ad/creator/author-homepage/douyin-video/6870161519338848269?market_track_id=BQFZGFBK6WAOAUFUKUFF&amp;search_session_id=7615927107147513866&amp;possessStarId" TargetMode="External" Id="rId404" /><Relationship Type="http://schemas.openxmlformats.org/officeDocument/2006/relationships/hyperlink" Target="https://www.douyin.com/user/MS4wLjABAAAAueFF0PaDfazgIovWP3zpwfyQSw2rDa14gI2g2aEDfY4" TargetMode="External" Id="rId405" /><Relationship Type="http://schemas.openxmlformats.org/officeDocument/2006/relationships/hyperlink" Target="https://www.xingtu.cn/ad/creator/author-homepage/douyin-video/7167716894055596046?market_track_id=BQFZGFBK6WAOAUFUKUFF&amp;search_session_id=7615927755905859622&amp;possessStarId" TargetMode="External" Id="rId406" /><Relationship Type="http://schemas.openxmlformats.org/officeDocument/2006/relationships/hyperlink" Target="https://www.douyin.com/user/MS4wLjABAAAAgcZTYFu4DUkOcFwZ3LasykSoKvRcfJjOH-PUuH9zAaV9gdHmcdWTW3_WWD379E8R" TargetMode="External" Id="rId407" /><Relationship Type="http://schemas.openxmlformats.org/officeDocument/2006/relationships/hyperlink" Target="https://www.xingtu.cn/ad/creator/author-homepage/douyin-video/7252161259804557367?market_track_id=BQFZGFBK6WAOAUFUKUFF&amp;search_session_id=7615929518088044571&amp;possessStarId" TargetMode="External" Id="rId408" /><Relationship Type="http://schemas.openxmlformats.org/officeDocument/2006/relationships/hyperlink" Target="https://www.douyin.com/user/MS4wLjABAAAAxgugwnC751HE4ncElhQ77PeD_qDoHL_zQtXpq5MRC9A" TargetMode="External" Id="rId409" /><Relationship Type="http://schemas.openxmlformats.org/officeDocument/2006/relationships/hyperlink" Target="https://www.douyin.com/video/7561712934305516827" TargetMode="External" Id="rId410" /><Relationship Type="http://schemas.openxmlformats.org/officeDocument/2006/relationships/hyperlink" Target="https://www.xingtu.cn/ad/creator/author-homepage/douyin-video/6907118949305942024?market_track_id=RM1Q0W77NOJCAD9UKAIF&amp;search_session_id=7616291070897094694&amp;possessStarId" TargetMode="External" Id="rId411" /><Relationship Type="http://schemas.openxmlformats.org/officeDocument/2006/relationships/hyperlink" Target="https://www.douyin.com/user/MS4wLjABAAAAHdGznQ6dwSu3m2vRS9mdFgCbKhJQOyHlU-RG1xu79409A3YSM74GdTzK39rj3DML" TargetMode="External" Id="rId412" /><Relationship Type="http://schemas.openxmlformats.org/officeDocument/2006/relationships/hyperlink" Target="https://www.xingtu.cn/ad/creator/author-homepage/douyin-video/6927143235483598861?market_track_id=FXDDTU1X5IKRL2PIYGIK&amp;search_session_id=7616293184859914267&amp;possessStarId" TargetMode="External" Id="rId413" /><Relationship Type="http://schemas.openxmlformats.org/officeDocument/2006/relationships/hyperlink" Target="https://www.douyin.com/user/MS4wLjABAAAAepqHKo1626yCN95H8kRjLV-y2dzunICZaFcj6oufbfM" TargetMode="External" Id="rId414" /><Relationship Type="http://schemas.openxmlformats.org/officeDocument/2006/relationships/hyperlink" Target="https://www.xingtu.cn/ad/creator/author-homepage/douyin-video/7024416887282860066?market_track_id=FXDDTU1X5IKRL2PIYGIK&amp;search_session_id=7616293184859914267&amp;possessStarId" TargetMode="External" Id="rId415" /><Relationship Type="http://schemas.openxmlformats.org/officeDocument/2006/relationships/hyperlink" Target="https://www.douyin.com/user/MS4wLjABAAAAcOEi4yfhGtK947Ilzze-4vvu_OdRnwZZJQhVcPGwMD4" TargetMode="External" Id="rId416" /><Relationship Type="http://schemas.openxmlformats.org/officeDocument/2006/relationships/hyperlink" Target="https://www.xingtu.cn/ad/creator/author-homepage/douyin-video/6759441649018863624?market_track_id=FXDDTU1X5IKRL2PIYGIK&amp;search_session_id=7616297123428106291&amp;possessStarId" TargetMode="External" Id="rId417" /><Relationship Type="http://schemas.openxmlformats.org/officeDocument/2006/relationships/hyperlink" Target="https://www.douyin.com/user/MS4wLjABAAAAtDsELJJ0L5as3kW5jbWy0gjGjWc4JqpehiHsl2eiIqpAtjCPoU75Btno11edndqN" TargetMode="External" Id="rId418" /><Relationship Type="http://schemas.openxmlformats.org/officeDocument/2006/relationships/hyperlink" Target="https://www.xingtu.cn/ad/creator/author-homepage/douyin-video/7161065043155484685?market_track_id=6MJHWHZ9IVSELA36P36G&amp;search_session_id=7616321513118760998&amp;possessStarId" TargetMode="External" Id="rId419" /><Relationship Type="http://schemas.openxmlformats.org/officeDocument/2006/relationships/hyperlink" Target="https://www.douyin.com/user/MS4wLjABAAAAtqKDhpIp2otOFPOW-aHlaRcDZcdzdqSY0rL1hJgHbJ9fbYsiB914X6t0Iv4giFSG" TargetMode="External" Id="rId420" /><Relationship Type="http://schemas.openxmlformats.org/officeDocument/2006/relationships/hyperlink" Target="https://www.douyin.com/video/7590699422766419252" TargetMode="External" Id="rId421" /><Relationship Type="http://schemas.openxmlformats.org/officeDocument/2006/relationships/hyperlink" Target="https://www.xingtu.cn/ad/creator/author-homepage/douyin-video/7080974341856296960?market_track_id=AU1WPXK306S8S5ES374S&amp;search_session_id=7616283467366137907&amp;possessStarId" TargetMode="External" Id="rId422" /><Relationship Type="http://schemas.openxmlformats.org/officeDocument/2006/relationships/hyperlink" Target="https://www.douyin.com/user/MS4wLjABAAAAoA6q18gARwQFVu2TnqyMZ4VMdX1Sh4fchA4cz-hPDGQ" TargetMode="External" Id="rId423" /><Relationship Type="http://schemas.openxmlformats.org/officeDocument/2006/relationships/hyperlink" Target="https://www.douyin.com/video/7533444058983779636" TargetMode="External" Id="rId424" /><Relationship Type="http://schemas.openxmlformats.org/officeDocument/2006/relationships/hyperlink" Target="https://www.xingtu.cn/ad/creator/author-homepage/douyin-video/6703488285064298507?market_track_id=P9MHRFZ6HXF90BFDLWI4&amp;search_session_id=7616285568766443566&amp;possessStarId" TargetMode="External" Id="rId425" /><Relationship Type="http://schemas.openxmlformats.org/officeDocument/2006/relationships/hyperlink" Target="https://www.douyin.com/user/MS4wLjABAAAAFSC8Jh8itIoikSjrXMBCbrOh6er9oH7gdoXn8AAsvR0" TargetMode="External" Id="rId426" /><Relationship Type="http://schemas.openxmlformats.org/officeDocument/2006/relationships/hyperlink" Target="https://www.douyin.com/video/7554311169440337171" TargetMode="External" Id="rId427" /><Relationship Type="http://schemas.openxmlformats.org/officeDocument/2006/relationships/hyperlink" Target="https://www.xingtu.cn/ad/creator/author-homepage/douyin-video/7413523525836734491?market_track_id=GR5MWSIU1HNRDPTNUQ3Q&amp;search_session_id=7616289267056738330&amp;possessStarId" TargetMode="External" Id="rId428" /><Relationship Type="http://schemas.openxmlformats.org/officeDocument/2006/relationships/hyperlink" Target="https://www.douyin.com/user/MS4wLjABAAAAaZKJ6glF2gDsLOMN0_Abvh-tMpfHTgJb85NlMKpPG0tDBMq4c3a4bvHKgo4g-Hxd" TargetMode="External" Id="rId429" /><Relationship Type="http://schemas.openxmlformats.org/officeDocument/2006/relationships/hyperlink" Target="https://www.xingtu.cn/ad/creator/author-homepage/douyin-video/6870162144202063885?market_track_id=JHTNBEGQO60RJNOU4K0V&amp;search_session_id=7612612744516632585&amp;possessStarId" TargetMode="External" Id="rId430" /><Relationship Type="http://schemas.openxmlformats.org/officeDocument/2006/relationships/hyperlink" Target="https://www.douyin.com/user/MS4wLjABAAAASQlIT9yA-LNfju8IjDx0j2GdcdLhlHwn_qr83KMtCY0" TargetMode="External" Id="rId431" /><Relationship Type="http://schemas.openxmlformats.org/officeDocument/2006/relationships/hyperlink" Target="https://www.douyin.com/video/7600970938574260836?previous_page=app_code_link" TargetMode="External" Id="rId432" /><Relationship Type="http://schemas.openxmlformats.org/officeDocument/2006/relationships/hyperlink" Target="https://www.xingtu.cn/ad/creator/author-homepage/douyin-video/7165752836070834188?market_track_id=Q44UBLMDWF73H8L3KBZA&amp;search_session_id=7616329416167997449&amp;possessStarId" TargetMode="External" Id="rId433" /><Relationship Type="http://schemas.openxmlformats.org/officeDocument/2006/relationships/hyperlink" Target="https://www.douyin.com/user/MS4wLjABAAAAwIYRDnmPtEPO3Ii_tNh09X-ZmJwm84s6jup2RUIeil1hZ6vEpsfByK3qb00YZHK-" TargetMode="External" Id="rId434" /><Relationship Type="http://schemas.openxmlformats.org/officeDocument/2006/relationships/hyperlink" Target="https://www.douyin.com/video/7377710464458902822?previous_page=app_code_link" TargetMode="External" Id="rId435" /><Relationship Type="http://schemas.openxmlformats.org/officeDocument/2006/relationships/hyperlink" Target="https://www.xingtu.cn/ad/creator/author-homepage/douyin-video/6727068349852811268?market_track_id=C3T9LPPN1SC7ET0QI4RF&amp;search_session_id=7616577660684992521&amp;possessStarId" TargetMode="External" Id="rId436" /><Relationship Type="http://schemas.openxmlformats.org/officeDocument/2006/relationships/hyperlink" Target="https://www.douyin.com/user/MS4wLjABAAAAqwHezwd5abfKZfnri7Q7AckMvqvDNOsGQd_ZrC3J4po" TargetMode="External" Id="rId437" /><Relationship Type="http://schemas.openxmlformats.org/officeDocument/2006/relationships/hyperlink" Target="https://www.douyin.com/video/7402461141940604201" TargetMode="External" Id="rId438" /><Relationship Type="http://schemas.openxmlformats.org/officeDocument/2006/relationships/hyperlink" Target="https://www.xingtu.cn/ad/creator/author-homepage/douyin-video/6629664154447773704?market_track_id=C3T9LPPN1SC7ET0QI4RF&amp;search_session_id=7616579607346626570&amp;possessStarId" TargetMode="External" Id="rId439" /><Relationship Type="http://schemas.openxmlformats.org/officeDocument/2006/relationships/hyperlink" Target="https://www.douyin.com/user/MS4wLjABAAAABr08X5Vc6Q_s3S07050ecc7pMYCyEvyPUzdJma2bt_M" TargetMode="External" Id="rId440" /><Relationship Type="http://schemas.openxmlformats.org/officeDocument/2006/relationships/hyperlink" Target="https://www.xingtu.cn/ad/creator/author-homepage/douyin-video/6855623204803706893?market_track_id=C3T9LPPN1SC7ET0QI4RF&amp;search_session_id=7616579607346626570&amp;possessStarId" TargetMode="External" Id="rId441" /><Relationship Type="http://schemas.openxmlformats.org/officeDocument/2006/relationships/hyperlink" Target="https://www.douyin.com/user/MS4wLjABAAAAKMa35rfZONaCd2ve6Klu8G3thM8HTDQPoPGRAqFXCGs" TargetMode="External" Id="rId442" /><Relationship Type="http://schemas.openxmlformats.org/officeDocument/2006/relationships/hyperlink" Target="https://www.xingtu.cn/ad/creator/author-homepage/douyin-video/6992043651710844942?market_track_id=C3T9LPPN1SC7ET0QI4RF&amp;search_session_id=7616580037122736174&amp;possessStarId" TargetMode="External" Id="rId443" /><Relationship Type="http://schemas.openxmlformats.org/officeDocument/2006/relationships/hyperlink" Target="https://www.douyin.com/user/MS4wLjABAAAA9KXFZj4eehkhdu-idU4jwar3LBbDveoN2NTLoNkm6kfUFIeKIsbffmALrHw3WrNG" TargetMode="External" Id="rId444" /><Relationship Type="http://schemas.openxmlformats.org/officeDocument/2006/relationships/hyperlink" Target="https://www.douyin.com/video/7516541046617427241?previous_page=app_code_link" TargetMode="External" Id="rId445" /><Relationship Type="http://schemas.openxmlformats.org/officeDocument/2006/relationships/hyperlink" Target="https://www.xingtu.cn/ad/creator/author-homepage/douyin-video/7168806549899608077?market_track_id=C3T9LPPN1SC7ET0QI4RF&amp;search_session_id=7616580037122736174&amp;possessStarId" TargetMode="External" Id="rId446" /><Relationship Type="http://schemas.openxmlformats.org/officeDocument/2006/relationships/hyperlink" Target="https://www.douyin.com/user/MS4wLjABAAAA8U8hHZNbPPvQaFCvNEdml8rJbRstrak-X3De_63zsa7HsRFk_E9Uq_KLCzXjJm9q" TargetMode="External" Id="rId447" /><Relationship Type="http://schemas.openxmlformats.org/officeDocument/2006/relationships/hyperlink" Target="https://www.douyin.com/video/7478557920486198587?previous_page=app_code_link" TargetMode="External" Id="rId448" /><Relationship Type="http://schemas.openxmlformats.org/officeDocument/2006/relationships/hyperlink" Target="https://www.xingtu.cn/ad/creator/author-homepage/douyin-video/6870160877992017928?market_track_id=C3T9LPPN1SC7ET0QI4RF&amp;search_session_id=7616581366926655515&amp;possessStarId" TargetMode="External" Id="rId449" /><Relationship Type="http://schemas.openxmlformats.org/officeDocument/2006/relationships/hyperlink" Target="https://www.douyin.com/user/MS4wLjABAAAAcjKVPT-o1DbylsfIoLK4oDFk_QgXFNqROzM6aC8Vuho" TargetMode="External" Id="rId450" /><Relationship Type="http://schemas.openxmlformats.org/officeDocument/2006/relationships/hyperlink" Target="https://www.xingtu.cn/ad/creator/author-homepage/douyin-video/6994153345170538504?market_track_id=C3T9LPPN1SC7ET0QI4RF&amp;search_session_id=7616581366926655515&amp;possessStarId" TargetMode="External" Id="rId451" /><Relationship Type="http://schemas.openxmlformats.org/officeDocument/2006/relationships/hyperlink" Target="https://www.douyin.com/user/MS4wLjABAAAA4YO6Ezcplh77iJnwfDFavbx9o8sewQIt4xQRpd82Yak" TargetMode="External" Id="rId452" /><Relationship Type="http://schemas.openxmlformats.org/officeDocument/2006/relationships/hyperlink" Target="https://www.douyin.com/video/7475641881095949608?previous_page=app_code_link" TargetMode="External" Id="rId453" /><Relationship Type="http://schemas.openxmlformats.org/officeDocument/2006/relationships/hyperlink" Target="https://www.xingtu.cn/ad/creator/author-homepage/douyin-video/7008950281987686413?market_track_id=1NN8XWAK1CGIJFNAQBZ8&amp;search_session_id=7613351311513714726&amp;possessStarId" TargetMode="External" Id="rId454" /><Relationship Type="http://schemas.openxmlformats.org/officeDocument/2006/relationships/hyperlink" Target="https://www.douyin.com/user/MS4wLjABAAAAaiXLTcfTvuyI_yPSnMdmJQbyrZ2g0sKYzUVs_UnJ0mq9lEIqcE0XyW7VpZbVkzWx" TargetMode="External" Id="rId455" /><Relationship Type="http://schemas.openxmlformats.org/officeDocument/2006/relationships/hyperlink" Target="https://www.douyin.com/video/7514570881042058535" TargetMode="External" Id="rId456" /><Relationship Type="http://schemas.openxmlformats.org/officeDocument/2006/relationships/hyperlink" Target="https://www.xingtu.cn/ad/creator/author-homepage/douyin-video/7078218034459967495?market_track_id=2420PDENNTLWAS6GMX7R&amp;search_session_id=7616630069280948262&amp;possessStarId" TargetMode="External" Id="rId457" /><Relationship Type="http://schemas.openxmlformats.org/officeDocument/2006/relationships/hyperlink" Target="https://www.douyin.com/user/MS4wLjABAAAAZoNYeySvQdHnRf7BdXjWUsNuOrHff5upZQA0eiPfhHrP5OC6z50YaS3S5hwwJgf3" TargetMode="External" Id="rId458" /><Relationship Type="http://schemas.openxmlformats.org/officeDocument/2006/relationships/hyperlink" Target="https://www.douyin.com/video/7553829616390016283" TargetMode="External" Id="rId459" /><Relationship Type="http://schemas.openxmlformats.org/officeDocument/2006/relationships/hyperlink" Target="https://www.xingtu.cn/ad/creator/author-homepage/douyin-video/6738573523591102475?market_track_id=POFIZ6OUTCOROVDWWFQN&amp;search_session_id=7616631545667649546&amp;possessStarId" TargetMode="External" Id="rId460" /><Relationship Type="http://schemas.openxmlformats.org/officeDocument/2006/relationships/hyperlink" Target="https://www.douyin.com/user/MS4wLjABAAAAO1K_2j6DRZh3KGWCeX60GnsS3JPCkb6Wn34tY7jGVFw" TargetMode="External" Id="rId461" /><Relationship Type="http://schemas.openxmlformats.org/officeDocument/2006/relationships/hyperlink" Target="https://www.douyin.com/video/7606707141802056292" TargetMode="External" Id="rId462" /><Relationship Type="http://schemas.openxmlformats.org/officeDocument/2006/relationships/hyperlink" Target="https://www.xingtu.cn/ad/creator/author-homepage/douyin-video/6870171106762817549?market_track_id=SBR7APD1CP9BLG3L2I7H&amp;search_session_id=7616637178206093322&amp;possessStarId" TargetMode="External" Id="rId463" /><Relationship Type="http://schemas.openxmlformats.org/officeDocument/2006/relationships/hyperlink" Target="https://www.douyin.com/user/MS4wLjABAAAAVsFGZsTDs611Vn4t2ciwzt-gUN1Kgk5y4RbfYCRjm6qs9VvxJQTQkja82KTvUkVY" TargetMode="External" Id="rId464" /><Relationship Type="http://schemas.openxmlformats.org/officeDocument/2006/relationships/hyperlink" Target="https://www.douyin.com/video/7580635359072111906" TargetMode="External" Id="rId465" /><Relationship Type="http://schemas.openxmlformats.org/officeDocument/2006/relationships/hyperlink" Target="https://www.xingtu.cn/ad/creator/author-homepage/douyin-video/6629659220260159491?market_track_id=GYN7U41I9QVIQIWZCR4K&amp;search_session_id=7616643897611173914&amp;possessStarId" TargetMode="External" Id="rId466" /><Relationship Type="http://schemas.openxmlformats.org/officeDocument/2006/relationships/hyperlink" Target="https://www.douyin.com/user/MS4wLjABAAAAaGPupGXkpAjXZOVH21EVXCRlX-WY4k0pSwspKgpfC9c" TargetMode="External" Id="rId467" /><Relationship Type="http://schemas.openxmlformats.org/officeDocument/2006/relationships/hyperlink" Target="https://www.douyin.com/video/7600647445030203761" TargetMode="External" Id="rId468" /><Relationship Type="http://schemas.openxmlformats.org/officeDocument/2006/relationships/hyperlink" Target="https://www.xingtu.cn/ad/creator/author-homepage/douyin-video/7182410758330777604?market_track_id=SN20ND2FZ5FPJEXN7S4E&amp;search_session_id=7616674203077050419&amp;possessStarId" TargetMode="External" Id="rId469" /><Relationship Type="http://schemas.openxmlformats.org/officeDocument/2006/relationships/hyperlink" Target="https://www.douyin.com/user/MS4wLjABAAAAaAcfvEDWUh_xE5kJu4lV_8C45iIPdOKMq73eysmfdlE" TargetMode="External" Id="rId470" /><Relationship Type="http://schemas.openxmlformats.org/officeDocument/2006/relationships/hyperlink" Target="https://www.douyin.com/video/7311687790259883279" TargetMode="External" Id="rId471" /><Relationship Type="http://schemas.openxmlformats.org/officeDocument/2006/relationships/hyperlink" Target="https://www.xingtu.cn/ad/creator/author-homepage/douyin-video/7228050208410566715?market_track_id=MOZQBJ7GT03Q1TMXNOAI&amp;search_session_id=7616648253435789322&amp;possessStarId" TargetMode="External" Id="rId472" /><Relationship Type="http://schemas.openxmlformats.org/officeDocument/2006/relationships/hyperlink" Target="https://www.douyin.com/user/MS4wLjABAAAAb7WAny-tA6rjYHc9UP6I7qiGVhY3Ug47cu2mWz-61oU" TargetMode="External" Id="rId473" /><Relationship Type="http://schemas.openxmlformats.org/officeDocument/2006/relationships/hyperlink" Target="https://www.douyin.com/video/7598388485124634011" TargetMode="External" Id="rId474" /><Relationship Type="http://schemas.openxmlformats.org/officeDocument/2006/relationships/hyperlink" Target="https://www.xingtu.cn/ad/creator/author-homepage/douyin-video/7063710781757456420?market_track_id=7V09FBZRNDM9257H8QCX&amp;search_session_id=7616651184430776347&amp;possessStarId" TargetMode="External" Id="rId475" /><Relationship Type="http://schemas.openxmlformats.org/officeDocument/2006/relationships/hyperlink" Target="https://www.douyin.com/user/MS4wLjABAAAA_M5dOMrn_OJDEseTF8rBFm1WGT0v25Vg0uvTyJDKlqVgxS5sPN2S6ZZX8LlIquSo" TargetMode="External" Id="rId476" /><Relationship Type="http://schemas.openxmlformats.org/officeDocument/2006/relationships/hyperlink" Target="https://www.douyin.com/video/7600015452685661627" TargetMode="External" Id="rId477" /><Relationship Type="http://schemas.openxmlformats.org/officeDocument/2006/relationships/hyperlink" Target="https://www.xingtu.cn/ad/creator/author-homepage/douyin-video/6866734332837363723?market_track_id=255NG1IA5QKP634KZDSQ&amp;search_session_id=7616667210668687410&amp;possessStarId" TargetMode="External" Id="rId478" /><Relationship Type="http://schemas.openxmlformats.org/officeDocument/2006/relationships/hyperlink" Target="https://www.douyin.com/user/MS4wLjABAAAAiXWzfBC6YQjPG5DiOF-8LfxY3fC3zGmkYVy3cXttUFI" TargetMode="External" Id="rId479" /><Relationship Type="http://schemas.openxmlformats.org/officeDocument/2006/relationships/hyperlink" Target="https://www.douyin.com/video/7599919494719251035" TargetMode="External" Id="rId480" /><Relationship Type="http://schemas.openxmlformats.org/officeDocument/2006/relationships/hyperlink" Target="https://www.xingtu.cn/ad/creator/author-homepage/douyin-video/7237693402249494560?market_track_id=N4PBRHV2K7PCWJ3T3MBY&amp;search_session_id=7616667428616962086&amp;possessStarId" TargetMode="External" Id="rId481" /><Relationship Type="http://schemas.openxmlformats.org/officeDocument/2006/relationships/hyperlink" Target="https://www.douyin.com/user/MS4wLjABAAAA9YU4u9kZcGzGzr0ca4sT4-aDqkN8Pm4sEaS2jfEZGJU7raTBd3TsTI36FaCmgctp" TargetMode="External" Id="rId482" /><Relationship Type="http://schemas.openxmlformats.org/officeDocument/2006/relationships/hyperlink" Target="https://www.douyin.com/video/7555516326732172579" TargetMode="External" Id="rId483" /><Relationship Type="http://schemas.openxmlformats.org/officeDocument/2006/relationships/hyperlink" Target="https://www.xingtu.cn/ad/creator/author-homepage/douyin-video/7094235680405979177?market_track_id=D74CIVP98ZHTTIUE1GAW&amp;search_session_id=7616671025753128969&amp;possessStarId" TargetMode="External" Id="rId484" /><Relationship Type="http://schemas.openxmlformats.org/officeDocument/2006/relationships/hyperlink" Target="https://www.douyin.com/user/MS4wLjABAAAAguXfi0BOH50IC6s7ttS7JWnczGBQqKr4oVp1qdH2yXQ" TargetMode="External" Id="rId485" /><Relationship Type="http://schemas.openxmlformats.org/officeDocument/2006/relationships/hyperlink" Target="https://www.xingtu.cn/ad/creator/author-homepage/douyin-video/7188349445459673127?market_track_id=V3SVRVAZNICLFPE0J6SJ&amp;search_session_id=7617735670479978547&amp;possessStarId" TargetMode="External" Id="rId486" /><Relationship Type="http://schemas.openxmlformats.org/officeDocument/2006/relationships/hyperlink" Target="https://www.douyin.com/user/MS4wLjABAAAAhVCMU-mUhDIVUWGUMzqmc6GJIgQyM0IMX8bjuImUqJl9h_SXx962d6En8O6_0uEv" TargetMode="External" Id="rId487" /><Relationship Type="http://schemas.openxmlformats.org/officeDocument/2006/relationships/hyperlink" Target="https://www.xingtu.cn/ad/creator/author-homepage/douyin-video/7348285762749595702?market_track_id=V3SVRVAZNICLFPE0J6SJ&amp;search_session_id=7617737280752582665&amp;possessStarId" TargetMode="External" Id="rId488" /><Relationship Type="http://schemas.openxmlformats.org/officeDocument/2006/relationships/hyperlink" Target="https://www.douyin.com/user/MS4wLjABAAAAHKgbcSjDTgowNKDqOyqtKq-hdFjlyDq95TjdXTgRRSY" TargetMode="External" Id="rId489" /><Relationship Type="http://schemas.openxmlformats.org/officeDocument/2006/relationships/hyperlink" Target="https://www.xingtu.cn/ad/creator/author-homepage/douyin-video/7078279148648529928?market_track_id=V3SVRVAZNICLFPE0J6SJ&amp;search_session_id=7617737280752582665&amp;possessStarId" TargetMode="External" Id="rId490" /><Relationship Type="http://schemas.openxmlformats.org/officeDocument/2006/relationships/hyperlink" Target="https://www.douyin.com/user/MS4wLjABAAAAKvsmt0foTt7k1YNr-ro-s6xXcq4JJKr19Vtd6mZ-Dkqxh4_MEFnU3eCxpJSckzHO" TargetMode="External" Id="rId491" /><Relationship Type="http://schemas.openxmlformats.org/officeDocument/2006/relationships/hyperlink" Target="https://www.xingtu.cn/ad/creator/author-homepage/douyin-video/7371376725386756150?market_track_id=V3SVRVAZNICLFPE0J6SJ&amp;search_session_id=7617737280752582665&amp;possessStarId" TargetMode="External" Id="rId492" /><Relationship Type="http://schemas.openxmlformats.org/officeDocument/2006/relationships/hyperlink" Target="https://www.douyin.com/user/MS4wLjABAAAAH6EuhbI0HTnZCrZS3_rhDHJ_L9-oLfolS-ufm5CQ_dM" TargetMode="External" Id="rId493" /><Relationship Type="http://schemas.openxmlformats.org/officeDocument/2006/relationships/hyperlink" Target="https://www.xingtu.cn/ad/creator/author-homepage/douyin-video/6629723068413509639?market_track_id=V3SVRVAZNICLFPE0J6SJ&amp;search_session_id=7617738312274591794&amp;possessStarId" TargetMode="External" Id="rId494" /><Relationship Type="http://schemas.openxmlformats.org/officeDocument/2006/relationships/hyperlink" Target="https://www.douyin.com/user/MS4wLjABAAAAV6vN5b6cqiaBT9CHFwNKh4-RBAXe5G3CEEVMltxeCyQ" TargetMode="External" Id="rId495" /><Relationship Type="http://schemas.openxmlformats.org/officeDocument/2006/relationships/hyperlink" Target="https://www.xingtu.cn/ad/creator/author-homepage/douyin-video/7307089287776829477?market_track_id=V3SVRVAZNICLFPE0J6SJ&amp;search_session_id=7617739065844465702&amp;possessStarId" TargetMode="External" Id="rId496" /><Relationship Type="http://schemas.openxmlformats.org/officeDocument/2006/relationships/hyperlink" Target="https://www.douyin.com/user/MS4wLjABAAAAzqS_PBshcJ_aSZNxIPkqZ_gBhrJq6KzsNRQjjU8aZRI" TargetMode="External" Id="rId497" /><Relationship Type="http://schemas.openxmlformats.org/officeDocument/2006/relationships/hyperlink" Target="https://www.xingtu.cn/ad/creator/author-homepage/douyin-video/7382884261608554506?market_track_id=V3SVRVAZNICLFPE0J6SJ&amp;search_session_id=7617739489735016498&amp;possessStarId" TargetMode="External" Id="rId498" /><Relationship Type="http://schemas.openxmlformats.org/officeDocument/2006/relationships/hyperlink" Target="https://www.douyin.com/user/MS4wLjABAAAA7lplVpa2j83bnjUKoVbuBMmgeQBKxzINNNpCl1MsIew" TargetMode="External" Id="rId499" /><Relationship Type="http://schemas.openxmlformats.org/officeDocument/2006/relationships/hyperlink" Target="https://www.xingtu.cn/ad/creator/author-homepage/douyin-video/7367182371520512037?market_track_id=V3SVRVAZNICLFPE0J6SJ&amp;search_session_id=7617739828616888347&amp;possessStarId" TargetMode="External" Id="rId500" /><Relationship Type="http://schemas.openxmlformats.org/officeDocument/2006/relationships/hyperlink" Target="https://www.douyin.com/user/MS4wLjABAAAASXNhw5qC3BgFGgRjVaj_KUtNG0sb1r1fHNwNFtfGrac" TargetMode="External" Id="rId501" /><Relationship Type="http://schemas.openxmlformats.org/officeDocument/2006/relationships/hyperlink" Target="https://www.xingtu.cn/ad/creator/author-homepage/douyin-video/7195808519419854909?market_track_id=V3SVRVAZNICLFPE0J6SJ&amp;search_session_id=7617739828616888347&amp;possessStarId" TargetMode="External" Id="rId502" /><Relationship Type="http://schemas.openxmlformats.org/officeDocument/2006/relationships/hyperlink" Target="https://www.douyin.com/user/MS4wLjABAAAAKVLBXglsD4wE2hlHYXoyq7LmT07Ftub19OjfZAh_x7moAdZdpvsVVTtUls2prYUb" TargetMode="External" Id="rId503" /><Relationship Type="http://schemas.openxmlformats.org/officeDocument/2006/relationships/hyperlink" Target="https://www.xingtu.cn/ad/creator/author-homepage/douyin-video/6791285912912265230?market_track_id=V3SVRVAZNICLFPE0J6SJ&amp;search_session_id=7617739828616888347&amp;possessStarId" TargetMode="External" Id="rId504" /><Relationship Type="http://schemas.openxmlformats.org/officeDocument/2006/relationships/hyperlink" Target="https://www.douyin.com/user/MS4wLjABAAAAaNkxnzLGYv4rEIP52cuiWtdlvz11ZjOU6mJ0R4_QWWE" TargetMode="External" Id="rId505" /><Relationship Type="http://schemas.openxmlformats.org/officeDocument/2006/relationships/hyperlink" Target="https://www.xingtu.cn/ad/creator/author-homepage/douyin-video/7079471717306859560?market_track_id=3OS0HM7OVN3SYN0IJITL&amp;search_session_id=7617741635262185510&amp;possessStarId" TargetMode="External" Id="rId506" /><Relationship Type="http://schemas.openxmlformats.org/officeDocument/2006/relationships/hyperlink" Target="https://www.douyin.com/user/MS4wLjABAAAAZWtX6HzX5NTPTBxcoqx0xd48bIzbJbqEibYqhmXToOo" TargetMode="External" Id="rId507" /><Relationship Type="http://schemas.openxmlformats.org/officeDocument/2006/relationships/hyperlink" Target="https://www.xingtu.cn/ad/creator/author-homepage/douyin-video/6966856536920424461?market_track_id=3OS0HM7OVN3SYN0IJITL&amp;search_session_id=7617742245093507081&amp;possessStarId" TargetMode="External" Id="rId508" /><Relationship Type="http://schemas.openxmlformats.org/officeDocument/2006/relationships/hyperlink" Target="https://www.douyin.com/user/MS4wLjABAAAAra1iK76STi4Qgd7gH5Zwr38SJb41Opbw3ZOlpUU0d90" TargetMode="External" Id="rId509" /><Relationship Type="http://schemas.openxmlformats.org/officeDocument/2006/relationships/hyperlink" Target="https://www.xingtu.cn/ad/creator/author-homepage/douyin-video/7285762799337209917?market_track_id=3OS0HM7OVN3SYN0IJITL&amp;search_session_id=7617742245093507081&amp;possessStarId" TargetMode="External" Id="rId510" /><Relationship Type="http://schemas.openxmlformats.org/officeDocument/2006/relationships/hyperlink" Target="https://www.douyin.com/user/MS4wLjABAAAA8ew5kbML45thNTQRBofUnhpRIutWPuepUzPtYXqkwI5nefgJDAXFX13p4MKCUeha" TargetMode="External" Id="rId511" /><Relationship Type="http://schemas.openxmlformats.org/officeDocument/2006/relationships/hyperlink" Target="https://www.xingtu.cn/ad/creator/author-homepage/douyin-video/7457923151943434267?market_track_id=3OS0HM7OVN3SYN0IJITL&amp;search_session_id=7617742853069946890&amp;possessStarId" TargetMode="External" Id="rId512" /><Relationship Type="http://schemas.openxmlformats.org/officeDocument/2006/relationships/hyperlink" Target="https://www.douyin.com/user/MS4wLjABAAAABHg-x5mJj6Kc2i_UlK4sT7_RLcCqqYpuw61Rx4ZCGo86YZUFhI8ULO8GypR_bsqn" TargetMode="External" Id="rId513" /><Relationship Type="http://schemas.openxmlformats.org/officeDocument/2006/relationships/hyperlink" Target="https://www.xingtu.cn/ad/creator/author-homepage/douyin-video/7120255283875545118?market_track_id=3OS0HM7OVN3SYN0IJITL&amp;search_session_id=7617743692560252979&amp;possessStarId" TargetMode="External" Id="rId514" /><Relationship Type="http://schemas.openxmlformats.org/officeDocument/2006/relationships/hyperlink" Target="https://www.douyin.com/user/MS4wLjABAAAA4LaXCt3utG_riGzCCLCdF0nE4x1iqCMwnPw6kIyJew37c25uFtpFI1G_IgPL9ltN" TargetMode="External" Id="rId515" /><Relationship Type="http://schemas.openxmlformats.org/officeDocument/2006/relationships/hyperlink" Target="https://www.xingtu.cn/ad/creator/author-homepage/douyin-video/6853263318207954952?market_track_id=3OS0HM7OVN3SYN0IJITL&amp;search_session_id=7617743943477575730&amp;possessStarId" TargetMode="External" Id="rId516" /><Relationship Type="http://schemas.openxmlformats.org/officeDocument/2006/relationships/hyperlink" Target="https://www.douyin.com/user/MS4wLjABAAAAttQnThYYvUttbHudM3Qo80LYIZxA3EmOHZ4xqHMmILbkMZhLh7ZEbw5uJAMQF-my" TargetMode="External" Id="rId517" /><Relationship Type="http://schemas.openxmlformats.org/officeDocument/2006/relationships/hyperlink" Target="https://www.xingtu.cn/ad/creator/author-homepage/douyin-video/6870170595837870087?market_track_id=3OS0HM7OVN3SYN0IJITL&amp;search_session_id=7617744266638721075&amp;possessStarId" TargetMode="External" Id="rId518" /><Relationship Type="http://schemas.openxmlformats.org/officeDocument/2006/relationships/hyperlink" Target="https://www.douyin.com/user/MS4wLjABAAAAgg2ir5yP1-cMGegOYE0mUsYxlTheyIGyiPXCt9ytyc5FhwYOrI23XXjFQ5J5qI2b" TargetMode="External" Id="rId519" /><Relationship Type="http://schemas.openxmlformats.org/officeDocument/2006/relationships/hyperlink" Target="https://www.xingtu.cn/ad/creator/author-homepage/douyin-video/7450492252217933863?market_track_id=7CNF877XNZU7ZPLRMNXT&amp;search_session_id=7496334872174067751&amp;video_type=2&amp;_route_from=from_page=Market&amp;search_session_id=7496334872174067751&amp;is_for_order=1&amp;market_track_id=7CNF877XNZU7ZPLRMNXT&amp;platform_source=1&amp;key=%E4%B9%A6%E4%BB%AAShoei&amp;order_by=score&amp;sort_type=2&amp;search_scene=1&amp;display_scene=1&amp;limit=20&amp;page=1&amp;regular_filter=%5Bobject+Object%5D&amp;rel_attribute_filter=%5Bobject+Object%5D&amp;attribute_filter=%5Bobject+Object%5D&amp;task_category=1&amp;package_id=undefined&amp;is_filter=1&amp;current_tab=2&amp;displayScene=market&amp;is_limit_time_price=0&amp;possessStarId" TargetMode="External" Id="rId520" /><Relationship Type="http://schemas.openxmlformats.org/officeDocument/2006/relationships/hyperlink" Target="https://v.douyin.com/jbQppINgI-w/" TargetMode="External" Id="rId521" /><Relationship Type="http://schemas.openxmlformats.org/officeDocument/2006/relationships/hyperlink" Target="https://www.xingtu.cn/ad/creator/author-homepage/douyin-video/6902656411306557452?market_track_id=4M1RHGEZTXLX7N6TEMJK&amp;search_session_id=7530952912325902363&amp;possessStarId" TargetMode="External" Id="rId522" /><Relationship Type="http://schemas.openxmlformats.org/officeDocument/2006/relationships/hyperlink" Target="https://v.douyin.com/kjYz9rv8mrM/" TargetMode="External" Id="rId523" /><Relationship Type="http://schemas.openxmlformats.org/officeDocument/2006/relationships/hyperlink" Target="https://www.xingtu.cn/ad/creator/author-homepage/douyin-video/6629724881506271245?market_track_id=JFAEWQ73CAGNKOX8JMBS&amp;search_session_id=7600979343234039849&amp;possessStarId" TargetMode="External" Id="rId524" /><Relationship Type="http://schemas.openxmlformats.org/officeDocument/2006/relationships/hyperlink" Target="https://v.douyin.com/XeHFUO3D9hE/" TargetMode="External" Id="rId525" /><Relationship Type="http://schemas.openxmlformats.org/officeDocument/2006/relationships/hyperlink" Target="https://www.xingtu.cn/ad/creator/author/douyin/7477501140842577961/1?market_track_id=NLVXKQ3P72OW6ZAUW40Y&amp;search_session_id=7485572635062337574&amp;video_type=2&amp;_route_from=from_page=Market&amp;search_session_id=7485572635062337574&amp;is_for_order=1&amp;market_track_id=NLVXKQ3P72OW6ZAUW40Y&amp;platform_source=1&amp;key=%E5%8D%81%E4%BA%8C%E4%BA%8B&amp;order_by=score&amp;sort_type=2&amp;search_scene=1&amp;display_scene=1&amp;limit=20&amp;page=1&amp;regular_filter=%5Bobject+Object%5D&amp;rel_attribute_filter=%5Bobject+Object%5D&amp;multi_string_attribute_filter=%5Bobject+Object%5D&amp;attribute_filter=%5Bobject+Object%5D&amp;task_category=1&amp;package_id=undefined&amp;is_filter=1&amp;current_tab=2&amp;displayScene=market&amp;is_limit_time_price=0&amp;possessStarId&amp;btm_ppre=a0.b0.c0.d0&amp;btm_pre=a4738.b16016.c26503.d3332&amp;btm_show_id=46de71be-fb5e-4eab-a089-920e20ed7dd7" TargetMode="External" Id="rId526" /><Relationship Type="http://schemas.openxmlformats.org/officeDocument/2006/relationships/hyperlink" Target="https://v.douyin.com/4pl7ZkIWNag/" TargetMode="External" Id="rId527" /><Relationship Type="http://schemas.openxmlformats.org/officeDocument/2006/relationships/hyperlink" Target="https://www.xingtu.cn/ad/creator/author/douyin/7103851887960227854/1?market_track_id=CSPW44DKAS95WWWGN2KN&amp;search_session_id=7429595619725459482&amp;video_type=2&amp;_route_from=from_page=Market&amp;search_session_id=7429595619725459482&amp;is_for_order=1&amp;market_track_id=CSPW44DKAS95WWWGN2KN&amp;platform_source=1&amp;key=%E9%9F%A9%E7%B4%AB&amp;order_by=score&amp;sort_type=2&amp;search_scene=1&amp;display_scene=1&amp;limit=20&amp;page=1&amp;regular_filter=%5Bobject+Object%5D&amp;multi_string_attribute_filter=%5Bobject+Object%5D&amp;task_category=1&amp;package_id=undefined&amp;is_filter=0&amp;current_tab=2&amp;displayScene=market&amp;is_limit_time_price=0&amp;possessStarId&amp;btm_ppre=a0.b0.c0.d0&amp;btm_pre=a4738.b16016.c26503.d3332&amp;btm_show_id=3c20c20f-c3f4-4034-8906-9e634dd9d7ce" TargetMode="External" Id="rId528" /><Relationship Type="http://schemas.openxmlformats.org/officeDocument/2006/relationships/hyperlink" Target="https://v.douyin.com/iJkwsRPy/" TargetMode="External" Id="rId529" /><Relationship Type="http://schemas.openxmlformats.org/officeDocument/2006/relationships/hyperlink" Target="https://www.xingtu.cn/ad/creator/author-homepage/douyin-video/6629724072496332808?market_track_id=SUA9KH7ZBLCVW9Q8I8O3&amp;search_session_id=7611010792837922826&amp;possessStarId" TargetMode="External" Id="rId530" /><Relationship Type="http://schemas.openxmlformats.org/officeDocument/2006/relationships/hyperlink" Target="https://www.douyin.com/user/MS4wLjABAAAAp52iIUIC50X_sKEA9gkGSW3EbhMfkj6rJ5oOiL_tXtw" TargetMode="External" Id="rId531" /><Relationship Type="http://schemas.openxmlformats.org/officeDocument/2006/relationships/hyperlink" Target="https://www.xingtu.cn/ad/creator/author-homepage/douyin-video/6690478800708304908?market_track_id=SUA9KH7ZBLCVW9Q8I8O3&amp;search_session_id=7611015321839599625&amp;possessStarId" TargetMode="External" Id="rId532" /><Relationship Type="http://schemas.openxmlformats.org/officeDocument/2006/relationships/hyperlink" Target="https://www.douyin.com/user/MS4wLjABAAAALfr_yeD1TZl2Imjm_V45ptcvrG4DNFWWuqY_26vhXTg" TargetMode="External" Id="rId533" /><Relationship Type="http://schemas.openxmlformats.org/officeDocument/2006/relationships/hyperlink" Target="https://www.xingtu.cn/ad/creator/author-homepage/douyin-video/7286272063084429369?market_track_id=MZCT008XDQ9LRFKWE2VY&amp;search_session_id=7613243975943913523&amp;possessStarId" TargetMode="External" Id="rId534" /><Relationship Type="http://schemas.openxmlformats.org/officeDocument/2006/relationships/hyperlink" Target="https://www.douyin.com/user/MS4wLjABAAAAZ-xWxEMO6xr9oNSAHhMQrwAKjYmKtkFr0QLWrxmg0-Y" TargetMode="External" Id="rId535" /><Relationship Type="http://schemas.openxmlformats.org/officeDocument/2006/relationships/hyperlink" Target="https://www.xingtu.cn/ad/creator/author-homepage/douyin-video/6629658460059336711?market_track_id=MZCT008XDQ9LRFKWE2VY&amp;search_session_id=7613242839255744521&amp;possessStarId" TargetMode="External" Id="rId536" /><Relationship Type="http://schemas.openxmlformats.org/officeDocument/2006/relationships/hyperlink" Target="https://www.douyin.com/user/MS4wLjABAAAADuP3bF1OcPUmbyMptWG0cIfrxGNLefaMoyoK71ODLh4" TargetMode="External" Id="rId537" /><Relationship Type="http://schemas.openxmlformats.org/officeDocument/2006/relationships/hyperlink" Target="https://www.xingtu.cn/ad/creator/author-homepage/douyin-video/7212663785511714874?market_track_id=MZCT008XDQ9LRFKWE2VY&amp;search_session_id=7613236685597949962&amp;possessStarId" TargetMode="External" Id="rId538" /><Relationship Type="http://schemas.openxmlformats.org/officeDocument/2006/relationships/hyperlink" Target="https://www.douyin.com/user/MS4wLjABAAAA8i9Yi9gV4RDqVvKtoXXIebIOnLLtOOJpoP3zQICKudg" TargetMode="External" Id="rId539" /><Relationship Type="http://schemas.openxmlformats.org/officeDocument/2006/relationships/hyperlink" Target="https://www.xingtu.cn/ad/creator/author-homepage/douyin-video/7225455728285188157?market_track_id=IHKJ7RCF85I21XAQ009Q&amp;search_session_id=7613295973854871603&amp;possessStarId" TargetMode="External" Id="rId540" /><Relationship Type="http://schemas.openxmlformats.org/officeDocument/2006/relationships/hyperlink" Target="https://www.douyin.com/user/MS4wLjABAAAAuhXbv8NUQf-wNDmUaV5U4D5KCHUigR7QsO4E_6ji5kUabmtzcFYUtrQu3SkYmVSR" TargetMode="External" Id="rId541" /><Relationship Type="http://schemas.openxmlformats.org/officeDocument/2006/relationships/hyperlink" Target="https://www.xingtu.cn/ad/creator/author-homepage/douyin-video/6997128678010273805?market_track_id=T3F09RSZB5J532D966YC&amp;search_session_id=7613301898976575514&amp;possessStarId" TargetMode="External" Id="rId542" /><Relationship Type="http://schemas.openxmlformats.org/officeDocument/2006/relationships/hyperlink" Target="https://www.douyin.com/user/MS4wLjABAAAA5qA_IOOFelSPMHIXHW-NyZNIX55R8yceM5gpFr99Ugend87C0wVRO2g1CSHDY67o" TargetMode="External" Id="rId543" /><Relationship Type="http://schemas.openxmlformats.org/officeDocument/2006/relationships/hyperlink" Target="https://www.xingtu.cn/ad/creator/author-homepage/douyin-video/6926304630271901711?market_track_id=0OYPCAVV8EYK36F21DKG&amp;search_session_id=7613346160124297225&amp;possessStarId" TargetMode="External" Id="rId544" /><Relationship Type="http://schemas.openxmlformats.org/officeDocument/2006/relationships/hyperlink" Target="https://www.douyin.com/user/MS4wLjABAAAAj4jdFLdrSSmm1yQo6MMLOSXaMM0biQjbTVDPT3VRmuY" TargetMode="External" Id="rId545" /><Relationship Type="http://schemas.openxmlformats.org/officeDocument/2006/relationships/hyperlink" Target="https://www.xingtu.cn/ad/creator/author-homepage/douyin-video/6740972275522076676?market_track_id=0OYPCAVV8EYK36F21DKG&amp;search_session_id=7613344002150580262&amp;possessStarId" TargetMode="External" Id="rId546" /><Relationship Type="http://schemas.openxmlformats.org/officeDocument/2006/relationships/hyperlink" Target="https://www.douyin.com/user/MS4wLjABAAAA1L_6xSXNev3kU4eW6bo8Te3S8Ms380R0DtiWqjn0JSE" TargetMode="External" Id="rId547" /><Relationship Type="http://schemas.openxmlformats.org/officeDocument/2006/relationships/hyperlink" Target="https://www.xingtu.cn/ad/creator/author-homepage/douyin-video/6870160240763994120?market_track_id=1NN8XWAK1CGIJFNAQBZ8&amp;search_session_id=7613355683773808649&amp;possessStarId" TargetMode="External" Id="rId548" /><Relationship Type="http://schemas.openxmlformats.org/officeDocument/2006/relationships/hyperlink" Target="https://www.douyin.com/user/MS4wLjABAAAAAwdV_ZaHwV7yn4Imf8Q1PqZ7IENSzyyY0u24mWgn-xE" TargetMode="External" Id="rId549" /><Relationship Type="http://schemas.openxmlformats.org/officeDocument/2006/relationships/hyperlink" Target="https://www.xingtu.cn/ad/creator/author-homepage/douyin-video/6870160260540137486?market_track_id=YLXB7MTD8TPJAQ2SP4QR&amp;search_session_id=7613679778771779594&amp;possessStarId" TargetMode="External" Id="rId550" /><Relationship Type="http://schemas.openxmlformats.org/officeDocument/2006/relationships/hyperlink" Target="https://www.douyin.com/user/MS4wLjABAAAASz4Fz2ZvwPrjz2p5h5YkRvH7s83R2_VApQX-jqHOtBg" TargetMode="External" Id="rId551" /><Relationship Type="http://schemas.openxmlformats.org/officeDocument/2006/relationships/hyperlink" Target="https://www.xingtu.cn/ad/creator/author-homepage/douyin-video/6629659220260159491?market_track_id=H4ETHBZMFZY3TAGCQ3FA&amp;search_session_id=7613666091105501234&amp;possessStarId" TargetMode="External" Id="rId552" /><Relationship Type="http://schemas.openxmlformats.org/officeDocument/2006/relationships/hyperlink" Target="https://www.douyin.com/user/MS4wLjABAAAAaGPupGXkpAjXZOVH21EVXCRlX-WY4k0pSwspKgpfC9c" TargetMode="External" Id="rId553" /><Relationship Type="http://schemas.openxmlformats.org/officeDocument/2006/relationships/hyperlink" Target="https://www.xingtu.cn/ad/creator/author-homepage/douyin-video/7441551962656636937?market_track_id=9T58FEEOSH7RZ6RU7JP4&amp;search_session_id=7613652077218316339&amp;possessStarId" TargetMode="External" Id="rId554" /><Relationship Type="http://schemas.openxmlformats.org/officeDocument/2006/relationships/hyperlink" Target="https://www.douyin.com/user/MS4wLjABAAAAPawOZPInC7aNMiahiNWqSTvSU73vSPqIAAE7PmkJSZ2bnoyStZpgGe55ibre3Iyg" TargetMode="External" Id="rId555" /><Relationship Type="http://schemas.openxmlformats.org/officeDocument/2006/relationships/hyperlink" Target="https://www.xingtu.cn/ad/creator/author-homepage/douyin-video/6870161864530067464?market_track_id=SW5R02Z287BG97RJ9TP0&amp;search_session_id=7613707172631248922&amp;possessStarId" TargetMode="External" Id="rId556" /><Relationship Type="http://schemas.openxmlformats.org/officeDocument/2006/relationships/hyperlink" Target="https://www.douyin.com/user/MS4wLjABAAAA9s29W8yTEu9z0lw-htFiNE5EKgb5NFtFxHSJ-3PiV4k" TargetMode="External" Id="rId557" /><Relationship Type="http://schemas.openxmlformats.org/officeDocument/2006/relationships/hyperlink" Target="https://www.xingtu.cn/ad/creator/author-homepage/douyin-video/6986059745152991272?market_track_id=L6OVDUJQ4O614ZL9TH2Q&amp;search_session_id=7614028749639303218&amp;possessStarId" TargetMode="External" Id="rId558" /><Relationship Type="http://schemas.openxmlformats.org/officeDocument/2006/relationships/hyperlink" Target="https://www.douyin.com/user/MS4wLjABAAAA0IM_YtJKDo8tVLPsKWnHWVUSQjnHKgZpw0TRsqXB35GlzriFzcns96tjKKRr7WTI" TargetMode="External" Id="rId559" /><Relationship Type="http://schemas.openxmlformats.org/officeDocument/2006/relationships/hyperlink" Target="https://www.xingtu.cn/ad/creator/author-homepage/douyin-video/7178384753874173987?market_track_id=WQYDLK95ZIKAMRQ6Y2QU&amp;search_session_id=7614026091378180146&amp;possessStarId" TargetMode="External" Id="rId560" /><Relationship Type="http://schemas.openxmlformats.org/officeDocument/2006/relationships/hyperlink" Target="https://www.douyin.com/user/MS4wLjABAAAAGkPRwD17lxAwIwfU_cS_ZCFQDp3onlv7Vt4oWuF3UhNS0eRgdJMLDUx_2-BynGRj" TargetMode="External" Id="rId561" /><Relationship Type="http://schemas.openxmlformats.org/officeDocument/2006/relationships/hyperlink" Target="https://www.xingtu.cn/ad/creator/author-homepage/douyin-video/6802523335012909069?market_track_id=EYBQHQN99X2O5Q0DSX1Q&amp;search_session_id=7614014387368149030&amp;possessStarId" TargetMode="External" Id="rId562" /><Relationship Type="http://schemas.openxmlformats.org/officeDocument/2006/relationships/hyperlink" Target="https://www.douyin.com/user/MS4wLjABAAAAISjmopPTsqgdmoF2_63yBDkUBB5dl1JxIS4veijKvu8lHpIfoe697n4IHzQiiL1h" TargetMode="External" Id="rId563" /><Relationship Type="http://schemas.openxmlformats.org/officeDocument/2006/relationships/hyperlink" Target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&#27927;&#30871;&#26426;" TargetMode="External" Id="rId564" /><Relationship Type="http://schemas.openxmlformats.org/officeDocument/2006/relationships/hyperlink" Target="https://www.douyin.com/user/MS4wLjABAAAAc5kxst574ZOPmOCPOBZeuzPkfjqvCtEGcCL3rqLzrQI" TargetMode="External" Id="rId565" /><Relationship Type="http://schemas.openxmlformats.org/officeDocument/2006/relationships/hyperlink" Target="https://www.douyin.com/video/7565465871860174122" TargetMode="External" Id="rId566" /><Relationship Type="http://schemas.openxmlformats.org/officeDocument/2006/relationships/hyperlink" Target="https://www.xingtu.cn/ad/creator/author-homepage/douyin-video/7298673899103846450?market_track_id=GTKGQL8X2XU0PIMT6UI5&amp;search_session_id=7615897568245776411&amp;possessStarId" TargetMode="External" Id="rId567" /><Relationship Type="http://schemas.openxmlformats.org/officeDocument/2006/relationships/hyperlink" Target="https://www.douyin.com/user/MS4wLjABAAAAvYjqp_tSUvO_b1Y7bzRxfeIFffVjz5gGjz7JP1zXLMXIOd6GoDwRjQSR8focb3LZ" TargetMode="External" Id="rId568" /><Relationship Type="http://schemas.openxmlformats.org/officeDocument/2006/relationships/hyperlink" Target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&#27833;&#28895;&#26426;" TargetMode="External" Id="rId569" /><Relationship Type="http://schemas.openxmlformats.org/officeDocument/2006/relationships/hyperlink" Target="https://www.douyin.com/user/MS4wLjABAAAArUV5HctAWlnVc-augz__U2D--90a2UMmw9oiziP91Fw" TargetMode="External" Id="rId570" /><Relationship Type="http://schemas.openxmlformats.org/officeDocument/2006/relationships/hyperlink" Target="https://www.xingtu.cn/ad/creator/author-homepage/douyin-video/6870170334209769479?market_track_id=2HPQ3HRNLPZF3O2NNCPK&amp;search_session_id=7615457725783031846&amp;possessStarId" TargetMode="External" Id="rId571" /><Relationship Type="http://schemas.openxmlformats.org/officeDocument/2006/relationships/hyperlink" Target="https://www.douyin.com/user/MS4wLjABAAAAsvKZAG9tg8xDWUM7kYrWLBjCK9xzFPoY5mHwGl2nd4Na-EHLIOqis9AKbu5RITbY" TargetMode="External" Id="rId572" /><Relationship Type="http://schemas.openxmlformats.org/officeDocument/2006/relationships/hyperlink" Target="https://www.xingtu.cn/ad/creator/author-homepage/douyin-video/6870163502879735815?market_track_id=7XTIV3268V2E8E5IT2EH&amp;search_session_id=7615463195943927858&amp;possessStarId" TargetMode="External" Id="rId573" /><Relationship Type="http://schemas.openxmlformats.org/officeDocument/2006/relationships/hyperlink" Target="https://www.douyin.com/user/MS4wLjABAAAATWFDIem4wHJK5WvRisrwahjXdK1bD_lsJ6ptOhWcZ24" TargetMode="External" Id="rId574" /><Relationship Type="http://schemas.openxmlformats.org/officeDocument/2006/relationships/hyperlink" Target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&#27833;&#28895;&#26426;" TargetMode="External" Id="rId575" /><Relationship Type="http://schemas.openxmlformats.org/officeDocument/2006/relationships/hyperlink" Target="https://www.douyin.com/user/MS4wLjABAAAAM4M_uFNMnF9oxKUijqSgLnZwdSfbwLLszK-PJtgkQBRvZR__1-beUO8IJ95OBySo" TargetMode="External" Id="rId576" /><Relationship Type="http://schemas.openxmlformats.org/officeDocument/2006/relationships/hyperlink" Target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&#27833;&#28895;&#26426;" TargetMode="External" Id="rId577" /><Relationship Type="http://schemas.openxmlformats.org/officeDocument/2006/relationships/hyperlink" Target="https://www.douyin.com/user/MS4wLjABAAAA3ZS7aZGPmGiN_PLYTTftyWefff6Dcn2cMd0OPg2JNak" TargetMode="External" Id="rId578" /><Relationship Type="http://schemas.openxmlformats.org/officeDocument/2006/relationships/hyperlink" Target="https://www.xingtu.cn/ad/creator/author-homepage/douyin-video/7443044824921407538?market_track_id=OTDIBZQ2VDQKJ5MLUFVC&amp;search_session_id=7615830546245566491&amp;possessStarId" TargetMode="External" Id="rId579" /><Relationship Type="http://schemas.openxmlformats.org/officeDocument/2006/relationships/hyperlink" Target="https://www.douyin.com/user/MS4wLjABAAAAU1CIlkZD-ncNht3DJ2gyjpQMbJA8cuxm85PhmuFBlH_Xuege6EKfHP7JJ1ejcU0i" TargetMode="External" Id="rId580" /><Relationship Type="http://schemas.openxmlformats.org/officeDocument/2006/relationships/hyperlink" Target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&#20912;&#31665;" TargetMode="External" Id="rId581" /><Relationship Type="http://schemas.openxmlformats.org/officeDocument/2006/relationships/hyperlink" Target="https://www.douyin.com/user/MS4wLjABAAAAIOpleKo7Lc3cla1Wa0km2Zx-rz5yHAufN_c36E1LY6M" TargetMode="External" Id="rId582" /><Relationship Type="http://schemas.openxmlformats.org/officeDocument/2006/relationships/hyperlink" Target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&#20912;&#31665;" TargetMode="External" Id="rId583" /><Relationship Type="http://schemas.openxmlformats.org/officeDocument/2006/relationships/hyperlink" Target="https://www.douyin.com/user/MS4wLjABAAAAxXgHKJ1FHUF1zt6f9FXSjPzFf_sN29TLoQs8UBWRxHI" TargetMode="External" Id="rId584" /><Relationship Type="http://schemas.openxmlformats.org/officeDocument/2006/relationships/hyperlink" Target="https://www.xingtu.cn/ad/creator/author-homepage/douyin-video/6870161635978248200?market_track_id=T3F09RSZB5J532D966YC&amp;search_session_id=7613305670808518694&amp;possessStarId" TargetMode="External" Id="rId585" /><Relationship Type="http://schemas.openxmlformats.org/officeDocument/2006/relationships/hyperlink" Target="https://www.douyin.com/user/MS4wLjABAAAAqvZxAHFLfL78cSnQE4ryO2MVRIV7Js0d30t7HrghwW8" TargetMode="External" Id="rId586" /><Relationship Type="http://schemas.openxmlformats.org/officeDocument/2006/relationships/hyperlink" Target="https://www.douyin.com/video/7600647445030203761" TargetMode="External" Id="rId587" /><Relationship Type="http://schemas.openxmlformats.org/officeDocument/2006/relationships/hyperlink" Target="https://www.xingtu.cn/ad/creator/author-homepage/douyin-video/7182410758330777604?market_track_id=SN20ND2FZ5FPJEXN7S4E&amp;search_session_id=7616674203077050419&amp;possessStarId" TargetMode="External" Id="rId588" /><Relationship Type="http://schemas.openxmlformats.org/officeDocument/2006/relationships/hyperlink" Target="https://www.douyin.com/user/MS4wLjABAAAAaAcfvEDWUh_xE5kJu4lV_8C45iIPdOKMq73eysmfdlE" TargetMode="External" Id="rId589" /><Relationship Type="http://schemas.openxmlformats.org/officeDocument/2006/relationships/hyperlink" Target="https://www.douyin.com/video/7598388485124634011" TargetMode="External" Id="rId590" /><Relationship Type="http://schemas.openxmlformats.org/officeDocument/2006/relationships/hyperlink" Target="https://www.xingtu.cn/ad/creator/author-homepage/douyin-video/7063710781757456420?market_track_id=7V09FBZRNDM9257H8QCX&amp;search_session_id=7616651184430776347&amp;possessStarId" TargetMode="External" Id="rId591" /><Relationship Type="http://schemas.openxmlformats.org/officeDocument/2006/relationships/hyperlink" Target="https://www.douyin.com/user/MS4wLjABAAAA_M5dOMrn_OJDEseTF8rBFm1WGT0v25Vg0uvTyJDKlqVgxS5sPN2S6ZZX8LlIquSo" TargetMode="External" Id="rId592" /><Relationship Type="http://schemas.openxmlformats.org/officeDocument/2006/relationships/hyperlink" Target="https://www.douyin.com/video/7599919494719251035" TargetMode="External" Id="rId593" /><Relationship Type="http://schemas.openxmlformats.org/officeDocument/2006/relationships/hyperlink" Target="https://www.xingtu.cn/ad/creator/author-homepage/douyin-video/7237693402249494560?market_track_id=N4PBRHV2K7PCWJ3T3MBY&amp;search_session_id=7616667428616962086&amp;possessStarId" TargetMode="External" Id="rId594" /><Relationship Type="http://schemas.openxmlformats.org/officeDocument/2006/relationships/hyperlink" Target="https://www.douyin.com/user/MS4wLjABAAAA9YU4u9kZcGzGzr0ca4sT4-aDqkN8Pm4sEaS2jfEZGJU7raTBd3TsTI36FaCmgctp" TargetMode="External" Id="rId595" /><Relationship Type="http://schemas.openxmlformats.org/officeDocument/2006/relationships/hyperlink" Target="https://www.xingtu.cn/ad/creator/author-homepage/douyin-video/7235217904738926596?market_track_id=2KVOMPJN4QSG01E4YUAX&amp;search_session_id=7613672629345452082&amp;possessStarId" TargetMode="External" Id="rId596" /><Relationship Type="http://schemas.openxmlformats.org/officeDocument/2006/relationships/hyperlink" Target="https://www.douyin.com/user/MS4wLjABAAAAtR50iDXDnqRgvZGtkakkoNhbJvAL145MBUi55rnGd4CooXaFwC5zmcfTfPJctKY9" TargetMode="External" Id="rId597" /><Relationship Type="http://schemas.openxmlformats.org/officeDocument/2006/relationships/hyperlink" Target="https://www.xingtu.cn/ad/creator/author-homepage/douyin-video/6985112676447813673?market_track_id=L6OVDUJQ4O614ZL9TH2Q&amp;search_session_id=7614030191970631707&amp;possessStarId" TargetMode="External" Id="rId598" /><Relationship Type="http://schemas.openxmlformats.org/officeDocument/2006/relationships/hyperlink" Target="https://www.douyin.com/user/MS4wLjABAAAAxY1B2wXgRFIM56Dgmq6l5LbbLyZkVzxrwerDc-nkWz8" TargetMode="External" Id="rId599" /><Relationship Type="http://schemas.openxmlformats.org/officeDocument/2006/relationships/hyperlink" Target="https://www.xingtu.cn/ad/creator/author-homepage/douyin-video/7270897124420616248?market_track_id=7P11BU0QH3JUILEBBP4A&amp;search_session_id=7614054949244190758&amp;possessStarId" TargetMode="External" Id="rId600" /><Relationship Type="http://schemas.openxmlformats.org/officeDocument/2006/relationships/hyperlink" Target="https://www.douyin.com/user/MS4wLjABAAAAg8Mg_d7hgLjyA9uAtaqiTvttWPKZ5yWHuoIODMrmP44HvVKzkPwWZqK19nFJ1WeF" TargetMode="External" Id="rId601" /><Relationship Type="http://schemas.openxmlformats.org/officeDocument/2006/relationships/hyperlink" Target="https://www.xingtu.cn/ad/creator/author-homepage/douyin-video/6904928031547064335?market_track_id=NHDHIZHMWY3LDTI1FTJQ&amp;search_session_id=7614064463817539610&amp;possessStarId" TargetMode="External" Id="rId602" /><Relationship Type="http://schemas.openxmlformats.org/officeDocument/2006/relationships/hyperlink" Target="https://www.douyin.com/user/MS4wLjABAAAA4BllNusuuP22r0wVxSBWvVleCtUAvfEKlWx_vHMFjP8" TargetMode="External" Id="rId603" /><Relationship Type="http://schemas.openxmlformats.org/officeDocument/2006/relationships/hyperlink" Target="https://www.douyin.com/video/7553536649356119359" TargetMode="External" Id="rId604" /><Relationship Type="http://schemas.openxmlformats.org/officeDocument/2006/relationships/hyperlink" Target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&#27833;&#28895;&#26426;" TargetMode="External" Id="rId605" /><Relationship Type="http://schemas.openxmlformats.org/officeDocument/2006/relationships/hyperlink" Target="https://www.douyin.com/user/MS4wLjABAAAAiN15qBuxq9JWH-8-zX4vmzMSSPoRvRUcOQze7Z3ORzs" TargetMode="External" Id="rId606" /><Relationship Type="http://schemas.openxmlformats.org/officeDocument/2006/relationships/hyperlink" Target="https://www.douyin.com/video/7599622349101647537" TargetMode="External" Id="rId607" /><Relationship Type="http://schemas.openxmlformats.org/officeDocument/2006/relationships/hyperlink" Target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&#27833;&#28895;&#26426;" TargetMode="External" Id="rId608" /><Relationship Type="http://schemas.openxmlformats.org/officeDocument/2006/relationships/hyperlink" Target="https://www.douyin.com/user/MS4wLjABAAAACtgEdFXImTysoKNBtymQvAFIpFUR1girZ-l6HWP7_JaZeR8_4AoYkHtonTFqCcYx" TargetMode="External" Id="rId609" /><Relationship Type="http://schemas.openxmlformats.org/officeDocument/2006/relationships/hyperlink" Target="https://www.douyin.com/video/7502782095450869019" TargetMode="External" Id="rId610" /><Relationship Type="http://schemas.openxmlformats.org/officeDocument/2006/relationships/hyperlink" Target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&#27927;&#30871;&#26426;" TargetMode="External" Id="rId611" /><Relationship Type="http://schemas.openxmlformats.org/officeDocument/2006/relationships/hyperlink" Target="https://www.douyin.com/user/MS4wLjABAAAAhmWBGlEtnFXYP_l2mPtSVcAIWU7XFHRkw1uhSXKHmwo" TargetMode="External" Id="rId612" /><Relationship Type="http://schemas.openxmlformats.org/officeDocument/2006/relationships/hyperlink" Target="https://www.douyin.com/video/7559897109244316985?previous_page=app_code_link" TargetMode="External" Id="rId613" /><Relationship Type="http://schemas.openxmlformats.org/officeDocument/2006/relationships/hyperlink" Target="https://www.xingtu.cn/ad/creator/author-homepage/douyin-video/6920165577600270344?market_track_id=SYU2O2J77PRZD6HSWFO4&amp;search_session_id=7611491430255001609&amp;possessStarId" TargetMode="External" Id="rId614" /><Relationship Type="http://schemas.openxmlformats.org/officeDocument/2006/relationships/hyperlink" Target="https://www.douyin.com/user/MS4wLjABAAAAEvnSjkvkAzbDpQ0caF50IYBkgWOAyJwd-CNfev5tkxAj7GiO0lFBkO07G1LayvKm" TargetMode="External" Id="rId615" /><Relationship Type="http://schemas.openxmlformats.org/officeDocument/2006/relationships/hyperlink" Target="https://www.douyin.com/video/7566976520397688102" TargetMode="External" Id="rId616" /><Relationship Type="http://schemas.openxmlformats.org/officeDocument/2006/relationships/hyperlink" Target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&#27927;&#34915;&#26426;" TargetMode="External" Id="rId617" /><Relationship Type="http://schemas.openxmlformats.org/officeDocument/2006/relationships/hyperlink" Target="https://www.douyin.com/user/MS4wLjABAAAAy_cE03ybdZUEslPjZeSfVh_3ZMsCX1Q0pyD4EscLA3zNkiCrxP6-ueEhdldhn4OT" TargetMode="External" Id="rId618" /><Relationship Type="http://schemas.openxmlformats.org/officeDocument/2006/relationships/hyperlink" Target="https://www.douyin.com/video/7599576992983429233" TargetMode="External" Id="rId619" /><Relationship Type="http://schemas.openxmlformats.org/officeDocument/2006/relationships/hyperlink" Target="https://www.xingtu.cn/ad/creator/author-homepage/douyin-video/7081264713178284063?market_track_id=F8Q29YWLZQEHIVGTDSSH&amp;search_session_id=7618472828354199598&amp;possessStarId" TargetMode="External" Id="rId620" /><Relationship Type="http://schemas.openxmlformats.org/officeDocument/2006/relationships/hyperlink" Target="https://www.douyin.com/user/MS4wLjABAAAAMw7LMNLouqzKre1Sg_ffEWLKLla6hItb42IOQw50rhUiSjiQAn2wCj6SLl6Rragz" TargetMode="External" Id="rId621" /><Relationship Type="http://schemas.openxmlformats.org/officeDocument/2006/relationships/hyperlink" Target="https://www.douyin.com/video/7594739089980836090" TargetMode="External" Id="rId622" /><Relationship Type="http://schemas.openxmlformats.org/officeDocument/2006/relationships/hyperlink" Target="https://www.xingtu.cn/ad/creator/author-homepage/douyin-video/6870162918952927239?market_track_id=JYVAWVUHQWU03IDGK6EV&amp;search_session_id=7618474418007883785&amp;possessStarId" TargetMode="External" Id="rId623" /><Relationship Type="http://schemas.openxmlformats.org/officeDocument/2006/relationships/hyperlink" Target="https://www.douyin.com/user/MS4wLjABAAAA7-xOl-vEQBfy_VAj9rT__8vjwlROoMeKX3AmbQsyVV0" TargetMode="External" Id="rId624" /><Relationship Type="http://schemas.openxmlformats.org/officeDocument/2006/relationships/hyperlink" Target="https://www.douyin.com/video/7615151604291380982" TargetMode="External" Id="rId625" /><Relationship Type="http://schemas.openxmlformats.org/officeDocument/2006/relationships/hyperlink" Target="https://www.xingtu.cn/ad/creator/author-homepage/douyin-video/6856051463051804676?market_track_id=4QBEWON6YT27FK0V9X4F&amp;search_session_id=7618475779613802505&amp;possessStarId" TargetMode="External" Id="rId626" /><Relationship Type="http://schemas.openxmlformats.org/officeDocument/2006/relationships/hyperlink" Target="https://www.douyin.com/user/MS4wLjABAAAAE_BT-vg4yyaNP_uGMMWJVt_4mHilTKUg4A8-iOk-UaQ" TargetMode="External" Id="rId627" /><Relationship Type="http://schemas.openxmlformats.org/officeDocument/2006/relationships/hyperlink" Target="https://www.douyin.com/video/7588804990945250606" TargetMode="External" Id="rId628" /><Relationship Type="http://schemas.openxmlformats.org/officeDocument/2006/relationships/hyperlink" Target="https://www.xingtu.cn/ad/creator/author-homepage/douyin-video/6853653028172464135?market_track_id=EDINYK3XXSDWXZSTZJI2&amp;search_session_id=7618477134667448370&amp;possessStarId" TargetMode="External" Id="rId629" /><Relationship Type="http://schemas.openxmlformats.org/officeDocument/2006/relationships/hyperlink" Target="https://www.douyin.com/user/MS4wLjABAAAAXGcTeW3IhXxNACnaMukODG4pPMQnPP5Vq1Vs91uEb8M" TargetMode="External" Id="rId630" /><Relationship Type="http://schemas.openxmlformats.org/officeDocument/2006/relationships/hyperlink" Target="https://www.douyin.com/video/7589118830769627557" TargetMode="External" Id="rId631" /><Relationship Type="http://schemas.openxmlformats.org/officeDocument/2006/relationships/hyperlink" Target="https://www.xingtu.cn/ad/creator/author-homepage/douyin-video/6865559999012159502?market_track_id=O1NTGH9R0TXFGKQNGQ0J&amp;search_session_id=7618478159851929646&amp;possessStarId" TargetMode="External" Id="rId632" /><Relationship Type="http://schemas.openxmlformats.org/officeDocument/2006/relationships/hyperlink" Target="https://www.douyin.com/user/MS4wLjABAAAAvhGB5m_PPLryRDuEzF_dUQUMX0L6eTWXW1Lrl1MjneM" TargetMode="External" Id="rId633" /><Relationship Type="http://schemas.openxmlformats.org/officeDocument/2006/relationships/hyperlink" Target="https://www.douyin.com/video/7602940303423657882" TargetMode="External" Id="rId634" /><Relationship Type="http://schemas.openxmlformats.org/officeDocument/2006/relationships/hyperlink" Target="https://www.xingtu.cn/ad/creator/author-homepage/douyin-video/7129709466089422861?market_track_id=RZE14O01DKC2XW0OIBC9&amp;search_session_id=7618479423495241737&amp;possessStarId" TargetMode="External" Id="rId635" /><Relationship Type="http://schemas.openxmlformats.org/officeDocument/2006/relationships/hyperlink" Target="https://www.douyin.com/user/MS4wLjABAAAA64mbuDhjtfY2WtQcBgqhyXfuRE6af-WSHWKz-CkeGSg" TargetMode="External" Id="rId636" /><Relationship Type="http://schemas.openxmlformats.org/officeDocument/2006/relationships/hyperlink" Target="https://www.douyin.com/video/7598506892470914149" TargetMode="External" Id="rId637" /><Relationship Type="http://schemas.openxmlformats.org/officeDocument/2006/relationships/hyperlink" Target="https://www.xingtu.cn/ad/creator/author-homepage/douyin-video/7076447505478746148?market_track_id=HL1IR2XCACQL1BFKMNV7&amp;search_session_id=7618480657383292979&amp;possessStarId" TargetMode="External" Id="rId638" /><Relationship Type="http://schemas.openxmlformats.org/officeDocument/2006/relationships/hyperlink" Target="https://www.douyin.com/user/MS4wLjABAAAAMQDJp7zeof_F20koNVYXvtIsrslQNYAEDwQVve62zz6LjkLkXVbbgv43dNcKvmvk" TargetMode="External" Id="rId639" /><Relationship Type="http://schemas.openxmlformats.org/officeDocument/2006/relationships/hyperlink" Target="https://www.douyin.com/video/7611814908149140777" TargetMode="External" Id="rId640" /><Relationship Type="http://schemas.openxmlformats.org/officeDocument/2006/relationships/hyperlink" Target="https://www.xingtu.cn/ad/creator/author-homepage/douyin-video/7415130308804083763?market_track_id=4UV1ZZY2S04J4L4I7JK9&amp;search_session_id=7618481893562613798&amp;possessStarId" TargetMode="External" Id="rId641" /><Relationship Type="http://schemas.openxmlformats.org/officeDocument/2006/relationships/hyperlink" Target="https://www.douyin.com/user/MS4wLjABAAAAz4Pevk3Phkau4fFecFeUuxm6pSeAO9lwzblAGKMUEGNCavn5FqSoJcCAGi0v7cIm" TargetMode="External" Id="rId642" /><Relationship Type="http://schemas.openxmlformats.org/officeDocument/2006/relationships/hyperlink" Target="https://www.douyin.com/video/7595779745992805642" TargetMode="External" Id="rId643" /><Relationship Type="http://schemas.openxmlformats.org/officeDocument/2006/relationships/hyperlink" Target="https://www.xingtu.cn/ad/creator/author-homepage/douyin-video/7539845094233341962?market_track_id=V5XWHU9J99SB7MYAGUYB&amp;search_session_id=7618482750848254003&amp;possessStarId" TargetMode="External" Id="rId644" /><Relationship Type="http://schemas.openxmlformats.org/officeDocument/2006/relationships/hyperlink" Target="https://www.douyin.com/user/MS4wLjABAAAAF_Oq7_bc5BDKDu41djtgeAQdaAiDne9htZ0_pTNNxTpE9deWVjwup8GNgKRuyzYP" TargetMode="External" Id="rId645" /><Relationship Type="http://schemas.openxmlformats.org/officeDocument/2006/relationships/hyperlink" Target="https://www.douyin.com/video/7598762047287174131" TargetMode="External" Id="rId646" /><Relationship Type="http://schemas.openxmlformats.org/officeDocument/2006/relationships/hyperlink" Target="https://www.xingtu.cn/ad/creator/author-homepage/douyin-video/7083772815534456846?market_track_id=O3D48WIVRV98OBV3ZC5D&amp;search_session_id=7618483759381692467&amp;possessStarId" TargetMode="External" Id="rId647" /><Relationship Type="http://schemas.openxmlformats.org/officeDocument/2006/relationships/hyperlink" Target="https://www.douyin.com/user/MS4wLjABAAAAcgqSghTF-dj0kpNGFf0aT_2w75vsSygv8M0GE2byCE5QKRjb6FHRMTqwWYRdvB7u" TargetMode="External" Id="rId648" /><Relationship Type="http://schemas.openxmlformats.org/officeDocument/2006/relationships/hyperlink" Target="https://www.xingtu.cn/ad/creator/author-homepage/douyin-video/6834368834065924104?market_track_id=EVK545173R6DJQ919O2U&amp;search_session_id=7615827593002287113&amp;possessStarId" TargetMode="External" Id="rId649" /><Relationship Type="http://schemas.openxmlformats.org/officeDocument/2006/relationships/hyperlink" Target="https://www.douyin.com/user/MS4wLjABAAAA-F9dWILzcODO8ptMC_wYoEMaqlWxDlkMc3pcG4Fv6ok" TargetMode="External" Id="rId650" /><Relationship Type="http://schemas.openxmlformats.org/officeDocument/2006/relationships/hyperlink" Target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&#27927;&#30871;&#26426;" TargetMode="External" Id="rId651" /><Relationship Type="http://schemas.openxmlformats.org/officeDocument/2006/relationships/hyperlink" Target="https://www.douyin.com/user/MS4wLjABAAAAqKockBn2sLlJTihnGBvV706p95ACOWq5a8RoXBHe4dY" TargetMode="External" Id="rId652" /><Relationship Type="http://schemas.openxmlformats.org/officeDocument/2006/relationships/hyperlink" Target="https://www.xingtu.cn/ad/creator/author-homepage/douyin-video/6724813695026724872?market_track_id=JKO9S71X89B2JTGHM2WK&amp;search_session_id=7614017373054173230&amp;possessStarId" TargetMode="External" Id="rId653" /><Relationship Type="http://schemas.openxmlformats.org/officeDocument/2006/relationships/hyperlink" Target="https://www.douyin.com/user/MS4wLjABAAAAOGUuJYH1ZGSzKalWWD7o9jvgV2MEJAL-KrZxEHEbtRKBkaFMI7fw1UIGZC98-3c8" TargetMode="External" Id="rId654" /><Relationship Type="http://schemas.openxmlformats.org/officeDocument/2006/relationships/hyperlink" Target="https://www.douyin.com/video/7589540707669553807" TargetMode="External" Id="rId655" /><Relationship Type="http://schemas.openxmlformats.org/officeDocument/2006/relationships/hyperlink" Target="https://www.xingtu.cn/ad/creator/author-homepage/douyin-video/7271817838690566185?market_track_id=LY4LB3QSF89L1C2C56RX&amp;search_session_id=7618486054959775782&amp;possessStarId" TargetMode="External" Id="rId656" /><Relationship Type="http://schemas.openxmlformats.org/officeDocument/2006/relationships/hyperlink" Target="https://www.douyin.com/user/MS4wLjABAAAAw1QvuOw7w71clws2_HxQwvLVW-LV2md50UiJ-xChwr8" TargetMode="External" Id="rId657" /><Relationship Type="http://schemas.openxmlformats.org/officeDocument/2006/relationships/hyperlink" Target="https://www.xingtu.cn/ad/creator/author-homepage/douyin-video/7225455728285188157?market_track_id=IHKJ7RCF85I21XAQ009Q&amp;search_session_id=7613295973854871603&amp;possessStarId" TargetMode="External" Id="rId658" /><Relationship Type="http://schemas.openxmlformats.org/officeDocument/2006/relationships/hyperlink" Target="https://www.douyin.com/user/MS4wLjABAAAAuhXbv8NUQf-wNDmUaV5U4D5KCHUigR7QsO4E_6ji5kUabmtzcFYUtrQu3SkYmVSR" TargetMode="External" Id="rId659" /><Relationship Type="http://schemas.openxmlformats.org/officeDocument/2006/relationships/hyperlink" Target="https://www.xingtu.cn/ad/creator/author-homepage/douyin-video/6997128678010273805?market_track_id=T3F09RSZB5J532D966YC&amp;search_session_id=7613301898976575514&amp;possessStarId" TargetMode="External" Id="rId660" /><Relationship Type="http://schemas.openxmlformats.org/officeDocument/2006/relationships/hyperlink" Target="https://www.douyin.com/user/MS4wLjABAAAA5qA_IOOFelSPMHIXHW-NyZNIX55R8yceM5gpFr99Ugend87C0wVRO2g1CSHDY67o" TargetMode="External" Id="rId661" /><Relationship Type="http://schemas.openxmlformats.org/officeDocument/2006/relationships/hyperlink" Target="https://www.xingtu.cn/ad/creator/author-homepage/douyin-video/6926304630271901711?market_track_id=0OYPCAVV8EYK36F21DKG&amp;search_session_id=7613346160124297225&amp;possessStarId" TargetMode="External" Id="rId662" /><Relationship Type="http://schemas.openxmlformats.org/officeDocument/2006/relationships/hyperlink" Target="https://www.douyin.com/user/MS4wLjABAAAAj4jdFLdrSSmm1yQo6MMLOSXaMM0biQjbTVDPT3VRmuY" TargetMode="External" Id="rId663" /><Relationship Type="http://schemas.openxmlformats.org/officeDocument/2006/relationships/hyperlink" Target="https://www.xingtu.cn/ad/creator/author-homepage/douyin-video/7441551962656636937?market_track_id=9T58FEEOSH7RZ6RU7JP4&amp;search_session_id=7613652077218316339&amp;possessStarId" TargetMode="External" Id="rId664" /><Relationship Type="http://schemas.openxmlformats.org/officeDocument/2006/relationships/hyperlink" Target="https://www.douyin.com/user/MS4wLjABAAAAPawOZPInC7aNMiahiNWqSTvSU73vSPqIAAE7PmkJSZ2bnoyStZpgGe55ibre3Iyg" TargetMode="External" Id="rId665" /><Relationship Type="http://schemas.openxmlformats.org/officeDocument/2006/relationships/hyperlink" Target="https://www.xingtu.cn/ad/creator/author-homepage/douyin-video/6870161864530067464?market_track_id=SW5R02Z287BG97RJ9TP0&amp;search_session_id=7613707172631248922&amp;possessStarId" TargetMode="External" Id="rId666" /><Relationship Type="http://schemas.openxmlformats.org/officeDocument/2006/relationships/hyperlink" Target="https://www.douyin.com/user/MS4wLjABAAAA9s29W8yTEu9z0lw-htFiNE5EKgb5NFtFxHSJ-3PiV4k" TargetMode="External" Id="rId667" /><Relationship Type="http://schemas.openxmlformats.org/officeDocument/2006/relationships/hyperlink" Target="https://www.xingtu.cn/ad/creator/author-homepage/douyin-video/6994640370961219591?market_track_id=BQFZGFBK6WAOAUFUKUFF&amp;search_session_id=7615925446161121326&amp;possessStarId" TargetMode="External" Id="rId668" /><Relationship Type="http://schemas.openxmlformats.org/officeDocument/2006/relationships/hyperlink" Target="https://www.douyin.com/user/MS4wLjABAAAAKFrzR-Lh8AvbUdXHxl0eiTdwcit_JiqOh6UBH4dAVI0" TargetMode="External" Id="rId669" /><Relationship Type="http://schemas.openxmlformats.org/officeDocument/2006/relationships/hyperlink" Target="https://www.xingtu.cn/ad/creator/author-homepage/douyin-video/7072745980210184223?market_track_id=BQFZGFBK6WAOAUFUKUFF&amp;search_session_id=7615927107147513866&amp;possessStarId" TargetMode="External" Id="rId670" /><Relationship Type="http://schemas.openxmlformats.org/officeDocument/2006/relationships/hyperlink" Target="https://www.douyin.com/user/MS4wLjABAAAA_HxonAavr589mpQxQuiYeJM_UbmAFJze0ivECvL-BMo" TargetMode="External" Id="rId671" /><Relationship Type="http://schemas.openxmlformats.org/officeDocument/2006/relationships/hyperlink" Target="https://www.xingtu.cn/ad/creator/author-homepage/douyin-video/6870161519338848269?market_track_id=BQFZGFBK6WAOAUFUKUFF&amp;search_session_id=7615927107147513866&amp;possessStarId" TargetMode="External" Id="rId672" /><Relationship Type="http://schemas.openxmlformats.org/officeDocument/2006/relationships/hyperlink" Target="https://www.douyin.com/user/MS4wLjABAAAAueFF0PaDfazgIovWP3zpwfyQSw2rDa14gI2g2aEDfY4" TargetMode="External" Id="rId673" /><Relationship Type="http://schemas.openxmlformats.org/officeDocument/2006/relationships/hyperlink" Target="https://www.xingtu.cn/ad/creator/author-homepage/douyin-video/7167716894055596046?market_track_id=BQFZGFBK6WAOAUFUKUFF&amp;search_session_id=7615927755905859622&amp;possessStarId" TargetMode="External" Id="rId674" /><Relationship Type="http://schemas.openxmlformats.org/officeDocument/2006/relationships/hyperlink" Target="https://www.douyin.com/user/MS4wLjABAAAAgcZTYFu4DUkOcFwZ3LasykSoKvRcfJjOH-PUuH9zAaV9gdHmcdWTW3_WWD379E8R" TargetMode="External" Id="rId675" /><Relationship Type="http://schemas.openxmlformats.org/officeDocument/2006/relationships/hyperlink" Target="https://www.xingtu.cn/ad/creator/author-homepage/douyin-video/7252161259804557367?market_track_id=BQFZGFBK6WAOAUFUKUFF&amp;search_session_id=7615929518088044571&amp;possessStarId" TargetMode="External" Id="rId676" /><Relationship Type="http://schemas.openxmlformats.org/officeDocument/2006/relationships/hyperlink" Target="https://www.douyin.com/user/MS4wLjABAAAAxgugwnC751HE4ncElhQ77PeD_qDoHL_zQtXpq5MRC9A" TargetMode="External" Id="rId677" /><Relationship Type="http://schemas.openxmlformats.org/officeDocument/2006/relationships/hyperlink" Target="https://www.douyin.com/video/7561712934305516827" TargetMode="External" Id="rId678" /><Relationship Type="http://schemas.openxmlformats.org/officeDocument/2006/relationships/hyperlink" Target="https://www.xingtu.cn/ad/creator/author-homepage/douyin-video/6907118949305942024?market_track_id=RM1Q0W77NOJCAD9UKAIF&amp;search_session_id=7616291070897094694&amp;possessStarId" TargetMode="External" Id="rId679" /><Relationship Type="http://schemas.openxmlformats.org/officeDocument/2006/relationships/hyperlink" Target="https://www.douyin.com/user/MS4wLjABAAAAHdGznQ6dwSu3m2vRS9mdFgCbKhJQOyHlU-RG1xu79409A3YSM74GdTzK39rj3DML" TargetMode="External" Id="rId680" /><Relationship Type="http://schemas.openxmlformats.org/officeDocument/2006/relationships/hyperlink" Target="https://www.xingtu.cn/ad/creator/author-homepage/douyin-video/6927143235483598861?market_track_id=FXDDTU1X5IKRL2PIYGIK&amp;search_session_id=7616293184859914267&amp;possessStarId" TargetMode="External" Id="rId681" /><Relationship Type="http://schemas.openxmlformats.org/officeDocument/2006/relationships/hyperlink" Target="https://www.douyin.com/user/MS4wLjABAAAAepqHKo1626yCN95H8kRjLV-y2dzunICZaFcj6oufbfM" TargetMode="External" Id="rId682" /><Relationship Type="http://schemas.openxmlformats.org/officeDocument/2006/relationships/hyperlink" Target="https://www.xingtu.cn/ad/creator/author-homepage/douyin-video/7024416887282860066?market_track_id=FXDDTU1X5IKRL2PIYGIK&amp;search_session_id=7616293184859914267&amp;possessStarId" TargetMode="External" Id="rId683" /><Relationship Type="http://schemas.openxmlformats.org/officeDocument/2006/relationships/hyperlink" Target="https://www.douyin.com/user/MS4wLjABAAAAcOEi4yfhGtK947Ilzze-4vvu_OdRnwZZJQhVcPGwMD4" TargetMode="External" Id="rId684" /><Relationship Type="http://schemas.openxmlformats.org/officeDocument/2006/relationships/hyperlink" Target="https://www.xingtu.cn/ad/creator/author-homepage/douyin-video/6759441649018863624?market_track_id=FXDDTU1X5IKRL2PIYGIK&amp;search_session_id=7616297123428106291&amp;possessStarId" TargetMode="External" Id="rId685" /><Relationship Type="http://schemas.openxmlformats.org/officeDocument/2006/relationships/hyperlink" Target="https://www.douyin.com/user/MS4wLjABAAAAtDsELJJ0L5as3kW5jbWy0gjGjWc4JqpehiHsl2eiIqpAtjCPoU75Btno11edndqN" TargetMode="External" Id="rId686" /><Relationship Type="http://schemas.openxmlformats.org/officeDocument/2006/relationships/hyperlink" Target="https://www.xingtu.cn/ad/creator/author-homepage/douyin-video/7161065043155484685?market_track_id=6MJHWHZ9IVSELA36P36G&amp;search_session_id=7616321513118760998&amp;possessStarId" TargetMode="External" Id="rId687" /><Relationship Type="http://schemas.openxmlformats.org/officeDocument/2006/relationships/hyperlink" Target="https://www.douyin.com/user/MS4wLjABAAAAtqKDhpIp2otOFPOW-aHlaRcDZcdzdqSY0rL1hJgHbJ9fbYsiB914X6t0Iv4giFSG" TargetMode="External" Id="rId688" /><Relationship Type="http://schemas.openxmlformats.org/officeDocument/2006/relationships/hyperlink" Target="https://www.douyin.com/video/7402461141940604201" TargetMode="External" Id="rId689" /><Relationship Type="http://schemas.openxmlformats.org/officeDocument/2006/relationships/hyperlink" Target="https://www.xingtu.cn/ad/creator/author-homepage/douyin-video/6629664154447773704?market_track_id=C3T9LPPN1SC7ET0QI4RF&amp;search_session_id=7616579607346626570&amp;possessStarId" TargetMode="External" Id="rId690" /><Relationship Type="http://schemas.openxmlformats.org/officeDocument/2006/relationships/hyperlink" Target="https://www.douyin.com/user/MS4wLjABAAAABr08X5Vc6Q_s3S07050ecc7pMYCyEvyPUzdJma2bt_M" TargetMode="External" Id="rId691" /><Relationship Type="http://schemas.openxmlformats.org/officeDocument/2006/relationships/hyperlink" Target="https://www.xingtu.cn/ad/creator/author-homepage/douyin-video/6992043651710844942?market_track_id=C3T9LPPN1SC7ET0QI4RF&amp;search_session_id=7616580037122736174&amp;possessStarId" TargetMode="External" Id="rId692" /><Relationship Type="http://schemas.openxmlformats.org/officeDocument/2006/relationships/hyperlink" Target="https://www.douyin.com/user/MS4wLjABAAAA9KXFZj4eehkhdu-idU4jwar3LBbDveoN2NTLoNkm6kfUFIeKIsbffmALrHw3WrNG" TargetMode="External" Id="rId693" /><Relationship Type="http://schemas.openxmlformats.org/officeDocument/2006/relationships/hyperlink" Target="https://www.douyin.com/video/7516541046617427241?previous_page=app_code_link" TargetMode="External" Id="rId694" /><Relationship Type="http://schemas.openxmlformats.org/officeDocument/2006/relationships/hyperlink" Target="https://www.xingtu.cn/ad/creator/author-homepage/douyin-video/7168806549899608077?market_track_id=C3T9LPPN1SC7ET0QI4RF&amp;search_session_id=7616580037122736174&amp;possessStarId" TargetMode="External" Id="rId695" /><Relationship Type="http://schemas.openxmlformats.org/officeDocument/2006/relationships/hyperlink" Target="https://www.douyin.com/user/MS4wLjABAAAA8U8hHZNbPPvQaFCvNEdml8rJbRstrak-X3De_63zsa7HsRFk_E9Uq_KLCzXjJm9q" TargetMode="External" Id="rId696" /><Relationship Type="http://schemas.openxmlformats.org/officeDocument/2006/relationships/hyperlink" Target="https://www.douyin.com/video/7478557920486198587?previous_page=app_code_link" TargetMode="External" Id="rId697" /><Relationship Type="http://schemas.openxmlformats.org/officeDocument/2006/relationships/hyperlink" Target="https://www.xingtu.cn/ad/creator/author-homepage/douyin-video/6870160877992017928?market_track_id=C3T9LPPN1SC7ET0QI4RF&amp;search_session_id=7616581366926655515&amp;possessStarId" TargetMode="External" Id="rId698" /><Relationship Type="http://schemas.openxmlformats.org/officeDocument/2006/relationships/hyperlink" Target="https://www.douyin.com/user/MS4wLjABAAAAcjKVPT-o1DbylsfIoLK4oDFk_QgXFNqROzM6aC8Vuho" TargetMode="External" Id="rId699" /><Relationship Type="http://schemas.openxmlformats.org/officeDocument/2006/relationships/hyperlink" Target="https://www.xingtu.cn/ad/creator/author-homepage/douyin-video/6994153345170538504?market_track_id=C3T9LPPN1SC7ET0QI4RF&amp;search_session_id=7616581366926655515&amp;possessStarId" TargetMode="External" Id="rId700" /><Relationship Type="http://schemas.openxmlformats.org/officeDocument/2006/relationships/hyperlink" Target="https://www.douyin.com/user/MS4wLjABAAAA4YO6Ezcplh77iJnwfDFavbx9o8sewQIt4xQRpd82Yak" TargetMode="External" Id="rId701" /><Relationship Type="http://schemas.openxmlformats.org/officeDocument/2006/relationships/hyperlink" Target="https://www.douyin.com/video/7553829616390016283" TargetMode="External" Id="rId702" /><Relationship Type="http://schemas.openxmlformats.org/officeDocument/2006/relationships/hyperlink" Target="https://www.xingtu.cn/ad/creator/author-homepage/douyin-video/6738573523591102475?market_track_id=POFIZ6OUTCOROVDWWFQN&amp;search_session_id=7616631545667649546&amp;possessStarId" TargetMode="External" Id="rId703" /><Relationship Type="http://schemas.openxmlformats.org/officeDocument/2006/relationships/hyperlink" Target="https://www.douyin.com/user/MS4wLjABAAAAO1K_2j6DRZh3KGWCeX60GnsS3JPCkb6Wn34tY7jGVFw" TargetMode="External" Id="rId704" /><Relationship Type="http://schemas.openxmlformats.org/officeDocument/2006/relationships/hyperlink" Target="https://www.douyin.com/video/7311687790259883279" TargetMode="External" Id="rId705" /><Relationship Type="http://schemas.openxmlformats.org/officeDocument/2006/relationships/hyperlink" Target="https://www.xingtu.cn/ad/creator/author-homepage/douyin-video/7228050208410566715?market_track_id=MOZQBJ7GT03Q1TMXNOAI&amp;search_session_id=7616648253435789322&amp;possessStarId" TargetMode="External" Id="rId706" /><Relationship Type="http://schemas.openxmlformats.org/officeDocument/2006/relationships/hyperlink" Target="https://www.douyin.com/user/MS4wLjABAAAAb7WAny-tA6rjYHc9UP6I7qiGVhY3Ug47cu2mWz-61oU" TargetMode="External" Id="rId707" /><Relationship Type="http://schemas.openxmlformats.org/officeDocument/2006/relationships/hyperlink" Target="https://www.douyin.com/video/7600015452685661627" TargetMode="External" Id="rId708" /><Relationship Type="http://schemas.openxmlformats.org/officeDocument/2006/relationships/hyperlink" Target="https://www.xingtu.cn/ad/creator/author-homepage/douyin-video/6866734332837363723?market_track_id=255NG1IA5QKP634KZDSQ&amp;search_session_id=7616667210668687410&amp;possessStarId" TargetMode="External" Id="rId709" /><Relationship Type="http://schemas.openxmlformats.org/officeDocument/2006/relationships/hyperlink" Target="https://www.douyin.com/user/MS4wLjABAAAAiXWzfBC6YQjPG5DiOF-8LfxY3fC3zGmkYVy3cXttUFI" TargetMode="External" Id="rId710" /><Relationship Type="http://schemas.openxmlformats.org/officeDocument/2006/relationships/hyperlink" Target="https://www.douyin.com/video/7565465871860174122" TargetMode="External" Id="rId711" /><Relationship Type="http://schemas.openxmlformats.org/officeDocument/2006/relationships/hyperlink" Target="https://www.xingtu.cn/ad/creator/author-homepage/douyin-video/7298673899103846450?market_track_id=GTKGQL8X2XU0PIMT6UI5&amp;search_session_id=7615897568245776411&amp;possessStarId" TargetMode="External" Id="rId712" /><Relationship Type="http://schemas.openxmlformats.org/officeDocument/2006/relationships/hyperlink" Target="https://www.douyin.com/user/MS4wLjABAAAAvYjqp_tSUvO_b1Y7bzRxfeIFffVjz5gGjz7JP1zXLMXIOd6GoDwRjQSR8focb3LZ" TargetMode="External" Id="rId713" /><Relationship Type="http://schemas.openxmlformats.org/officeDocument/2006/relationships/hyperlink" Target="https://www.xingtu.cn/ad/creator/author-homepage/douyin-video/7215493945617285157?market_track_id=218B8CCHGQ6LX2E927X2&amp;search_session_id=7618538479689236490&amp;possessStarId" TargetMode="External" Id="rId714" /><Relationship Type="http://schemas.openxmlformats.org/officeDocument/2006/relationships/hyperlink" Target="https://www.douyin.com/user/MS4wLjABAAAAeRcCWOoVolGsaG8TNTRr_lvHdNa_8HS4ujX9IwgdZAZk-kZPXaVbuDXzy1BAXc4j" TargetMode="External" Id="rId715" /><Relationship Type="http://schemas.openxmlformats.org/officeDocument/2006/relationships/hyperlink" Target="https://www.xingtu.cn/ad/creator/author-homepage/douyin-video/7223968676859346983?market_track_id=CB217O79MPIYNVDHN982&amp;search_session_id=7618541939079544870&amp;possessStarId" TargetMode="External" Id="rId716" /><Relationship Type="http://schemas.openxmlformats.org/officeDocument/2006/relationships/hyperlink" Target="https://www.douyin.com/user/MS4wLjABAAAA-AxocquhRbdEnJgt4wwUHZvX8UjXsfFZpJkCtSsviQw" TargetMode="External" Id="rId717" /><Relationship Type="http://schemas.openxmlformats.org/officeDocument/2006/relationships/hyperlink" Target="https://www.douyin.com/video/7567391354944490981" TargetMode="External" Id="rId718" /><Relationship Type="http://schemas.openxmlformats.org/officeDocument/2006/relationships/hyperlink" Target="https://www.xingtu.cn/ad/creator/author-homepage/douyin-video/7112285090771632136?market_track_id=E6OWYX4PZBVA2NSQU2VC&amp;search_session_id=7618542097347756059&amp;possessStarId" TargetMode="External" Id="rId719" /><Relationship Type="http://schemas.openxmlformats.org/officeDocument/2006/relationships/hyperlink" Target="https://www.douyin.com/user/MS4wLjABAAAA4dJG07hpopuuI-1_1N3BJyqE7iVxNObK2j3bDy-GOnMzF-Dv9vFa0Xig08PnIOUa" TargetMode="External" Id="rId720" /><Relationship Type="http://schemas.openxmlformats.org/officeDocument/2006/relationships/hyperlink" Target="https://www.douyin.com/video/7564619779487880612?previous_page=app_code_link" TargetMode="External" Id="rId721" /><Relationship Type="http://schemas.openxmlformats.org/officeDocument/2006/relationships/hyperlink" Target="https://www.xingtu.cn/ad/creator/author-homepage/douyin-video/7226269848991432760?market_track_id=8A9G6GHW3NDOCIN6250N&amp;search_session_id=7618543739115814962&amp;possessStarId" TargetMode="External" Id="rId722" /><Relationship Type="http://schemas.openxmlformats.org/officeDocument/2006/relationships/hyperlink" Target="https://www.douyin.com/user/MS4wLjABAAAAwCtu87gZrDHeRrwW3RL3b4medimUkkLn5jRHDa06DpQSYItv3Y-82Pu1-PEh_WIA" TargetMode="External" Id="rId723" /><Relationship Type="http://schemas.openxmlformats.org/officeDocument/2006/relationships/hyperlink" Target="https://www.xingtu.cn/ad/creator/author-homepage/douyin-video/7028814470147211271?market_track_id=8A9G6GHW3NDOCIN6250N&amp;search_session_id=7618543739115814962&amp;possessStarId" TargetMode="External" Id="rId724" /><Relationship Type="http://schemas.openxmlformats.org/officeDocument/2006/relationships/hyperlink" Target="https://www.douyin.com/user/MS4wLjABAAAAT5N-h5kf7NK2pGeQHOTB5uYe_VIr3mSrxc-RSh7tXRJXnIE5_hqmZQmhIfz4HXrz" TargetMode="External" Id="rId725" /><Relationship Type="http://schemas.openxmlformats.org/officeDocument/2006/relationships/hyperlink" Target="https://www.xingtu.cn/ad/creator/author-homepage/douyin-video/7157865824835862542?market_track_id=8A9G6GHW3NDOCIN6250N&amp;search_session_id=7618544331024646194&amp;possessStarId" TargetMode="External" Id="rId726" /><Relationship Type="http://schemas.openxmlformats.org/officeDocument/2006/relationships/hyperlink" Target="https://www.douyin.com/user/MS4wLjABAAAAMLDrARFvjdkKw63auSBFCFfVAWQFw3QezRE2NxE4BC5DoRsDDqMDCoMMV4MGheJ-" TargetMode="External" Id="rId727" /><Relationship Type="http://schemas.openxmlformats.org/officeDocument/2006/relationships/hyperlink" Target="https://www.xingtu.cn/ad/creator/author-homepage/douyin-video/6961236725788049445?market_track_id=8A9G6GHW3NDOCIN6250N&amp;search_session_id=7618544331024646194&amp;possessStarId" TargetMode="External" Id="rId728" /><Relationship Type="http://schemas.openxmlformats.org/officeDocument/2006/relationships/hyperlink" Target="https://www.douyin.com/user/MS4wLjABAAAAI0vB6tbGVfRzYmP81kqgIHtt-KYU3nC-BD3TYoOI8_NiBQvBIyYj05McDGAsMNhp" TargetMode="External" Id="rId729" /><Relationship Type="http://schemas.openxmlformats.org/officeDocument/2006/relationships/hyperlink" Target="https://www.douyin.com/video/7547554707536989449" TargetMode="External" Id="rId730" /><Relationship Type="http://schemas.openxmlformats.org/officeDocument/2006/relationships/hyperlink" Target="https://www.xingtu.cn/ad/creator/author-homepage/douyin-video/7101236488704262180?market_track_id=8A9G6GHW3NDOCIN6250N&amp;search_session_id=7618544921965740070&amp;possessStarId" TargetMode="External" Id="rId731" /><Relationship Type="http://schemas.openxmlformats.org/officeDocument/2006/relationships/hyperlink" Target="https://www.douyin.com/user/MS4wLjABAAAAGSfOLN3atCadTvzhyK1aKWKvLc7JKkcCnzDNalEDAYY" TargetMode="External" Id="rId732" /><Relationship Type="http://schemas.openxmlformats.org/officeDocument/2006/relationships/hyperlink" Target="https://www.douyin.com/video/7546493465698323731?previous_page=app_code_link" TargetMode="External" Id="rId733" /><Relationship Type="http://schemas.openxmlformats.org/officeDocument/2006/relationships/hyperlink" Target="https://www.xingtu.cn/ad/creator/author-homepage/douyin-video/7263399127407394831?market_track_id=2QRDAY2R4HGYGLSXDJ2X&amp;search_session_id=7618841638756122634&amp;possessStarId" TargetMode="External" Id="rId734" /><Relationship Type="http://schemas.openxmlformats.org/officeDocument/2006/relationships/hyperlink" Target="https://www.douyin.com/user/MS4wLjABAAAApTNwM_iONnWwYZhtBXlDKqpjP1DxNbbbdXZ0WfKLru19xEGhwhVbXnttoXT1kM4v" TargetMode="External" Id="rId735" /><Relationship Type="http://schemas.openxmlformats.org/officeDocument/2006/relationships/hyperlink" Target="https://www.xingtu.cn/ad/creator/author-homepage/douyin-video/7413214416780394506?market_track_id=2QRDAY2R4HGYGLSXDJ2X&amp;search_session_id=7618841638756122634&amp;possessStarId" TargetMode="External" Id="rId736" /><Relationship Type="http://schemas.openxmlformats.org/officeDocument/2006/relationships/hyperlink" Target="https://www.douyin.com/user/MS4wLjABAAAAy_71SfQz64hqc8tBo0zngXhgDJrA_aeihVGVboPhYmA" TargetMode="External" Id="rId737" /><Relationship Type="http://schemas.openxmlformats.org/officeDocument/2006/relationships/hyperlink" Target="https://www.douyin.com/video/7459341641434877211" TargetMode="External" Id="rId738" /><Relationship Type="http://schemas.openxmlformats.org/officeDocument/2006/relationships/hyperlink" Target="https://www.xingtu.cn/ad/creator/author-homepage/douyin-video/6629723417387991047?market_track_id=2QRDAY2R4HGYGLSXDJ2X&amp;search_session_id=7618845949835034670&amp;possessStarId" TargetMode="External" Id="rId739" /><Relationship Type="http://schemas.openxmlformats.org/officeDocument/2006/relationships/hyperlink" Target="https://www.douyin.com/user/MS4wLjABAAAAMdW4vEH0CF50f5reKPhXosU5n1FJ-Y6e7gCZ0ATJFSc" TargetMode="External" Id="rId740" /><Relationship Type="http://schemas.openxmlformats.org/officeDocument/2006/relationships/hyperlink" Target="https://www.xingtu.cn/ad/creator/author-homepage/douyin-video/7412905831986888714?market_track_id=2QRDAY2R4HGYGLSXDJ2X&amp;search_session_id=7618845949835034670&amp;possessStarId" TargetMode="External" Id="rId741" /><Relationship Type="http://schemas.openxmlformats.org/officeDocument/2006/relationships/hyperlink" Target="https://www.douyin.com/user/MS4wLjABAAAAl2ctQZPBbs69FEEj3oZIMpP3uotc7e6zcesC-m5NsXg" TargetMode="External" Id="rId742" /><Relationship Type="http://schemas.openxmlformats.org/officeDocument/2006/relationships/hyperlink" Target="https://www.douyin.com/video/7615879027287089908?previous_page=app_code_link" TargetMode="External" Id="rId743" /><Relationship Type="http://schemas.openxmlformats.org/officeDocument/2006/relationships/hyperlink" Target="https://www.xingtu.cn/ad/creator/author-homepage/douyin-video/7130162637106577444?market_track_id=2QRDAY2R4HGYGLSXDJ2X&amp;search_session_id=7618845949835034670&amp;possessStarId" TargetMode="External" Id="rId744" /><Relationship Type="http://schemas.openxmlformats.org/officeDocument/2006/relationships/hyperlink" Target="https://www.douyin.com/user/MS4wLjABAAAAX9jNKnDtCqx8XXYuVE3a0f-D-Tt9eeN3VSMYg1to7g0" TargetMode="External" Id="rId745" /><Relationship Type="http://schemas.openxmlformats.org/officeDocument/2006/relationships/hyperlink" Target="https://www.xingtu.cn/ad/creator/author-homepage/douyin-video/7340242627557589030?market_track_id=2QRDAY2R4HGYGLSXDJ2X&amp;search_session_id=7618845949835034670&amp;possessStarId" TargetMode="External" Id="rId746" /><Relationship Type="http://schemas.openxmlformats.org/officeDocument/2006/relationships/hyperlink" Target="https://www.douyin.com/user/MS4wLjABAAAAiwnTb94xY5tXfPMYKw9xVBdfaoTM49N2wD5myet7Xto" TargetMode="External" Id="rId747" /><Relationship Type="http://schemas.openxmlformats.org/officeDocument/2006/relationships/hyperlink" Target="https://www.xingtu.cn/ad/creator/author-homepage/douyin-video/6834455957632712718?market_track_id=2QRDAY2R4HGYGLSXDJ2X&amp;search_session_id=7618845949835034670&amp;possessStarId" TargetMode="External" Id="rId748" /><Relationship Type="http://schemas.openxmlformats.org/officeDocument/2006/relationships/hyperlink" Target="https://www.douyin.com/user/MS4wLjABAAAA9Uf2N_afCH0mQ_5nWGpoC4wFulZZ0fuk8LtQGLAUbqE" TargetMode="External" Id="rId749" /><Relationship Type="http://schemas.openxmlformats.org/officeDocument/2006/relationships/hyperlink" Target="https://www.xingtu.cn/ad/creator/author-homepage/douyin-video/6770246259681787911?market_track_id=2QRDAY2R4HGYGLSXDJ2X&amp;search_session_id=7618852733019504678&amp;possessStarId" TargetMode="External" Id="rId750" /><Relationship Type="http://schemas.openxmlformats.org/officeDocument/2006/relationships/hyperlink" Target="https://www.douyin.com/user/MS4wLjABAAAAsQFY2WckQYO0nnOJNJBgLUzxCepbQJCSp8Zo3EcKSXc" TargetMode="External" Id="rId751" /><Relationship Type="http://schemas.openxmlformats.org/officeDocument/2006/relationships/hyperlink" Target="https://www.xingtu.cn/ad/creator/author-homepage/douyin-video/7025753596956246030?market_track_id=2QRDAY2R4HGYGLSXDJ2X&amp;search_session_id=7618852733019504678&amp;possessStarId" TargetMode="External" Id="rId752" /><Relationship Type="http://schemas.openxmlformats.org/officeDocument/2006/relationships/hyperlink" Target="https://www.douyin.com/user/MS4wLjABAAAAQxTkv44P0jI237ih3MXJKQ3-FZuqJMOCQoMxRVJvp8A" TargetMode="External" Id="rId753" /><Relationship Type="http://schemas.openxmlformats.org/officeDocument/2006/relationships/hyperlink" Target="https://www.douyin.com/video/7560217304925244730" TargetMode="External" Id="rId754" /><Relationship Type="http://schemas.openxmlformats.org/officeDocument/2006/relationships/hyperlink" Target="https://www.xingtu.cn/ad/creator/author-homepage/douyin-video/7271197745812095034?market_track_id=2QRDAY2R4HGYGLSXDJ2X&amp;search_session_id=7618852733019504678&amp;possessStarId" TargetMode="External" Id="rId755" /><Relationship Type="http://schemas.openxmlformats.org/officeDocument/2006/relationships/hyperlink" Target="https://www.douyin.com/user/MS4wLjABAAAAmSPk6-9eFUHnWudEdsZ6yEETC-e7_neQHnBk8TZh6JQ" TargetMode="External" Id="rId756" /><Relationship Type="http://schemas.openxmlformats.org/officeDocument/2006/relationships/hyperlink" Target="https://www.douyin.com/video/7567378675596980090" TargetMode="External" Id="rId757" /><Relationship Type="http://schemas.openxmlformats.org/officeDocument/2006/relationships/hyperlink" Target="https://www.xingtu.cn/ad/creator/author-homepage/douyin-video/6917076050329468942?market_track_id=2QRDAY2R4HGYGLSXDJ2X&amp;search_session_id=7618852733019504678&amp;possessStarId" TargetMode="External" Id="rId758" /><Relationship Type="http://schemas.openxmlformats.org/officeDocument/2006/relationships/hyperlink" Target="https://www.douyin.com/user/MS4wLjABAAAAyPKvMcmFZeoohM2Md0wXVDGCCgj6oWsUJI3SlKIkKxY" TargetMode="External" Id="rId759" /><Relationship Type="http://schemas.openxmlformats.org/officeDocument/2006/relationships/hyperlink" Target="https://www.douyin.com/video/7502650496201608505" TargetMode="External" Id="rId760" /><Relationship Type="http://schemas.openxmlformats.org/officeDocument/2006/relationships/hyperlink" Target="https://www.xingtu.cn/ad/creator/author-homepage/douyin-video/6987411860874067999?market_track_id=5A6HOFKFKTHRXB1LHGCR&amp;search_session_id=7618859456377798683&amp;possessStarId" TargetMode="External" Id="rId761" /><Relationship Type="http://schemas.openxmlformats.org/officeDocument/2006/relationships/hyperlink" Target="https://www.douyin.com/user/MS4wLjABAAAAGOEfeInhypUd-0QGtWmsetKH74tyUv_cWuniOEmZIPsdrKpNkANQPU6NsJkHZnb2" TargetMode="External" Id="rId762" /><Relationship Type="http://schemas.openxmlformats.org/officeDocument/2006/relationships/hyperlink" Target="https://www.xingtu.cn/ad/creator/author-homepage/douyin-video/7250313631873630220?market_track_id=5A6HOFKFKTHRXB1LHGCR&amp;search_session_id=7618859456377798683&amp;possessStarId" TargetMode="External" Id="rId763" /><Relationship Type="http://schemas.openxmlformats.org/officeDocument/2006/relationships/hyperlink" Target="https://www.douyin.com/user/MS4wLjABAAAAIkXfYvJYbpwFursUnN3Xb6dpIW_l1-i2gZINakgBXajGJx40jqnOJvIK450J1yDA" TargetMode="External" Id="rId764" /><Relationship Type="http://schemas.openxmlformats.org/officeDocument/2006/relationships/hyperlink" Target="https://www.douyin.com/video/7549046791322422537?previous_page=app_code_link" TargetMode="External" Id="rId765" /><Relationship Type="http://schemas.openxmlformats.org/officeDocument/2006/relationships/hyperlink" Target="https://www.xingtu.cn/ad/creator/author-homepage/douyin-video/6939722626608660487?market_track_id=5A6HOFKFKTHRXB1LHGCR&amp;search_session_id=7618859456377798683&amp;possessStarId" TargetMode="External" Id="rId766" /><Relationship Type="http://schemas.openxmlformats.org/officeDocument/2006/relationships/hyperlink" Target="https://www.douyin.com/user/MS4wLjABAAAAQvKCftPwz9tTUBAVXz_EdXetudUydGzzRnXjpP1cZlneqWJwKxQH5s3cjobyMEKw" TargetMode="External" Id="rId767" /><Relationship Type="http://schemas.openxmlformats.org/officeDocument/2006/relationships/hyperlink" Target="https://www.douyin.com/video/7560640059482279228" TargetMode="External" Id="rId768" /><Relationship Type="http://schemas.openxmlformats.org/officeDocument/2006/relationships/hyperlink" Target="https://www.xingtu.cn/ad/creator/author-homepage/douyin-video/7049500296354988068?market_track_id=5A6HOFKFKTHRXB1LHGCR&amp;search_session_id=7618864069680332841&amp;possessStarId" TargetMode="External" Id="rId769" /><Relationship Type="http://schemas.openxmlformats.org/officeDocument/2006/relationships/hyperlink" Target="https://www.douyin.com/user/MS4wLjABAAAA93m-zhcEYSb-JvbXJuvs3rgDWdCXc0pgAmyqMVJUTq8" TargetMode="External" Id="rId770" /><Relationship Type="http://schemas.openxmlformats.org/officeDocument/2006/relationships/hyperlink" Target="https://www.xingtu.cn/ad/creator/author-homepage/douyin-video/6935817485073514508?market_track_id=5A6HOFKFKTHRXB1LHGCR&amp;search_session_id=7618864069680332841&amp;possessStarId" TargetMode="External" Id="rId771" /><Relationship Type="http://schemas.openxmlformats.org/officeDocument/2006/relationships/hyperlink" Target="https://www.douyin.com/user/MS4wLjABAAAA_zJrUsUWCyjzUnAhIaWJh4ru2K76ZAxGZldIYVeBKxf0GeflVeChcxSNb95zkuUb" TargetMode="External" Id="rId772" /><Relationship Type="http://schemas.openxmlformats.org/officeDocument/2006/relationships/hyperlink" Target="https://www.douyin.com/video/7352081067588750604" TargetMode="External" Id="rId773" /><Relationship Type="http://schemas.openxmlformats.org/officeDocument/2006/relationships/hyperlink" Target="https://www.xingtu.cn/ad/creator/author-homepage/douyin-video/6674506731407540237?market_track_id=5A6HOFKFKTHRXB1LHGCR&amp;search_session_id=7618867037276061732&amp;possessStarId" TargetMode="External" Id="rId774" /><Relationship Type="http://schemas.openxmlformats.org/officeDocument/2006/relationships/hyperlink" Target="https://www.douyin.com/user/MS4wLjABAAAAbTQPjm6Xw3KZpsezM992HYPQaIAGZPw58qHG6vk1orE" TargetMode="External" Id="rId775" /><Relationship Type="http://schemas.openxmlformats.org/officeDocument/2006/relationships/hyperlink" Target="https://www.xingtu.cn/ad/creator/author/douyin/7035148598673145893" TargetMode="External" Id="rId776" /><Relationship Type="http://schemas.openxmlformats.org/officeDocument/2006/relationships/hyperlink" Target="https://www.douyin.com/user/MS4wLjABAAAAXsGCC7lQH6QEZlSFR0IMjIusmJ797ycDSJ7i2-xuNVI" TargetMode="External" Id="rId777" /><Relationship Type="http://schemas.openxmlformats.org/officeDocument/2006/relationships/hyperlink" Target="https://www.douyin.com/video/7566112373561949177" TargetMode="External" Id="rId778" /><Relationship Type="http://schemas.openxmlformats.org/officeDocument/2006/relationships/hyperlink" Target="https://www.xingtu.cn/ad/creator/author-homepage/douyin-video/6802195315425280008?market_track_id=I3AXFCO2FFOA5SYPCT78&amp;search_session_id=7605461670957154354&amp;possessStarId" TargetMode="External" Id="rId779" /><Relationship Type="http://schemas.openxmlformats.org/officeDocument/2006/relationships/hyperlink" Target="https://www.douyin.com/user/MS4wLjABAAAAlSz3mcmyAGG0yhJn26N7Q51TJVEmSIt5wFl8dJbQBNgbOYDsnizQJ15y0-ub0MBe" TargetMode="External" Id="rId780" /><Relationship Type="http://schemas.openxmlformats.org/officeDocument/2006/relationships/hyperlink" Target="https://www.xingtu.cn/ad/creator/author-homepage/douyin-video/7056697681633673254?market_track_id=5MSRLKT79NBF9NI0VRJU&amp;search_session_id=7605882072573870089&amp;possessStarId" TargetMode="External" Id="rId781" /><Relationship Type="http://schemas.openxmlformats.org/officeDocument/2006/relationships/hyperlink" Target="https://www.douyin.com/user/MS4wLjABAAAAGMRZ4QN-LI4wGhJlz6QYxBmj8wo9EV9ehqyzHZvon3DoJucSdZL6W2iIXsWGjl2i" TargetMode="External" Id="rId782" /><Relationship Type="http://schemas.openxmlformats.org/officeDocument/2006/relationships/hyperlink" Target="https://www.xingtu.cn/ad/creator/author-homepage/douyin-video/7144302846098276383?market_track_id=57AK8QJ7796S4R61FYUD&amp;search_session_id=7612529862233899054&amp;possessStarId" TargetMode="External" Id="rId783" /><Relationship Type="http://schemas.openxmlformats.org/officeDocument/2006/relationships/hyperlink" Target="https://www.douyin.com/user/MS4wLjABAAAADpWLYF7Frwaj4FHsza8dnXlbdTvG_edRvEBZWw3j71o-83zgeU9rWf1A62iQ0y6h" TargetMode="External" Id="rId784" /><Relationship Type="http://schemas.openxmlformats.org/officeDocument/2006/relationships/hyperlink" Target="https://www.xingtu.cn/ad/creator/author-homepage/douyin-video/7434138094598619162?market_track_id=5A6HOFKFKTHRXB1LHGCR&amp;search_session_id=7618867037276061732&amp;possessStarId" TargetMode="External" Id="rId785" /><Relationship Type="http://schemas.openxmlformats.org/officeDocument/2006/relationships/hyperlink" Target="https://www.douyin.com/user/MS4wLjABAAAAbusgPpOwOK7QsvRW8ek83TxhrTbyj4Y_P-EY_9cDAWYhaBQeeQYJdny4yLYGUdcc" TargetMode="External" Id="rId786" /><Relationship Type="http://schemas.openxmlformats.org/officeDocument/2006/relationships/hyperlink" Target="https://www.xingtu.cn/ad/creator/author-homepage/douyin-video/6870163126906519565?market_track_id=FLCBD4RXT5HYWEMG7UHR&amp;search_session_id=7611812381207265326&amp;possessStarId" TargetMode="External" Id="rId787" /><Relationship Type="http://schemas.openxmlformats.org/officeDocument/2006/relationships/hyperlink" Target="https://www.douyin.com/user/MS4wLjABAAAAytQ5bEH0kqRGdZKusd4gNP8-Hpu2cStRb0eBe4zkekw" TargetMode="External" Id="rId788" /><Relationship Type="http://schemas.openxmlformats.org/officeDocument/2006/relationships/hyperlink" Target="https://www.xingtu.cn/ad/creator/author/douyin/7187717265784045571" TargetMode="External" Id="rId789" /><Relationship Type="http://schemas.openxmlformats.org/officeDocument/2006/relationships/hyperlink" Target="https://www.douyin.com/user/MS4wLjABAAAA36ygQUleS8zQJWN96YBvSNwcASyhmwtmalAqx_BXrhQ" TargetMode="External" Id="rId790" /><Relationship Type="http://schemas.openxmlformats.org/officeDocument/2006/relationships/hyperlink" Target="https://www.xingtu.cn/ad/creator/author-homepage/douyin-video/6845479040711655437?market_track_id=FLCBD4RXT5HYWEMG7UHR&amp;search_session_id=7611816153388367918&amp;possessStarId" TargetMode="External" Id="rId791" /><Relationship Type="http://schemas.openxmlformats.org/officeDocument/2006/relationships/hyperlink" Target="https://www.douyin.com/user/MS4wLjABAAAAHidCXCW5lERrbOCVnFNYPYPgMDo-3ABhbupZNm8loQHeB6nGV9d98e77DVqKhwLz" TargetMode="External" Id="rId792" /><Relationship Type="http://schemas.openxmlformats.org/officeDocument/2006/relationships/hyperlink" Target="https://www.xingtu.cn/ad/creator/author/douyin/6986582519093149727" TargetMode="External" Id="rId793" /><Relationship Type="http://schemas.openxmlformats.org/officeDocument/2006/relationships/hyperlink" Target="https://www.douyin.com/user/MS4wLjABAAAAiqXKqFZq0zlTPzqTlkrc2n76duP8WLouphqLRgLEswk" TargetMode="External" Id="rId794" /><Relationship Type="http://schemas.openxmlformats.org/officeDocument/2006/relationships/hyperlink" Target="https://www.xingtu.cn/ad/creator/author-homepage/douyin-video/6870165875882721288?market_track_id=28IV43G9Y3MLDF90H43F&amp;search_session_id=7605449129901080603&amp;possessStarId" TargetMode="External" Id="rId795" /><Relationship Type="http://schemas.openxmlformats.org/officeDocument/2006/relationships/hyperlink" Target="https://www.douyin.com/user/MS4wLjABAAAAHEZvl70FPnX_9i3jFHyJUQcIer7Hz2124cXXeOlxAgs" TargetMode="External" Id="rId796" /><Relationship Type="http://schemas.openxmlformats.org/officeDocument/2006/relationships/hyperlink" Target="https://www.xingtu.cn/ad/creator/author-homepage/douyin-video/6795431243358928903?market_track_id=23A7DS8IV3VZ3BZD3ORA&amp;search_session_id=7605567873494908978&amp;possessStarId" TargetMode="External" Id="rId797" /><Relationship Type="http://schemas.openxmlformats.org/officeDocument/2006/relationships/hyperlink" Target="https://www.douyin.com/user/MS4wLjABAAAAst53hCwDJvgLvx0QuB5nt9Ev23U_06ghD9oYzN5YIx8" TargetMode="External" Id="rId798" /><Relationship Type="http://schemas.openxmlformats.org/officeDocument/2006/relationships/hyperlink" Target="https://www.xingtu.cn/ad/creator/author-homepage/douyin-video/7427403870072111155?market_track_id=JHTNBEGQO60RJNOU4K0V&amp;search_session_id=7612612744516632585&amp;possessStarId" TargetMode="External" Id="rId799" /><Relationship Type="http://schemas.openxmlformats.org/officeDocument/2006/relationships/hyperlink" Target="https://www.douyin.com/user/MS4wLjABAAAAvTAJb8dJVKxeMB1JkonLZFg0RomZgtjxb05Ya0FR4H4" TargetMode="External" Id="rId800" /><Relationship Type="http://schemas.openxmlformats.org/officeDocument/2006/relationships/hyperlink" Target="https://www.xingtu.cn/ad/creator/author-homepage/douyin-video/7475264104974778406?market_track_id=ZWASKBQKMRJE74YLWW0T&amp;search_session_id=7612933352894545947&amp;possessStarId" TargetMode="External" Id="rId801" /><Relationship Type="http://schemas.openxmlformats.org/officeDocument/2006/relationships/hyperlink" Target="https://www.douyin.com/user/MS4wLjABAAAA-k56s429UgYVRVj7_ppi7YZ171L9zDXOkdM1Kl46PqQ" TargetMode="External" Id="rId802" /><Relationship Type="http://schemas.openxmlformats.org/officeDocument/2006/relationships/hyperlink" Target="https://www.xingtu.cn/ad/creator/author-homepage/douyin-video/7209600735070126136?market_track_id=N9IQ7NEJKRBGPYRMSWWF&amp;search_session_id=7612939479762698291&amp;possessStarId" TargetMode="External" Id="rId803" /><Relationship Type="http://schemas.openxmlformats.org/officeDocument/2006/relationships/hyperlink" Target="https://www.douyin.com/user/MS4wLjABAAAAP6YjZLD6MkDQVfiFvhCKdWpPJNz959om7-SO1HklBfwyJSwZLmJIVFC83Gh5_01z" TargetMode="External" Id="rId804" /><Relationship Type="http://schemas.openxmlformats.org/officeDocument/2006/relationships/hyperlink" Target="https://www.xingtu.cn/ad/creator/author-homepage/douyin-video/7371376725386756150?market_track_id=V3SVRVAZNICLFPE0J6SJ&amp;search_session_id=7617737280752582665&amp;possessStarId" TargetMode="External" Id="rId805" /><Relationship Type="http://schemas.openxmlformats.org/officeDocument/2006/relationships/hyperlink" Target="https://www.douyin.com/user/MS4wLjABAAAAH6EuhbI0HTnZCrZS3_rhDHJ_L9-oLfolS-ufm5CQ_dM" TargetMode="External" Id="rId806" /><Relationship Type="http://schemas.openxmlformats.org/officeDocument/2006/relationships/hyperlink" Target="https://www.xingtu.cn/ad/creator/author-homepage/douyin-video/6629723068413509639?market_track_id=V3SVRVAZNICLFPE0J6SJ&amp;search_session_id=7617738312274591794&amp;possessStarId" TargetMode="External" Id="rId807" /><Relationship Type="http://schemas.openxmlformats.org/officeDocument/2006/relationships/hyperlink" Target="https://www.douyin.com/user/MS4wLjABAAAAV6vN5b6cqiaBT9CHFwNKh4-RBAXe5G3CEEVMltxeCyQ" TargetMode="External" Id="rId808" /><Relationship Type="http://schemas.openxmlformats.org/officeDocument/2006/relationships/hyperlink" Target="https://www.xingtu.cn/ad/creator/author-homepage/douyin-video/7307089287776829477?market_track_id=V3SVRVAZNICLFPE0J6SJ&amp;search_session_id=7617739065844465702&amp;possessStarId" TargetMode="External" Id="rId809" /><Relationship Type="http://schemas.openxmlformats.org/officeDocument/2006/relationships/hyperlink" Target="https://www.douyin.com/user/MS4wLjABAAAAzqS_PBshcJ_aSZNxIPkqZ_gBhrJq6KzsNRQjjU8aZRI" TargetMode="External" Id="rId810" /><Relationship Type="http://schemas.openxmlformats.org/officeDocument/2006/relationships/hyperlink" Target="https://www.xingtu.cn/ad/creator/author-homepage/douyin-video/7382884261608554506?market_track_id=V3SVRVAZNICLFPE0J6SJ&amp;search_session_id=7617739489735016498&amp;possessStarId" TargetMode="External" Id="rId811" /><Relationship Type="http://schemas.openxmlformats.org/officeDocument/2006/relationships/hyperlink" Target="https://www.douyin.com/user/MS4wLjABAAAA7lplVpa2j83bnjUKoVbuBMmgeQBKxzINNNpCl1MsIew" TargetMode="External" Id="rId812" /><Relationship Type="http://schemas.openxmlformats.org/officeDocument/2006/relationships/hyperlink" Target="https://www.xingtu.cn/ad/creator/author-homepage/douyin-video/7367182371520512037?market_track_id=V3SVRVAZNICLFPE0J6SJ&amp;search_session_id=7617739828616888347&amp;possessStarId" TargetMode="External" Id="rId813" /><Relationship Type="http://schemas.openxmlformats.org/officeDocument/2006/relationships/hyperlink" Target="https://www.douyin.com/user/MS4wLjABAAAASXNhw5qC3BgFGgRjVaj_KUtNG0sb1r1fHNwNFtfGrac" TargetMode="External" Id="rId814" /><Relationship Type="http://schemas.openxmlformats.org/officeDocument/2006/relationships/hyperlink" Target="https://www.xingtu.cn/ad/creator/author-homepage/douyin-video/7195808519419854909?market_track_id=V3SVRVAZNICLFPE0J6SJ&amp;search_session_id=7617739828616888347&amp;possessStarId" TargetMode="External" Id="rId815" /><Relationship Type="http://schemas.openxmlformats.org/officeDocument/2006/relationships/hyperlink" Target="https://www.douyin.com/user/MS4wLjABAAAAKVLBXglsD4wE2hlHYXoyq7LmT07Ftub19OjfZAh_x7moAdZdpvsVVTtUls2prYUb" TargetMode="External" Id="rId816" /><Relationship Type="http://schemas.openxmlformats.org/officeDocument/2006/relationships/hyperlink" Target="https://www.xingtu.cn/ad/creator/author-homepage/douyin-video/6791285912912265230?market_track_id=V3SVRVAZNICLFPE0J6SJ&amp;search_session_id=7617739828616888347&amp;possessStarId" TargetMode="External" Id="rId817" /><Relationship Type="http://schemas.openxmlformats.org/officeDocument/2006/relationships/hyperlink" Target="https://www.douyin.com/user/MS4wLjABAAAAaNkxnzLGYv4rEIP52cuiWtdlvz11ZjOU6mJ0R4_QWWE" TargetMode="External" Id="rId818" /><Relationship Type="http://schemas.openxmlformats.org/officeDocument/2006/relationships/hyperlink" Target="https://www.xingtu.cn/ad/creator/author-homepage/douyin-video/7079471717306859560?market_track_id=3OS0HM7OVN3SYN0IJITL&amp;search_session_id=7617741635262185510&amp;possessStarId" TargetMode="External" Id="rId819" /><Relationship Type="http://schemas.openxmlformats.org/officeDocument/2006/relationships/hyperlink" Target="https://www.douyin.com/user/MS4wLjABAAAAZWtX6HzX5NTPTBxcoqx0xd48bIzbJbqEibYqhmXToOo" TargetMode="External" Id="rId820" /><Relationship Type="http://schemas.openxmlformats.org/officeDocument/2006/relationships/hyperlink" Target="https://www.xingtu.cn/ad/creator/author-homepage/douyin-video/6966856536920424461?market_track_id=3OS0HM7OVN3SYN0IJITL&amp;search_session_id=7617742245093507081&amp;possessStarId" TargetMode="External" Id="rId821" /><Relationship Type="http://schemas.openxmlformats.org/officeDocument/2006/relationships/hyperlink" Target="https://www.douyin.com/user/MS4wLjABAAAAra1iK76STi4Qgd7gH5Zwr38SJb41Opbw3ZOlpUU0d90" TargetMode="External" Id="rId822" /><Relationship Type="http://schemas.openxmlformats.org/officeDocument/2006/relationships/hyperlink" Target="https://www.xingtu.cn/ad/creator/author-homepage/douyin-video/7285762799337209917?market_track_id=3OS0HM7OVN3SYN0IJITL&amp;search_session_id=7617742245093507081&amp;possessStarId" TargetMode="External" Id="rId823" /><Relationship Type="http://schemas.openxmlformats.org/officeDocument/2006/relationships/hyperlink" Target="https://www.douyin.com/user/MS4wLjABAAAA8ew5kbML45thNTQRBofUnhpRIutWPuepUzPtYXqkwI5nefgJDAXFX13p4MKCUeha" TargetMode="External" Id="rId824" /><Relationship Type="http://schemas.openxmlformats.org/officeDocument/2006/relationships/hyperlink" Target="https://www.xingtu.cn/ad/creator/author-homepage/douyin-video/7457923151943434267?market_track_id=3OS0HM7OVN3SYN0IJITL&amp;search_session_id=7617742853069946890&amp;possessStarId" TargetMode="External" Id="rId825" /><Relationship Type="http://schemas.openxmlformats.org/officeDocument/2006/relationships/hyperlink" Target="https://www.douyin.com/user/MS4wLjABAAAABHg-x5mJj6Kc2i_UlK4sT7_RLcCqqYpuw61Rx4ZCGo86YZUFhI8ULO8GypR_bsqn" TargetMode="External" Id="rId826" /><Relationship Type="http://schemas.openxmlformats.org/officeDocument/2006/relationships/hyperlink" Target="https://www.xingtu.cn/ad/creator/author-homepage/douyin-video/6853263318207954952?market_track_id=3OS0HM7OVN3SYN0IJITL&amp;search_session_id=7617743943477575730&amp;possessStarId" TargetMode="External" Id="rId827" /><Relationship Type="http://schemas.openxmlformats.org/officeDocument/2006/relationships/hyperlink" Target="https://www.douyin.com/user/MS4wLjABAAAAttQnThYYvUttbHudM3Qo80LYIZxA3EmOHZ4xqHMmILbkMZhLh7ZEbw5uJAMQF-my" TargetMode="External" Id="rId828" /><Relationship Type="http://schemas.openxmlformats.org/officeDocument/2006/relationships/hyperlink" Target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&#20912;&#31665;" TargetMode="External" Id="rId829" /><Relationship Type="http://schemas.openxmlformats.org/officeDocument/2006/relationships/hyperlink" Target="https://www.douyin.com/user/MS4wLjABAAAAxXgHKJ1FHUF1zt6f9FXSjPzFf_sN29TLoQs8UBWRxHI" TargetMode="External" Id="rId830" /><Relationship Type="http://schemas.openxmlformats.org/officeDocument/2006/relationships/hyperlink" Target="https://www.xingtu.cn/ad/creator/author-homepage/douyin-video/7235217904738926596?market_track_id=2KVOMPJN4QSG01E4YUAX&amp;search_session_id=7613672629345452082&amp;possessStarId" TargetMode="External" Id="rId831" /><Relationship Type="http://schemas.openxmlformats.org/officeDocument/2006/relationships/hyperlink" Target="https://www.douyin.com/user/MS4wLjABAAAAtR50iDXDnqRgvZGtkakkoNhbJvAL145MBUi55rnGd4CooXaFwC5zmcfTfPJctKY9" TargetMode="External" Id="rId832" /><Relationship Type="http://schemas.openxmlformats.org/officeDocument/2006/relationships/hyperlink" Target="https://www.xingtu.cn/ad/creator/author-homepage/douyin-video/7270897124420616248?market_track_id=7P11BU0QH3JUILEBBP4A&amp;search_session_id=7614054949244190758&amp;possessStarId" TargetMode="External" Id="rId833" /><Relationship Type="http://schemas.openxmlformats.org/officeDocument/2006/relationships/hyperlink" Target="https://www.douyin.com/user/MS4wLjABAAAAg8Mg_d7hgLjyA9uAtaqiTvttWPKZ5yWHuoIODMrmP44HvVKzkPwWZqK19nFJ1WeF" TargetMode="External" Id="rId834" /><Relationship Type="http://schemas.openxmlformats.org/officeDocument/2006/relationships/hyperlink" Target="https://www.xingtu.cn/ad/creator/author-homepage/douyin-video/6904928031547064335?market_track_id=NHDHIZHMWY3LDTI1FTJQ&amp;search_session_id=7614064463817539610&amp;possessStarId" TargetMode="External" Id="rId835" /><Relationship Type="http://schemas.openxmlformats.org/officeDocument/2006/relationships/hyperlink" Target="https://www.douyin.com/user/MS4wLjABAAAA4BllNusuuP22r0wVxSBWvVleCtUAvfEKlWx_vHMFjP8" TargetMode="External" Id="rId836" /><Relationship Type="http://schemas.openxmlformats.org/officeDocument/2006/relationships/hyperlink" Target="https://www.douyin.com/video/7553536649356119359" TargetMode="External" Id="rId837" /><Relationship Type="http://schemas.openxmlformats.org/officeDocument/2006/relationships/hyperlink" Target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&#27833;&#28895;&#26426;" TargetMode="External" Id="rId838" /><Relationship Type="http://schemas.openxmlformats.org/officeDocument/2006/relationships/hyperlink" Target="https://www.douyin.com/user/MS4wLjABAAAAiN15qBuxq9JWH-8-zX4vmzMSSPoRvRUcOQze7Z3ORzs" TargetMode="External" Id="rId839" /><Relationship Type="http://schemas.openxmlformats.org/officeDocument/2006/relationships/hyperlink" Target="https://www.douyin.com/video/7599622349101647537" TargetMode="External" Id="rId840" /><Relationship Type="http://schemas.openxmlformats.org/officeDocument/2006/relationships/hyperlink" Target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&#27833;&#28895;&#26426;" TargetMode="External" Id="rId841" /><Relationship Type="http://schemas.openxmlformats.org/officeDocument/2006/relationships/hyperlink" Target="https://www.douyin.com/user/MS4wLjABAAAACtgEdFXImTysoKNBtymQvAFIpFUR1girZ-l6HWP7_JaZeR8_4AoYkHtonTFqCcYx" TargetMode="External" Id="rId842" /><Relationship Type="http://schemas.openxmlformats.org/officeDocument/2006/relationships/hyperlink" Target="https://www.douyin.com/video/7502782095450869019" TargetMode="External" Id="rId843" /><Relationship Type="http://schemas.openxmlformats.org/officeDocument/2006/relationships/hyperlink" Target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&#27927;&#30871;&#26426;" TargetMode="External" Id="rId844" /><Relationship Type="http://schemas.openxmlformats.org/officeDocument/2006/relationships/hyperlink" Target="https://www.douyin.com/user/MS4wLjABAAAAhmWBGlEtnFXYP_l2mPtSVcAIWU7XFHRkw1uhSXKHmwo" TargetMode="External" Id="rId845" /><Relationship Type="http://schemas.openxmlformats.org/officeDocument/2006/relationships/hyperlink" Target="https://www.douyin.com/video/7559897109244316985?previous_page=app_code_link" TargetMode="External" Id="rId846" /><Relationship Type="http://schemas.openxmlformats.org/officeDocument/2006/relationships/hyperlink" Target="https://www.xingtu.cn/ad/creator/author-homepage/douyin-video/6920165577600270344?market_track_id=SYU2O2J77PRZD6HSWFO4&amp;search_session_id=7611491430255001609&amp;possessStarId" TargetMode="External" Id="rId847" /><Relationship Type="http://schemas.openxmlformats.org/officeDocument/2006/relationships/hyperlink" Target="https://www.douyin.com/user/MS4wLjABAAAAEvnSjkvkAzbDpQ0caF50IYBkgWOAyJwd-CNfev5tkxAj7GiO0lFBkO07G1LayvKm" TargetMode="External" Id="rId848" /><Relationship Type="http://schemas.openxmlformats.org/officeDocument/2006/relationships/hyperlink" Target="https://www.xingtu.cn/ad/creator/author-homepage/douyin-video/7121607124089569316?market_track_id=CTMSOHG2UEDVFASGDN5K&amp;search_session_id=7613298886794395674&amp;possessStarId" TargetMode="External" Id="rId849" /><Relationship Type="http://schemas.openxmlformats.org/officeDocument/2006/relationships/hyperlink" Target="https://www.douyin.com/user/MS4wLjABAAAA_N4YHaBZG_IZZPlX7oB0vR7z3cTveIodjhr3FXhmnYwo0qy9nnZzVA0idcTMj3-H" TargetMode="External" Id="rId850" /><Relationship Type="http://schemas.openxmlformats.org/officeDocument/2006/relationships/hyperlink" Target="https://www.xingtu.cn/ad/creator/author-homepage/douyin-video/7012557078963159043?market_track_id=T3F09RSZB5J532D966YC&amp;search_session_id=7613303540936818738&amp;possessStarId" TargetMode="External" Id="rId851" /><Relationship Type="http://schemas.openxmlformats.org/officeDocument/2006/relationships/hyperlink" Target="https://www.douyin.com/user/MS4wLjABAAAAfNVPEhjcQudNSFplx0LoYrdvH8rrT7GoYQ_Ij09FMfw" TargetMode="External" Id="rId852" /><Relationship Type="http://schemas.openxmlformats.org/officeDocument/2006/relationships/hyperlink" Target="https://www.xingtu.cn/ad/creator/author-homepage/douyin-video/7381753558883893299?market_track_id=H4ETHBZMFZY3TAGCQ3FA&amp;search_session_id=7613664374527885358&amp;possessStarId" TargetMode="External" Id="rId853" /><Relationship Type="http://schemas.openxmlformats.org/officeDocument/2006/relationships/hyperlink" Target="https://www.douyin.com/user/MS4wLjABAAAAlW6qdt6ZVRhZtUHJNWqoM3xP-TOU3bXaVQyE5UjRTH8uU4lnR0hPF-7LlHozelfw" TargetMode="External" Id="rId854" /><Relationship Type="http://schemas.openxmlformats.org/officeDocument/2006/relationships/hyperlink" Target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&#27927;&#30871;&#26426;" TargetMode="External" Id="rId855" /><Relationship Type="http://schemas.openxmlformats.org/officeDocument/2006/relationships/hyperlink" Target="https://www.douyin.com/user/MS4wLjABAAAAP0p19DKAPCeDWTBGWDVpHAsjIRQIlDl3ehczZGtLdZQ" TargetMode="External" Id="rId856" /><Relationship Type="http://schemas.openxmlformats.org/officeDocument/2006/relationships/hyperlink" Target="https://www.xingtu.cn/ad/creator/author-homepage/douyin-video/7345359121169776650?market_track_id=7XTIV3268V2E8E5IT2EH&amp;search_session_id=7615464980443709490&amp;possessStarId" TargetMode="External" Id="rId857" /><Relationship Type="http://schemas.openxmlformats.org/officeDocument/2006/relationships/hyperlink" Target="https://www.douyin.com/user/MS4wLjABAAAAoZrfiAPRqnQsecoH9wT6_ghGAHI6xrCobmimGNFnCfyKylgFh9SW4GD3EYEn_r1p" TargetMode="External" Id="rId858" /><Relationship Type="http://schemas.openxmlformats.org/officeDocument/2006/relationships/hyperlink" Target="https://www.xingtu.cn/ad/creator/author-homepage/douyin-video/6852032860858089487?market_track_id=I3AXFCO2FFOA5SYPCT78&amp;search_session_id=7605451398251888690&amp;possessStarId" TargetMode="External" Id="rId859" /><Relationship Type="http://schemas.openxmlformats.org/officeDocument/2006/relationships/hyperlink" Target="https://www.douyin.com/user/MS4wLjABAAAA5eWz7uX9robWyIw2haX9428cHpyuIrWUeDqFI1J7mko" TargetMode="External" Id="rId860" /><Relationship Type="http://schemas.openxmlformats.org/officeDocument/2006/relationships/hyperlink" Target="https://www.xingtu.cn/ad/creator/author-homepage/douyin-video/6896359756827459591?market_track_id=BU8GKV5W3XFJCTREMRGB&amp;search_session_id=7605444486264520755&amp;possessStarId" TargetMode="External" Id="rId861" /><Relationship Type="http://schemas.openxmlformats.org/officeDocument/2006/relationships/hyperlink" Target="https://www.douyin.com/user/MS4wLjABAAAA5iMhOQOEbK1fkp3ALCP3QrUcBfWiw-CElER1wF2ybX4" TargetMode="External" Id="rId862" /><Relationship Type="http://schemas.openxmlformats.org/officeDocument/2006/relationships/hyperlink" Target="https://www.xingtu.cn/ad/creator/author-homepage/douyin-video/6968524225481015299?market_track_id=H4ETHBZMFZY3TAGCQ3FA&amp;search_session_id=7613665705892266034&amp;possessStarId" TargetMode="External" Id="rId863" /><Relationship Type="http://schemas.openxmlformats.org/officeDocument/2006/relationships/hyperlink" Target="https://www.douyin.com/user/MS4wLjABAAAAvbVySaoiJbUbHymqxLMTMoWoy5m3jybj_ZtILScBFnw" TargetMode="External" Id="rId864" /><Relationship Type="http://schemas.openxmlformats.org/officeDocument/2006/relationships/hyperlink" Target="https://www.xingtu.cn/ad/creator/author-homepage/douyin-video/7374012112449830963?market_track_id=SW5R02Z287BG97RJ9TP0&amp;search_session_id=7613708909291520009&amp;possessStarId" TargetMode="External" Id="rId865" /><Relationship Type="http://schemas.openxmlformats.org/officeDocument/2006/relationships/hyperlink" Target="https://www.douyin.com/user/MS4wLjABAAAAWhUtU86K-QcRWDv9sq_jLbAHWRckIXJ5YcHK7qI9pOQ" TargetMode="External" Id="rId866" /><Relationship Type="http://schemas.openxmlformats.org/officeDocument/2006/relationships/hyperlink" Target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&#27927;&#30871;&#26426;" TargetMode="External" Id="rId867" /><Relationship Type="http://schemas.openxmlformats.org/officeDocument/2006/relationships/hyperlink" Target="https://www.douyin.com/user/MS4wLjABAAAA7slDjZsDDFxXoscBEUG2oZSUhl0f8x-RhBd5rK2YchuwBEDJD-fXQrisE7VCeOrJ" TargetMode="External" Id="rId868" /><Relationship Type="http://schemas.openxmlformats.org/officeDocument/2006/relationships/hyperlink" Target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&#27927;&#30871;&#26426;" TargetMode="External" Id="rId869" /><Relationship Type="http://schemas.openxmlformats.org/officeDocument/2006/relationships/hyperlink" Target="https://www.douyin.com/user/MS4wLjABAAAA0BIOqMlFvRjsOveQoVO6Wq1DaOgs2LMB-wAXHRZeIIg" TargetMode="External" Id="rId870" /><Relationship Type="http://schemas.openxmlformats.org/officeDocument/2006/relationships/hyperlink" Target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&#27927;&#30871;&#26426;" TargetMode="External" Id="rId871" /><Relationship Type="http://schemas.openxmlformats.org/officeDocument/2006/relationships/hyperlink" Target="https://www.douyin.com/user/MS4wLjABAAAAi0Z66aFzn6W5NeNnoo3rJeN1JxHSs4ltPgW616-pL2Bv1fTfgd_AdyyBauGPe1xm" TargetMode="External" Id="rId872" /><Relationship Type="http://schemas.openxmlformats.org/officeDocument/2006/relationships/hyperlink" Target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&#27833;&#28895;&#26426;" TargetMode="External" Id="rId873" /><Relationship Type="http://schemas.openxmlformats.org/officeDocument/2006/relationships/hyperlink" Target="https://www.douyin.com/user/MS4wLjABAAAAw62OndX7mTNjejKQRh6SQYU_9TjuHI_GsCqDZCEiz9c" TargetMode="External" Id="rId874" /><Relationship Type="http://schemas.openxmlformats.org/officeDocument/2006/relationships/hyperlink" Target="https://www.xingtu.cn/ad/creator/author-homepage/douyin-video/7215526602636001283?market_track_id=2HPQ3HRNLPZF3O2NNCPK&amp;search_session_id=7615456741454544923&amp;possessStarId" TargetMode="External" Id="rId875" /><Relationship Type="http://schemas.openxmlformats.org/officeDocument/2006/relationships/hyperlink" Target="https://www.douyin.com/user/MS4wLjABAAAAvLnzMrcSjaXfkhP2RsN54q3z2FdcxAf-CCFnJ9PrfMM" TargetMode="External" Id="rId876" /><Relationship Type="http://schemas.openxmlformats.org/officeDocument/2006/relationships/hyperlink" Target="https://www.xingtu.cn/ad/creator/author-homepage/douyin-video/7284525791256412216?market_track_id=2HPQ3HRNLPZF3O2NNCPK&amp;search_session_id=7615457725783031846&amp;possessStarId" TargetMode="External" Id="rId877" /><Relationship Type="http://schemas.openxmlformats.org/officeDocument/2006/relationships/hyperlink" Target="https://www.douyin.com/user/MS4wLjABAAAAE02CEEZR-G8X-daREUFZiMOepruk8UmM1XuGjYLEm1Iq_aUvDbhnHG8wsz-x5kYZ" TargetMode="External" Id="rId878" /><Relationship Type="http://schemas.openxmlformats.org/officeDocument/2006/relationships/hyperlink" Target="https://www.xingtu.cn/ad/creator/author-homepage/douyin-video/6870170334209769479?market_track_id=2HPQ3HRNLPZF3O2NNCPK&amp;search_session_id=7615457725783031846&amp;possessStarId" TargetMode="External" Id="rId879" /><Relationship Type="http://schemas.openxmlformats.org/officeDocument/2006/relationships/hyperlink" Target="https://www.douyin.com/user/MS4wLjABAAAAsvKZAG9tg8xDWUM7kYrWLBjCK9xzFPoY5mHwGl2nd4Na-EHLIOqis9AKbu5RITbY" TargetMode="External" Id="rId880" /><Relationship Type="http://schemas.openxmlformats.org/officeDocument/2006/relationships/hyperlink" Target="https://www.xingtu.cn/ad/creator/author-homepage/douyin-video/6870163502879735815?market_track_id=7XTIV3268V2E8E5IT2EH&amp;search_session_id=7615463195943927858&amp;possessStarId" TargetMode="External" Id="rId881" /><Relationship Type="http://schemas.openxmlformats.org/officeDocument/2006/relationships/hyperlink" Target="https://www.douyin.com/user/MS4wLjABAAAATWFDIem4wHJK5WvRisrwahjXdK1bD_lsJ6ptOhWcZ24" TargetMode="External" Id="rId882" /><Relationship Type="http://schemas.openxmlformats.org/officeDocument/2006/relationships/hyperlink" Target="https://www.xingtu.cn/ad/creator/author-homepage/douyin-video/7055226032839884807?market_track_id=7XTIV3268V2E8E5IT2EH&amp;search_session_id=7615466233768443954&amp;possessStarId" TargetMode="External" Id="rId883" /><Relationship Type="http://schemas.openxmlformats.org/officeDocument/2006/relationships/hyperlink" Target="https://www.douyin.com/user/MS4wLjABAAAAsySP850WwppMDK6QAq7ZCuhOhbUYsRLYn0GqD63aYk4" TargetMode="External" Id="rId884" /><Relationship Type="http://schemas.openxmlformats.org/officeDocument/2006/relationships/hyperlink" Target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&#27833;&#28895;&#26426;" TargetMode="External" Id="rId885" /><Relationship Type="http://schemas.openxmlformats.org/officeDocument/2006/relationships/hyperlink" Target="https://www.douyin.com/user/MS4wLjABAAAAfYU-pzQ1R1LkhnEswzQeTah8XvAze2T-j9gmANn6w2E" TargetMode="External" Id="rId886" /><Relationship Type="http://schemas.openxmlformats.org/officeDocument/2006/relationships/hyperlink" Target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&#27833;&#28895;&#26426;" TargetMode="External" Id="rId887" /><Relationship Type="http://schemas.openxmlformats.org/officeDocument/2006/relationships/hyperlink" Target="https://www.douyin.com/user/MS4wLjABAAAA3qWxZw2BoHAJqcOlbTuiy9r6cAA4wtPJFmDXbEtp9mM" TargetMode="External" Id="rId888" /><Relationship Type="http://schemas.openxmlformats.org/officeDocument/2006/relationships/hyperlink" Target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&#27833;&#28895;&#26426;" TargetMode="External" Id="rId889" /><Relationship Type="http://schemas.openxmlformats.org/officeDocument/2006/relationships/hyperlink" Target="https://www.douyin.com/user/MS4wLjABAAAAGUA3s_FZOLUkQcZEn-t4I4BGQq7NKOfX2BkK-V-jbU0" TargetMode="External" Id="rId890" /><Relationship Type="http://schemas.openxmlformats.org/officeDocument/2006/relationships/hyperlink" Target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&#27833;&#28895;&#26426;" TargetMode="External" Id="rId891" /><Relationship Type="http://schemas.openxmlformats.org/officeDocument/2006/relationships/hyperlink" Target="https://www.douyin.com/user/MS4wLjABAAAAi5ESFdeQq1Lfu3IoL8O7RDD3wDBZrPzLm22BbHC_PyE" TargetMode="External" Id="rId892" /><Relationship Type="http://schemas.openxmlformats.org/officeDocument/2006/relationships/hyperlink" Target="https://www.xingtu.cn/ad/creator/author-homepage/douyin-video/7495973776300408859?market_track_id=PWQW3OK5VNZ1SLBXNIR0&amp;search_session_id=7611072156659302427&amp;possessStarId" TargetMode="External" Id="rId893" /><Relationship Type="http://schemas.openxmlformats.org/officeDocument/2006/relationships/hyperlink" Target="https://www.douyin.com/user/MS4wLjABAAAAnq7rHHWhn8NtYJqh0PT6cEv-grsVAk9-MV_5DFwB2tX-u92xZiyX2-8drDyBmlL5" TargetMode="External" Id="rId894" /><Relationship Type="http://schemas.openxmlformats.org/officeDocument/2006/relationships/hyperlink" Target="https://www.xingtu.cn/ad/creator/author-homepage/douyin-video/6944117204090617894?market_track_id=PVVZQQZTA088YGZCZE3M&amp;search_session_id=7615829959416086554&amp;possessStarId" TargetMode="External" Id="rId895" /><Relationship Type="http://schemas.openxmlformats.org/officeDocument/2006/relationships/hyperlink" Target="https://www.douyin.com/user/MS4wLjABAAAAuizX40s-AiiyhJ8OJ2i-rV2hqLjwZX_3PJaczfPMbVJxQShBk98mSmtC11y_wVBd" TargetMode="External" Id="rId896" /><Relationship Type="http://schemas.openxmlformats.org/officeDocument/2006/relationships/hyperlink" Target="https://www.xingtu.cn/ad/creator/author-homepage/douyin-video/7443044824921407538?market_track_id=OTDIBZQ2VDQKJ5MLUFVC&amp;search_session_id=7615830546245566491&amp;possessStarId" TargetMode="External" Id="rId897" /><Relationship Type="http://schemas.openxmlformats.org/officeDocument/2006/relationships/hyperlink" Target="https://www.douyin.com/user/MS4wLjABAAAAU1CIlkZD-ncNht3DJ2gyjpQMbJA8cuxm85PhmuFBlH_Xuege6EKfHP7JJ1ejcU0i" TargetMode="External" Id="rId898" /><Relationship Type="http://schemas.openxmlformats.org/officeDocument/2006/relationships/hyperlink" Target="https://www.xingtu.cn/ad/creator/author-homepage/douyin-video/6870170595837870087?market_track_id=3OS0HM7OVN3SYN0IJITL&amp;search_session_id=7617744266638721075&amp;possessStarId" TargetMode="External" Id="rId899" /><Relationship Type="http://schemas.openxmlformats.org/officeDocument/2006/relationships/hyperlink" Target="https://www.douyin.com/user/MS4wLjABAAAAgg2ir5yP1-cMGegOYE0mUsYxlTheyIGyiPXCt9ytyc5FhwYOrI23XXjFQ5J5qI2b" TargetMode="External" Id="rId900" /><Relationship Type="http://schemas.openxmlformats.org/officeDocument/2006/relationships/hyperlink" Target="https://www.xingtu.cn/ad/creator/author-homepage/douyin-video/6986059745152991272?market_track_id=L6OVDUJQ4O614ZL9TH2Q&amp;search_session_id=7614028749639303218&amp;possessStarId" TargetMode="External" Id="rId901" /><Relationship Type="http://schemas.openxmlformats.org/officeDocument/2006/relationships/hyperlink" Target="https://www.douyin.com/user/MS4wLjABAAAA0IM_YtJKDo8tVLPsKWnHWVUSQjnHKgZpw0TRsqXB35GlzriFzcns96tjKKRr7WTI" TargetMode="External" Id="rId902" /><Relationship Type="http://schemas.openxmlformats.org/officeDocument/2006/relationships/hyperlink" Target="https://www.xingtu.cn/ad/creator/author-homepage/douyin-video/7178384753874173987?market_track_id=WQYDLK95ZIKAMRQ6Y2QU&amp;search_session_id=7614026091378180146&amp;possessStarId" TargetMode="External" Id="rId903" /><Relationship Type="http://schemas.openxmlformats.org/officeDocument/2006/relationships/hyperlink" Target="https://www.douyin.com/user/MS4wLjABAAAAGkPRwD17lxAwIwfU_cS_ZCFQDp3onlv7Vt4oWuF3UhNS0eRgdJMLDUx_2-BynGRj" TargetMode="External" Id="rId904" /><Relationship Type="http://schemas.openxmlformats.org/officeDocument/2006/relationships/hyperlink" Target="https://www.xingtu.cn/ad/creator/author-homepage/douyin-video/6802523335012909069?market_track_id=EYBQHQN99X2O5Q0DSX1Q&amp;search_session_id=7614014387368149030&amp;possessStarId" TargetMode="External" Id="rId905" /><Relationship Type="http://schemas.openxmlformats.org/officeDocument/2006/relationships/hyperlink" Target="https://www.douyin.com/user/MS4wLjABAAAAISjmopPTsqgdmoF2_63yBDkUBB5dl1JxIS4veijKvu8lHpIfoe697n4IHzQiiL1h" TargetMode="External" Id="rId906" /><Relationship Type="http://schemas.openxmlformats.org/officeDocument/2006/relationships/hyperlink" Target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&#27927;&#30871;&#26426;" TargetMode="External" Id="rId907" /><Relationship Type="http://schemas.openxmlformats.org/officeDocument/2006/relationships/hyperlink" Target="https://www.douyin.com/user/MS4wLjABAAAAc5kxst574ZOPmOCPOBZeuzPkfjqvCtEGcCL3rqLzrQI" TargetMode="External" Id="rId908" /><Relationship Type="http://schemas.openxmlformats.org/officeDocument/2006/relationships/hyperlink" Target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&#20912;&#31665;" TargetMode="External" Id="rId909" /><Relationship Type="http://schemas.openxmlformats.org/officeDocument/2006/relationships/hyperlink" Target="https://www.douyin.com/user/MS4wLjABAAAAIOpleKo7Lc3cla1Wa0km2Zx-rz5yHAufN_c36E1LY6M" TargetMode="External" Id="rId910" /><Relationship Type="http://schemas.openxmlformats.org/officeDocument/2006/relationships/hyperlink" Target="https://www.xingtu.cn/ad/creator/author-homepage/douyin-video/7215493945617285157?market_track_id=218B8CCHGQ6LX2E927X2&amp;search_session_id=7618538479689236490&amp;possessStarId" TargetMode="External" Id="rId911" /><Relationship Type="http://schemas.openxmlformats.org/officeDocument/2006/relationships/hyperlink" Target="https://www.douyin.com/user/MS4wLjABAAAAeRcCWOoVolGsaG8TNTRr_lvHdNa_8HS4ujX9IwgdZAZk-kZPXaVbuDXzy1BAXc4j" TargetMode="External" Id="rId912" /><Relationship Type="http://schemas.openxmlformats.org/officeDocument/2006/relationships/hyperlink" Target="https://www.xingtu.cn/ad/creator/author/douyin/6870163126906519565/1?market_track_id=KAW3G5XX7Q647JIVPTLI&amp;search_session_id=7452273290539925543&amp;video_type=2&amp;_route_from=from_page=Market&amp;search_session_id=7452273290539925543&amp;is_for_order=1&amp;market_track_id=KAW3G5XX7Q647JIVPTLI&amp;platform_source=1&amp;key=%E9%98%BF%E5%AE%81%E5%AE%B6&amp;order_by=score&amp;sort_type=2&amp;search_scene=1&amp;display_scene=1&amp;limit=20&amp;page=1&amp;regular_filter=%5Bobject+Object%5D&amp;multi_string_attribute_filter=%5Bobject+Object%5D&amp;attribute_filter=%5Bobject+Object%5D&amp;task_category=1&amp;package_id=undefined&amp;is_filter=0&amp;current_tab=2&amp;displayScene=market&amp;is_limit_time_price=0&amp;possessStarId&amp;btm_ppre=a0.b0.c0.d0&amp;btm_pre=a4738.b16016.c26503.d3332&amp;btm_show_id=e0797c9f-2c80-4e96-ae22-6c3af051885d" TargetMode="External" Id="rId913" /><Relationship Type="http://schemas.openxmlformats.org/officeDocument/2006/relationships/hyperlink" Target="https://www.douyin.com/user/MS4wLjABAAAAytQ5bEH0kqRGdZKusd4gNP8-Hpu2cStRb0eBe4zkekw?relation=0&amp;vid=7402991638194244914" TargetMode="External" Id="rId914" /><Relationship Type="http://schemas.openxmlformats.org/officeDocument/2006/relationships/hyperlink" Target="https://www.xingtu.cn/ad/creator/author-homepage/douyin-video/7545034640386424882?market_track_id=16N2Q1K7O61F6E8ADYJV&amp;search_session_id=7563196124620455945&amp;possessStarId" TargetMode="External" Id="rId915" /><Relationship Type="http://schemas.openxmlformats.org/officeDocument/2006/relationships/hyperlink" Target="https://www.xingtu.cn/ad/creator/author-homepage/douyin-video/7545034640386424882?market_track_id=16N2Q1K7O61F6E8ADYJV&amp;search_session_id=7563196124620455945&amp;possessStarId" TargetMode="External" Id="rId916" /><Relationship Type="http://schemas.openxmlformats.org/officeDocument/2006/relationships/hyperlink" Target="https://www.xingtu.cn/ad/creator/author/douyin/7402525764085612582/1?market_track_id=8YOQPT3XCI1X4KYLETPT&amp;search_session_id=7452914367039045641&amp;video_type=2&amp;_route_from=from_page=Market&amp;search_session_id=7452914367039045641&amp;is_for_order=1&amp;market_track_id=8YOQPT3XCI1X4KYLETPT&amp;platform_source=1&amp;key=%E9%99%B3%E5%9C%88%E5%9C%88Circle&amp;order_by=score&amp;sort_type=2&amp;search_scene=1&amp;display_scene=1&amp;limit=20&amp;page=1&amp;regular_filter=%5Bobject+Object%5D&amp;multi_string_attribute_filter=%5Bobject+Object%5D&amp;attribute_filter=%5Bobject+Object%5D&amp;task_category=1&amp;package_id=undefined&amp;is_filter=0&amp;current_tab=2&amp;displayScene=market&amp;is_limit_time_price=0&amp;possessStarId&amp;btm_ppre=a0.b0.c0.d0&amp;btm_pre=a4738.b16016.c26503.d3332&amp;btm_show_id=e0797c9f-2c80-4e96-ae22-6c3af051885d" TargetMode="External" Id="rId917" /><Relationship Type="http://schemas.openxmlformats.org/officeDocument/2006/relationships/hyperlink" Target="https://v.douyin.com/ihesUdvA/" TargetMode="External" Id="rId918" /><Relationship Type="http://schemas.openxmlformats.org/officeDocument/2006/relationships/hyperlink" Target="https://www.xingtu.cn/ad/creator/author-homepage/douyin-video/7367182371520512037?market_track_id=QVGTVKO1HDURGRRZMCZ1&amp;search_session_id=7584997171079807002&amp;possessStarId" TargetMode="External" Id="rId919" /><Relationship Type="http://schemas.openxmlformats.org/officeDocument/2006/relationships/hyperlink" Target="https://www.douyin.com/user/MS4wLjABAAAASXNhw5qC3BgFGgRjVaj_KUtNG0sb1r1fHNwNFtfGrac" TargetMode="External" Id="rId920" /><Relationship Type="http://schemas.openxmlformats.org/officeDocument/2006/relationships/hyperlink" Target="https://www.xingtu.cn/ad/creator/author-homepage/douyin-video/7367283661231620123?market_track_id=8Q9PE8BDFU6R649W6A60&amp;search_session_id=7584998289569841203&amp;possessStarId" TargetMode="External" Id="rId921" /><Relationship Type="http://schemas.openxmlformats.org/officeDocument/2006/relationships/hyperlink" Target="https://www.douyin.com/user/MS4wLjABAAAAu6mKtM9F4csuK9rrcXZzgMLlYL8-_BTCTm_QiMRe29bFNzJE0h5FtlHGHla_3gVC" TargetMode="External" Id="rId922" /><Relationship Type="http://schemas.openxmlformats.org/officeDocument/2006/relationships/hyperlink" Target="https://www.xingtu.cn/ad/creator/author-homepage/douyin-video/7314592158177198117?market_track_id=IJJ5QQUKHFASAQSW1XMW&amp;search_session_id=7584998942632181770&amp;possessStarId" TargetMode="External" Id="rId923" /><Relationship Type="http://schemas.openxmlformats.org/officeDocument/2006/relationships/hyperlink" Target="https://www.douyin.com/user/MS4wLjABAAAAhWpMzXpJ-npOS91mD-0ReHBMUhhjQhEcLB9oM1-N5Mw" TargetMode="External" Id="rId924" /><Relationship Type="http://schemas.openxmlformats.org/officeDocument/2006/relationships/hyperlink" Target="https://www.xingtu.cn/ad/creator/author/douyin/7408026282077716490/1?market_track_id=JWQ91YYAU1AB6YGYR0S3&amp;search_session_id=7452914678520741926&amp;video_type=2&amp;_route_from=from_page=Market&amp;search_session_id=7452914678520741926&amp;is_for_order=1&amp;market_track_id=JWQ91YYAU1AB6YGYR0S3&amp;platform_source=1&amp;key=%E5%8E%9F%E6%9D%A5%E6%98%AF%E4%B8%81%E4%B8%81%E5%BD%93%E5%95%8A&amp;order_by=score&amp;sort_type=2&amp;search_scene=1&amp;display_scene=1&amp;limit=20&amp;page=1&amp;regular_filter=%5Bobject+Object%5D&amp;multi_string_attribute_filter=%5Bobject+Object%5D&amp;attribute_filter=%5Bobject+Object%5D&amp;task_category=1&amp;package_id=undefined&amp;is_filter=0&amp;current_tab=2&amp;displayScene=market&amp;is_limit_time_price=0&amp;possessStarId&amp;btm_ppre=a0.b0.c0.d0&amp;btm_pre=a4738.b16016.c26503.d3332&amp;btm_show_id=e0797c9f-2c80-4e96-ae22-6c3af051885d" TargetMode="External" Id="rId925" /><Relationship Type="http://schemas.openxmlformats.org/officeDocument/2006/relationships/hyperlink" Target="https://v.douyin.com/iBePRswf/" TargetMode="External" Id="rId926" /><Relationship Type="http://schemas.openxmlformats.org/officeDocument/2006/relationships/hyperlink" Target="https://www.xingtu.cn/ad/creator/author-homepage/douyin-video/7396201152951353354?market_track_id=L7KOGABXHNZ6P81A4PCO&amp;search_session_id=7584697960924545067&amp;possessStarId" TargetMode="External" Id="rId927" /><Relationship Type="http://schemas.openxmlformats.org/officeDocument/2006/relationships/hyperlink" Target="https://www.douyin.com/user/MS4wLjABAAAA5oaBbHwjpt0Tl2faidLnmwx0aBRt1veYwVz-OQuKoA0" TargetMode="External" Id="rId928" /><Relationship Type="http://schemas.openxmlformats.org/officeDocument/2006/relationships/hyperlink" Target="https://www.xingtu.cn/ad/creator/author-homepage/douyin-video/7384731250080088091?market_track_id=HOXOHIJNKY5VR82G9EOQ&amp;search_session_id=7584997332060815370&amp;possessStarId" TargetMode="External" Id="rId929" /><Relationship Type="http://schemas.openxmlformats.org/officeDocument/2006/relationships/hyperlink" Target="https://www.douyin.com/user/MS4wLjABAAAA7KZvwqdWgKmM6HIfkNvnQjm2imgWk9MYspoHAeLD8Vd3MCiYUP5-IBiAFnAZ18nd" TargetMode="External" Id="rId930" /><Relationship Type="http://schemas.openxmlformats.org/officeDocument/2006/relationships/hyperlink" Target="https://www.xingtu.cn/ad/creator/author/douyin/7400640434445221899/1?marketType=&amp;btm_ppre=a0.b0.c0.d0&amp;btm_pre=a4738.b27311.c0.author-card&amp;btm_show_id=d06bfb35-b92e-4036-be94-128d3a1be541" TargetMode="External" Id="rId931" /><Relationship Type="http://schemas.openxmlformats.org/officeDocument/2006/relationships/hyperlink" Target="https://v.douyin.com/ihY4psDX/" TargetMode="External" Id="rId932" /><Relationship Type="http://schemas.openxmlformats.org/officeDocument/2006/relationships/hyperlink" Target="https://www.xingtu.cn/ad/creator/author/douyin/7356549493598355506/1?marketType=&amp;btm_ppre=a0.b0.c0.d0&amp;btm_pre=a4738.b27311.c0.author-card&amp;btm_show_id=d06bfb35-b92e-4036-be94-128d3a1be541" TargetMode="External" Id="rId933" /><Relationship Type="http://schemas.openxmlformats.org/officeDocument/2006/relationships/hyperlink" Target="https://v.douyin.com/ir3strbV/" TargetMode="External" Id="rId934" /><Relationship Type="http://schemas.openxmlformats.org/officeDocument/2006/relationships/hyperlink" Target="https://www.xingtu.cn/ad/creator/author/douyin/7216176940263309324" TargetMode="External" Id="rId935" /><Relationship Type="http://schemas.openxmlformats.org/officeDocument/2006/relationships/hyperlink" Target="https://www.douyin.com/user/MS4wLjABAAAArtDcksJ7sHVBUHzOZtR3kUPGx77UG5YyFE_YRDZmIcM" TargetMode="External" Id="rId936" /><Relationship Type="http://schemas.openxmlformats.org/officeDocument/2006/relationships/hyperlink" Target="https://www.xingtu.cn/ad/creator/author/douyin/7127213766332121124" TargetMode="External" Id="rId937" /><Relationship Type="http://schemas.openxmlformats.org/officeDocument/2006/relationships/hyperlink" Target="https://www.douyin.com/user/MS4wLjABAAAAGaIqVOnmR7lsUUWmFIXYrHxiGaswCmCGOXTyDCefVOU" TargetMode="External" Id="rId938" /><Relationship Type="http://schemas.openxmlformats.org/officeDocument/2006/relationships/hyperlink" Target="https://www.xingtu.cn/ad/creator/author/douyin/6986502918828458018" TargetMode="External" Id="rId939" /><Relationship Type="http://schemas.openxmlformats.org/officeDocument/2006/relationships/hyperlink" Target="https://www.douyin.com/user/MS4wLjABAAAAEgx8hek2VqUVvdz1pE5IMZm6UEv5ZaiQdXjX3yBnY-BzUCl_OoV03V-yGo4xs0-y" TargetMode="External" Id="rId940" /><Relationship Type="http://schemas.openxmlformats.org/officeDocument/2006/relationships/hyperlink" Target="https://www.xingtu.cn/ad/creator/author/douyin/7177294850537029670" TargetMode="External" Id="rId941" /><Relationship Type="http://schemas.openxmlformats.org/officeDocument/2006/relationships/hyperlink" Target="https://www.douyin.com/user/MS4wLjABAAAAPbj87_5buxdwlFq2PRpq2Z916eeLK-obh6GTg6FFHEA" TargetMode="External" Id="rId942" /><Relationship Type="http://schemas.openxmlformats.org/officeDocument/2006/relationships/hyperlink" Target="https://www.xingtu.cn/ad/creator/author/douyin/7011195522501312549" TargetMode="External" Id="rId943" /><Relationship Type="http://schemas.openxmlformats.org/officeDocument/2006/relationships/hyperlink" Target="https://www.douyin.com/user/MS4wLjABAAAA_qiDcE91TBBIE_k1oaGGji-3zrm-nbyOxXEzvJWF6P5E_uH8nGZZFxrDk_NqMc8s" TargetMode="External" Id="rId944" /><Relationship Type="http://schemas.openxmlformats.org/officeDocument/2006/relationships/hyperlink" Target="https://www.xingtu.cn/ad/creator/author/douyin/6770557523503087629" TargetMode="External" Id="rId945" /><Relationship Type="http://schemas.openxmlformats.org/officeDocument/2006/relationships/hyperlink" Target="https://www.douyin.com/user/MS4wLjABAAAADmiSGi_K5biZrwWkh99jDGjwdsc2xjsYsnEIP8Ff0i0" TargetMode="External" Id="rId946" /><Relationship Type="http://schemas.openxmlformats.org/officeDocument/2006/relationships/hyperlink" Target="https://www.xingtu.cn/ad/creator/author-homepage/douyin-video/7442164486321995802?market_track_id=VAC8NSLE09AG076K9UKP&amp;search_session_id=7620351066076495898&amp;possessStarId" TargetMode="External" Id="rId947" /><Relationship Type="http://schemas.openxmlformats.org/officeDocument/2006/relationships/hyperlink" Target="https://v.douyin.com/8BYyJ9UwDlk/" TargetMode="External" Id="rId948" /><Relationship Type="http://schemas.openxmlformats.org/officeDocument/2006/relationships/hyperlink" Target="https://www.xingtu.cn/ad/creator/author-homepage/douyin-video/6629722309571641351?market_track_id=PUKJ54PIB4R0ADREIYF1&amp;search_session_id=7620379018856661030&amp;possessStarId" TargetMode="External" Id="rId949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xingtu.cn/ad/creator/author-homepage/douyin-video/6862337034371989511?market_track_id=6DNXHR4DH2VHZ8WAKXMF&amp;search_session_id=7613315252344487982&amp;video_type=130&amp;_route_from=from_page=Market&amp;search_session_id=7613315252344487982&amp;is_for_order=0&amp;market_track_id=6DNXHR4DH2VHZ8WAKXMF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1" /><Relationship Type="http://schemas.openxmlformats.org/officeDocument/2006/relationships/hyperlink" Target="https://www.douyin.com/user/MS4wLjABAAAAIzwXtn4OcpB4hb2G49roQ-yvx8QB5OCCdrY1k_nKdOQ" TargetMode="External" Id="rId2" /><Relationship Type="http://schemas.openxmlformats.org/officeDocument/2006/relationships/hyperlink" Target="https://www.xingtu.cn/ad/creator/author-homepage/douyin-video/7356526050525855781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3" /><Relationship Type="http://schemas.openxmlformats.org/officeDocument/2006/relationships/hyperlink" Target="https://www.douyin.com/user/MS4wLjABAAAAoMBjWrzNyJC2jAIWJdVVGMe8dvCUefB-5XSnNoLCYmQ" TargetMode="External" Id="rId4" /><Relationship Type="http://schemas.openxmlformats.org/officeDocument/2006/relationships/hyperlink" Target="https://www.xingtu.cn/ad/creator/author-homepage/douyin-video/7163580183356637197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5" /><Relationship Type="http://schemas.openxmlformats.org/officeDocument/2006/relationships/hyperlink" Target="https://www.douyin.com/user/MS4wLjABAAAA2yHm6xUq4Pk9RqLPQmOPVUUAbdOjrEfLSoWISXl_tSDjBmfcZ6-Okx9LZYYGy7B7" TargetMode="External" Id="rId6" /><Relationship Type="http://schemas.openxmlformats.org/officeDocument/2006/relationships/hyperlink" Target="https://www.xingtu.cn/ad/creator/author-homepage/douyin-video/7331739316021886985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7" /><Relationship Type="http://schemas.openxmlformats.org/officeDocument/2006/relationships/hyperlink" Target="https://www.douyin.com/user/MS4wLjABAAAATQ9_aUGiTKOmnwruMSYom8gcFoEjVh3zAUgSF6heFd_mzxfpTEa_8P5v64IXSRF3" TargetMode="External" Id="rId8" /><Relationship Type="http://schemas.openxmlformats.org/officeDocument/2006/relationships/hyperlink" Target="https://www.xingtu.cn/ad/creator/author-homepage/douyin-video/7106310332527837198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9" /><Relationship Type="http://schemas.openxmlformats.org/officeDocument/2006/relationships/hyperlink" Target="https://www.douyin.com/user/MS4wLjABAAAAoyk9krUR_MF6Tt9VuHzM8zczJHEsxoWa2Pd9S4wm9HazMDdd5VpkXvTM4yF6Plct" TargetMode="External" Id="rId10" /><Relationship Type="http://schemas.openxmlformats.org/officeDocument/2006/relationships/hyperlink" Target="https://www.xingtu.cn/ad/creator/author-homepage/douyin-video/7233683198318739513?market_track_id=8ZXZ45BNH1G1VCE0YMW0&amp;search_session_id=7613312713783115802&amp;video_type=130&amp;_route_from=from_page=Market&amp;search_session_id=7613312713783115802&amp;is_for_order=0&amp;market_track_id=8ZXZ45BNH1G1VCE0YMW0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f3162c10-2194-45ea-a616-a3921c49eccc" TargetMode="External" Id="rId11" /><Relationship Type="http://schemas.openxmlformats.org/officeDocument/2006/relationships/hyperlink" Target="https://www.douyin.com/user/MS4wLjABAAAAcCNQsWMO7HL2vGMtrLxPc4NIUAy93y2JaMTeFnvt8Ow" TargetMode="External" Id="rId12" /><Relationship Type="http://schemas.openxmlformats.org/officeDocument/2006/relationships/hyperlink" Target="https://www.xingtu.cn/ad/creator/author-homepage/douyin-video/7133402704461856800?market_track_id=8ZXZ45BNH1G1VCE0YMW0&amp;search_session_id=7613312713783115802&amp;video_type=130&amp;_route_from=from_page=Market&amp;search_session_id=7613312713783115802&amp;is_for_order=0&amp;market_track_id=8ZXZ45BNH1G1VCE0YMW0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f3162c10-2194-45ea-a616-a3921c49eccc" TargetMode="External" Id="rId13" /><Relationship Type="http://schemas.openxmlformats.org/officeDocument/2006/relationships/hyperlink" Target="https://www.douyin.com/user/MS4wLjABAAAAqKG5BkMv6q7M3DgBgg1rOl6GgXVUCD0uZ395j5lVCFbl08hmS-cCbPfRPkWwD4__" TargetMode="External" Id="rId14" /><Relationship Type="http://schemas.openxmlformats.org/officeDocument/2006/relationships/hyperlink" Target="https://www.xingtu.cn/ad/creator/author-homepage/douyin-video/7243769338820296737?market_track_id=6DNXHR4DH2VHZ8WAKXMF&amp;search_session_id=7613315845238243337&amp;video_type=130&amp;_route_from=from_page=Market&amp;search_session_id=7613315845238243337&amp;is_for_order=0&amp;market_track_id=6DNXHR4DH2VHZ8WAKXMF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15" /><Relationship Type="http://schemas.openxmlformats.org/officeDocument/2006/relationships/hyperlink" Target="https://www.douyin.com/user/MS4wLjABAAAA5igjS-ttg1DuWvi89br569c_gUmz80p8BTOJkWuUG1E" TargetMode="External" Id="rId16" /><Relationship Type="http://schemas.openxmlformats.org/officeDocument/2006/relationships/hyperlink" Target="https://www.xingtu.cn/ad/creator/author-homepage/douyin-video/7138655518096097316?market_track_id=DXZTWF5UPCT7FDKA0NE3&amp;search_session_id=7613324734945296411&amp;video_type=130&amp;_route_from=from_page=Market&amp;search_session_id=7613324734945296411&amp;is_for_order=0&amp;market_track_id=DXZTWF5UPCT7FDKA0NE3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17" /><Relationship Type="http://schemas.openxmlformats.org/officeDocument/2006/relationships/hyperlink" Target="https://www.douyin.com/user/MS4wLjABAAAAODJdpZDbUj3cXhAGTpYqx4QIjXavQMX7hniCaoFIbwB5lI551T_rZOl164gRUk16" TargetMode="External" Id="rId18" /><Relationship Type="http://schemas.openxmlformats.org/officeDocument/2006/relationships/hyperlink" Target="https://www.xingtu.cn/ad/creator/author-homepage/douyin-video/7404774924474122291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19" /><Relationship Type="http://schemas.openxmlformats.org/officeDocument/2006/relationships/hyperlink" Target="https://www.douyin.com/user/MS4wLjABAAAAc_SXDTOduipqZ3aNDBZngNu3QPaNkHmUawEjaaFOxQcFZ8-N-_5WW1ukTm13xJEZ" TargetMode="External" Id="rId20" /><Relationship Type="http://schemas.openxmlformats.org/officeDocument/2006/relationships/hyperlink" Target="https://www.xingtu.cn/ad/creator/author-homepage/douyin-video/7385144812976111657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21" /><Relationship Type="http://schemas.openxmlformats.org/officeDocument/2006/relationships/hyperlink" Target="https://www.douyin.com/user/MS4wLjABAAAADhIAM2uqn4fhh5cx9sNzuMLtzYfAQP1zhKL_t3Qj9eA" TargetMode="External" Id="rId22" /><Relationship Type="http://schemas.openxmlformats.org/officeDocument/2006/relationships/hyperlink" Target="https://www.xingtu.cn/ad/creator/author-homepage/douyin-video/7498168129944567834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23" /><Relationship Type="http://schemas.openxmlformats.org/officeDocument/2006/relationships/hyperlink" Target="https://www.douyin.com/user/MS4wLjABAAAAOE683W8ZiFNnRj1CxaWlgn7vDyo0BiqhNMHsIDPCwx3hG7Xr6Q65oOOMdul126um" TargetMode="External" Id="rId24" /><Relationship Type="http://schemas.openxmlformats.org/officeDocument/2006/relationships/hyperlink" Target="https://www.xingtu.cn/ad/creator/author-homepage/douyin-video/7439773940446134299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25" /><Relationship Type="http://schemas.openxmlformats.org/officeDocument/2006/relationships/hyperlink" Target="https://www.douyin.com/user/MS4wLjABAAAAvmHAQMY7a7xq2Hykm3oYmbXhw4Z-LpF6j1Luq1l6RnTIyn2X5UIC0NL6aW-J919e" TargetMode="External" Id="rId26" /><Relationship Type="http://schemas.openxmlformats.org/officeDocument/2006/relationships/hyperlink" Target="https://www.xingtu.cn/ad/creator/author-homepage/douyin-video/6881199830161424399?market_track_id=DXZTWF5UPCT7FDKA0NE3&amp;search_session_id=7613329932584124466&amp;video_type=130&amp;_route_from=from_page=Market&amp;search_session_id=7613329932584124466&amp;is_for_order=0&amp;market_track_id=DXZTWF5UPCT7FDKA0NE3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27" /><Relationship Type="http://schemas.openxmlformats.org/officeDocument/2006/relationships/hyperlink" Target="https://www.douyin.com/user/MS4wLjABAAAAYDyfBw_JyvKKlBGL0icbrNhz8iAA-S_c10xzr8tno6c" TargetMode="External" Id="rId28" /><Relationship Type="http://schemas.openxmlformats.org/officeDocument/2006/relationships/hyperlink" Target="https://www.xingtu.cn/ad/creator/author-homepage/douyin-video/7162041987355377668?market_track_id=DXZTWF5UPCT7FDKA0NE3&amp;search_session_id=7613329932584124466&amp;video_type=130&amp;_route_from=from_page=Market&amp;search_session_id=7613329932584124466&amp;is_for_order=0&amp;market_track_id=DXZTWF5UPCT7FDKA0NE3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29" /><Relationship Type="http://schemas.openxmlformats.org/officeDocument/2006/relationships/hyperlink" Target="https://www.douyin.com/user/MS4wLjABAAAAQ7Qe0L5_m3JT44vhjIj3DK7PTRRW0Th1gitdvDmjiaRzhUZzKxHqzYADXlUOzr7l" TargetMode="External" Id="rId30" /><Relationship Type="http://schemas.openxmlformats.org/officeDocument/2006/relationships/hyperlink" Target="https://www.xingtu.cn/ad/creator/author-homepage/douyin-video/7193936024114823179?market_track_id=DXZTWF5UPCT7FDKA0NE3&amp;search_session_id=7613329932584124466&amp;video_type=130&amp;_route_from=from_page=Market&amp;search_session_id=7613329932584124466&amp;is_for_order=0&amp;market_track_id=DXZTWF5UPCT7FDKA0NE3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31" /><Relationship Type="http://schemas.openxmlformats.org/officeDocument/2006/relationships/hyperlink" Target="https://www.douyin.com/user/MS4wLjABAAAAhuahst49K4_hybFvf785ZpHYYKIFgNEk-ZjAWAQI0ijw0skMlNAujRZqvqDOhaCX" TargetMode="External" Id="rId32" /><Relationship Type="http://schemas.openxmlformats.org/officeDocument/2006/relationships/hyperlink" Target="https://www.xingtu.cn/ad/creator/author-homepage/douyin-video/7078261196956106765?market_track_id=DXZTWF5UPCT7FDKA0NE3&amp;search_session_id=7613332950264741939&amp;video_type=130&amp;_route_from=from_page=Market&amp;search_session_id=7613332950264741939&amp;is_for_order=0&amp;market_track_id=DXZTWF5UPCT7FDKA0NE3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33" /><Relationship Type="http://schemas.openxmlformats.org/officeDocument/2006/relationships/hyperlink" Target="https://www.douyin.com/user/MS4wLjABAAAAko-P9kXBMiCybVkdc2VH5e_MqHPMbMiEpyck80o-ths" TargetMode="External" Id="rId34" /><Relationship Type="http://schemas.openxmlformats.org/officeDocument/2006/relationships/hyperlink" Target="https://www.xingtu.cn/ad/creator/author-homepage/douyin-video/7299848328433369115?market_track_id=DXZTWF5UPCT7FDKA0NE3&amp;search_session_id=7613332950264741939&amp;video_type=130&amp;_route_from=from_page=Market&amp;search_session_id=7613332950264741939&amp;is_for_order=0&amp;market_track_id=DXZTWF5UPCT7FDKA0NE3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35" /><Relationship Type="http://schemas.openxmlformats.org/officeDocument/2006/relationships/hyperlink" Target="https://www.douyin.com/user/MS4wLjABAAAA-Z4GRWwT849JhKV_2gkiYLu_TpbZ7XHTXNjMj0SEXJE" TargetMode="External" Id="rId36" /><Relationship Type="http://schemas.openxmlformats.org/officeDocument/2006/relationships/hyperlink" Target="https://www.xingtu.cn/ad/creator/author-homepage/douyin-video/7110252799065079839?market_track_id=DXZTWF5UPCT7FDKA0NE3&amp;search_session_id=7613334789316034606&amp;video_type=130&amp;_route_from=from_page=Market&amp;search_session_id=7613334789316034606&amp;is_for_order=0&amp;market_track_id=DXZTWF5UPCT7FDKA0NE3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37" /><Relationship Type="http://schemas.openxmlformats.org/officeDocument/2006/relationships/hyperlink" Target="https://www.douyin.com/user/MS4wLjABAAAAL9La_SSqpddVHybjls_uLUZHgQRbT4Wm1m8YGYU2cZfkAMNMt2g2BIIKihG4NAHl" TargetMode="External" Id="rId38" /><Relationship Type="http://schemas.openxmlformats.org/officeDocument/2006/relationships/hyperlink" Target="https://www.xingtu.cn/ad/creator/author-homepage/douyin-video/7424780322694234163?market_track_id=DXZTWF5UPCT7FDKA0NE3&amp;search_session_id=7613334789316034606&amp;video_type=130&amp;_route_from=from_page=Market&amp;search_session_id=7613334789316034606&amp;is_for_order=0&amp;market_track_id=DXZTWF5UPCT7FDKA0NE3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argetMode="External" Id="rId39" /><Relationship Type="http://schemas.openxmlformats.org/officeDocument/2006/relationships/hyperlink" Target="https://www.douyin.com/user/MS4wLjABAAAAtK1tB77O8hiy699eOfcz_cc00hFIncZIpdbSS_IMlg8TF_QnGh5lzTv5PyzHBzCh" TargetMode="External" Id="rId40" /><Relationship Type="http://schemas.openxmlformats.org/officeDocument/2006/relationships/hyperlink" Target="https://www.xingtu.cn/ad/creator/author-homepage/douyin-video/7260295434747248703?market_track_id=Z7PV5NUQBMDDDSGKUC73&amp;search_session_id=7613724875618074633&amp;video_type=130&amp;_route_from=from_page=Market&amp;search_session_id=7613724875618074633&amp;is_for_order=0&amp;market_track_id=Z7PV5NUQBMDDDSGKUC73&amp;platform_source=1&amp;order_by=score&amp;sort_type=2&amp;search_scene=1&amp;display_scene=1&amp;limit=20&amp;page=1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9fd4f19c-b9e4-45bc-9bb8-c1514528eee6" TargetMode="External" Id="rId41" /><Relationship Type="http://schemas.openxmlformats.org/officeDocument/2006/relationships/hyperlink" Target="https://www.douyin.com/user/MS4wLjABAAAAlmJ8NhVfBUMQ5NjA9ETrwQxzmhhYZFzv-Ar8y9d_RfenKGJBjhQ-bAHFziO94ViT" TargetMode="External" Id="rId42" /><Relationship Type="http://schemas.openxmlformats.org/officeDocument/2006/relationships/hyperlink" Target="https://www.xingtu.cn/ad/creator/author-homepage/douyin-video/7367007456200753203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43" /><Relationship Type="http://schemas.openxmlformats.org/officeDocument/2006/relationships/hyperlink" Target="https://www.douyin.com/user/MS4wLjABAAAARXeAjWkcuHR-siTNPJCaI-mx7cvgyPCGcDqE9LhUMTU" TargetMode="External" Id="rId44" /><Relationship Type="http://schemas.openxmlformats.org/officeDocument/2006/relationships/hyperlink" Target="https://www.xingtu.cn/ad/creator/author-homepage/douyin-video/7261184386643525693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45" /><Relationship Type="http://schemas.openxmlformats.org/officeDocument/2006/relationships/hyperlink" Target="https://www.douyin.com/user/MS4wLjABAAAA6xPsOQTYutn-S4u_-7tF_f0V9aOjOi6_4Ph5dCTrtzk" TargetMode="External" Id="rId46" /><Relationship Type="http://schemas.openxmlformats.org/officeDocument/2006/relationships/hyperlink" Target="https://www.xingtu.cn/ad/creator/author-homepage/douyin-video/6805089638051479559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47" /><Relationship Type="http://schemas.openxmlformats.org/officeDocument/2006/relationships/hyperlink" Target="https://www.douyin.com/user/MS4wLjABAAAAgpkcoJJYK_bl6CTXAi98Bu-hEBgWgXSdn2KGbCAZIAI" TargetMode="External" Id="rId48" /><Relationship Type="http://schemas.openxmlformats.org/officeDocument/2006/relationships/hyperlink" Target="https://www.xingtu.cn/ad/creator/author-homepage/douyin-video/6992217327169175588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49" /><Relationship Type="http://schemas.openxmlformats.org/officeDocument/2006/relationships/hyperlink" Target="https://www.douyin.com/user/MS4wLjABAAAACLJQvV56FDo2kvrEJc_A065vOx6zE17kCRzvQwlF2MM" TargetMode="External" Id="rId50" /><Relationship Type="http://schemas.openxmlformats.org/officeDocument/2006/relationships/hyperlink" Target="https://www.xingtu.cn/ad/creator/author-homepage/douyin-video/7487126926209843251?market_track_id=GH8X61H6A5ON6PUUJPR1&amp;search_session_id=7613723508578730034&amp;video_type=130&amp;_route_from=from_page=Market&amp;search_session_id=7613723508578730034&amp;is_for_order=0&amp;market_track_id=GH8X61H6A5ON6PUUJPR1&amp;platform_source=1&amp;order_by=pric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51" /><Relationship Type="http://schemas.openxmlformats.org/officeDocument/2006/relationships/hyperlink" Target="https://www.douyin.com/user/MS4wLjABAAAA1FG_gsrln8cNGdANCAneJlqOspg11_zgVkqjUVAwK1I" TargetMode="External" Id="rId52" /><Relationship Type="http://schemas.openxmlformats.org/officeDocument/2006/relationships/hyperlink" Target="https://www.xingtu.cn/ad/creator/author-homepage/douyin-video/7262605435608236069?market_track_id=GH8X61H6A5ON6PUUJPR1&amp;search_session_id=7613723508578730034&amp;video_type=130&amp;_route_from=from_page=Market&amp;search_session_id=7613723508578730034&amp;is_for_order=0&amp;market_track_id=GH8X61H6A5ON6PUUJPR1&amp;platform_source=1&amp;order_by=pric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53" /><Relationship Type="http://schemas.openxmlformats.org/officeDocument/2006/relationships/hyperlink" Target="https://www.douyin.com/user/MS4wLjABAAAAi1Q0Xffb80aamxebhnHZs3hrJZrRf8aYk-xZ7L825sAvfUxwM802KrrsnHk0fgCR" TargetMode="External" Id="rId54" /><Relationship Type="http://schemas.openxmlformats.org/officeDocument/2006/relationships/hyperlink" Target="https://www.xingtu.cn/ad/creator/author-homepage/douyin-video/7146601465803440135?market_track_id=GH8X61H6A5ON6PUUJPR1&amp;search_session_id=7613723508578730034&amp;video_type=130&amp;_route_from=from_page=Market&amp;search_session_id=7613723508578730034&amp;is_for_order=0&amp;market_track_id=GH8X61H6A5ON6PUUJPR1&amp;platform_source=1&amp;order_by=pric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55" /><Relationship Type="http://schemas.openxmlformats.org/officeDocument/2006/relationships/hyperlink" Target="https://www.douyin.com/user/MS4wLjABAAAAGfxHn9TbIUxyhx9QlK_ACmYhvj_B_YhVvUazVXWSnPziTNuabNcN_Qds_DQoj7Bl" TargetMode="External" Id="rId56" /><Relationship Type="http://schemas.openxmlformats.org/officeDocument/2006/relationships/hyperlink" Target="https://www.xingtu.cn/ad/creator/author-homepage/douyin-video/7367628839939227685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57" /><Relationship Type="http://schemas.openxmlformats.org/officeDocument/2006/relationships/hyperlink" Target="https://www.douyin.com/user/MS4wLjABAAAAl7UkQFaVX2UAw0IVi726y4QPL9bPTUA-2A-yVnCZQ4DG1rBfGGCqyBEXsUHTm5rS" TargetMode="External" Id="rId58" /><Relationship Type="http://schemas.openxmlformats.org/officeDocument/2006/relationships/hyperlink" Target="https://www.xingtu.cn/ad/creator/author-homepage/douyin-video/7270431170049867831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59" /><Relationship Type="http://schemas.openxmlformats.org/officeDocument/2006/relationships/hyperlink" Target="https://www.douyin.com/user/MS4wLjABAAAAU7AGjmry2jmCJ70F_eWm2CYf7Nxn7FR00a2C1NKaWhnAsvxnnTd_ZHwWRKZfnDeW" TargetMode="External" Id="rId60" /><Relationship Type="http://schemas.openxmlformats.org/officeDocument/2006/relationships/hyperlink" Target="https://www.xingtu.cn/ad/creator/author-homepage/douyin-video/7198850506033201208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61" /><Relationship Type="http://schemas.openxmlformats.org/officeDocument/2006/relationships/hyperlink" Target="https://www.douyin.com/user/MS4wLjABAAAAG5EpbXYlHIs3Ny6B1i0S0DaBtSaHQ5-N-PzdQE4ELDbRO_CzVULEd8O4FLNnOyCl" TargetMode="External" Id="rId62" /><Relationship Type="http://schemas.openxmlformats.org/officeDocument/2006/relationships/hyperlink" Target="https://www.xingtu.cn/ad/creator/author-homepage/douyin-video/7199128878953005114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63" /><Relationship Type="http://schemas.openxmlformats.org/officeDocument/2006/relationships/hyperlink" Target="https://www.douyin.com/user/MS4wLjABAAAAoEipyA_xCtJ-MEGIbJKpS4EGN6np1buHR11xlocgxH4PLpkESEzzx7n6y9yil7tX" TargetMode="External" Id="rId64" /><Relationship Type="http://schemas.openxmlformats.org/officeDocument/2006/relationships/hyperlink" Target="https://www.xingtu.cn/ad/creator/author-homepage/douyin-video/7494154840306614310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65" /><Relationship Type="http://schemas.openxmlformats.org/officeDocument/2006/relationships/hyperlink" Target="https://www.douyin.com/user/MS4wLjABAAAA7J3nMyz5gNlq0lQZ-lDQ1kP-yMHpcQw_rOSM9QlfqLTJVXYIECwvCKKI2CuZbHzN" TargetMode="External" Id="rId66" /><Relationship Type="http://schemas.openxmlformats.org/officeDocument/2006/relationships/hyperlink" Target="https://www.xingtu.cn/ad/creator/author-homepage/douyin-video/7041163112036171815?market_track_id=MPQP857CO4TY5ZCGOOLM&amp;search_session_id=7613722035335823369&amp;video_type=130&amp;_route_from=from_page=Market&amp;search_session_id=7613722035335823369&amp;is_for_order=0&amp;market_track_id=MPQP857CO4TY5ZCGOOLM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argetMode="External" Id="rId67" /><Relationship Type="http://schemas.openxmlformats.org/officeDocument/2006/relationships/hyperlink" Target="https://www.douyin.com/user/MS4wLjABAAAAzV9Fnm7kgZEA_mZOsdyjyp1VRAdgr8aubfj8xDgm64y6mLUdB3IlMeNEm9ie2Ikg" TargetMode="External" Id="rId68" /><Relationship Type="http://schemas.openxmlformats.org/officeDocument/2006/relationships/hyperlink" Target="https://www.xingtu.cn/ad/creator/author-homepage/douyin-video/6792948768854507534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69" /><Relationship Type="http://schemas.openxmlformats.org/officeDocument/2006/relationships/hyperlink" Target="https://www.douyin.com/user/MS4wLjABAAAAym5a_ODYZSjM5jzqm5UwJQ5iHeH0pyYGKcXaex0c_tA" TargetMode="External" Id="rId70" /><Relationship Type="http://schemas.openxmlformats.org/officeDocument/2006/relationships/hyperlink" Target="https://www.xingtu.cn/ad/creator/author-homepage/douyin-video/7119839178140942349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71" /><Relationship Type="http://schemas.openxmlformats.org/officeDocument/2006/relationships/hyperlink" Target="https://www.douyin.com/user/MS4wLjABAAAAuahGvmQQq-pl2hTbNzGdvsRf3-_5KEGwJCiqagoPGOA" TargetMode="External" Id="rId72" /><Relationship Type="http://schemas.openxmlformats.org/officeDocument/2006/relationships/hyperlink" Target="https://www.xingtu.cn/ad/creator/author-homepage/douyin-video/7064080064769425438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73" /><Relationship Type="http://schemas.openxmlformats.org/officeDocument/2006/relationships/hyperlink" Target="https://www.douyin.com/user/MS4wLjABAAAAYyaYyUkXH48VthwrlhTc-UXjEejPL3IwQYRh2O9VlLRyz-8h3G2k0ppUi1p3dvrI" TargetMode="External" Id="rId74" /><Relationship Type="http://schemas.openxmlformats.org/officeDocument/2006/relationships/hyperlink" Target="https://www.xingtu.cn/ad/creator/author-homepage/douyin-video/7176815317283405828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75" /><Relationship Type="http://schemas.openxmlformats.org/officeDocument/2006/relationships/hyperlink" Target="https://www.douyin.com/user/MS4wLjABAAAAQI8SH9BFldQboSJTYwrf4PjtfS48MxKEhj0GJeYbIYglcowIQ6mHSJkRnjW-ZeaL" TargetMode="External" Id="rId76" /><Relationship Type="http://schemas.openxmlformats.org/officeDocument/2006/relationships/hyperlink" Target="https://www.xingtu.cn/ad/creator/author-homepage/douyin-video/6972838728507064333?market_track_id=CJBSIDE3YAPLX30BT8R9&amp;search_session_id=7614077390314864690&amp;video_type=130&amp;_route_from=from_page=Market&amp;search_session_id=7614077390314864690&amp;is_for_order=0&amp;market_track_id=CJBSIDE3YAPLX30BT8R9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77" /><Relationship Type="http://schemas.openxmlformats.org/officeDocument/2006/relationships/hyperlink" Target="https://www.douyin.com/user/MS4wLjABAAAAMGEzn4fk4KZ0f05U3k4x_L364rk3IWdiUCHsNAU_X6c" TargetMode="External" Id="rId78" /><Relationship Type="http://schemas.openxmlformats.org/officeDocument/2006/relationships/hyperlink" Target="https://www.xingtu.cn/ad/creator/author-homepage/douyin-video/6722095903483625484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79" /><Relationship Type="http://schemas.openxmlformats.org/officeDocument/2006/relationships/hyperlink" Target="https://www.douyin.com/user/MS4wLjABAAAAY9pZpyJecntklxAvbmnIvMpS1kIVI1XmQ5_Ry8xXZNE" TargetMode="External" Id="rId80" /><Relationship Type="http://schemas.openxmlformats.org/officeDocument/2006/relationships/hyperlink" Target="https://www.xingtu.cn/ad/creator/author-homepage/douyin-video/7048439304124629005?market_track_id=DL5MVNNGD1QC9CU3ZFB2&amp;search_session_id=7614087034705903662&amp;video_type=130&amp;_route_from=from_page=Market&amp;search_session_id=7614087034705903662&amp;is_for_order=0&amp;market_track_id=DL5MVNNGD1QC9CU3ZFB2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81" /><Relationship Type="http://schemas.openxmlformats.org/officeDocument/2006/relationships/hyperlink" Target="https://www.douyin.com/user/MS4wLjABAAAA98sxALX02ZsUPitEB9FL98VCNrNZHsgFp2-kLXkyOGI" TargetMode="External" Id="rId82" /><Relationship Type="http://schemas.openxmlformats.org/officeDocument/2006/relationships/hyperlink" Target="https://www.xingtu.cn/ad/creator/author-homepage/douyin-video/7437860825424986122?market_track_id=DL5MVNNGD1QC9CU3ZFB2&amp;search_session_id=7614087034705903662&amp;video_type=130&amp;_route_from=from_page=Market&amp;search_session_id=7614087034705903662&amp;is_for_order=0&amp;market_track_id=DL5MVNNGD1QC9CU3ZFB2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83" /><Relationship Type="http://schemas.openxmlformats.org/officeDocument/2006/relationships/hyperlink" Target="https://www.douyin.com/user/MS4wLjABAAAAGkXEtU6XYFHA1ArzPaSlLMdUzKeLl2ueCNSJKcdvhXQh-fITDoNeg9gx8nLivxXG" TargetMode="External" Id="rId84" /><Relationship Type="http://schemas.openxmlformats.org/officeDocument/2006/relationships/hyperlink" Target="https://www.xingtu.cn/ad/creator/author-homepage/douyin-video/7234072113110335521?market_track_id=DL5MVNNGD1QC9CU3ZFB2&amp;search_session_id=7614087034705903662&amp;video_type=130&amp;_route_from=from_page=Market&amp;search_session_id=7614087034705903662&amp;is_for_order=0&amp;market_track_id=DL5MVNNGD1QC9CU3ZFB2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argetMode="External" Id="rId85" /><Relationship Type="http://schemas.openxmlformats.org/officeDocument/2006/relationships/hyperlink" Target="https://www.douyin.com/user/MS4wLjABAAAAWT9MPoviyafXJEAvZb9S2xC1oRATVcAbf_1v6fQecfg" TargetMode="External" Id="rId86" /><Relationship Type="http://schemas.openxmlformats.org/officeDocument/2006/relationships/hyperlink" Target="https://www.xingtu.cn/ad/creator/author-homepage/douyin-video/7359200063073026099?market_track_id=5S67YGBQAASZDVZE6MEB&amp;search_session_id=7615186969332645926&amp;video_type=130&amp;_route_from=from_page=Market&amp;search_session_id=7615186969332645926&amp;is_for_order=0&amp;market_track_id=5S67YGBQAASZDVZE6MEB&amp;platform_source=1&amp;order_by=pic_expected_play_num&amp;sort_type=2&amp;search_scene=1&amp;display_scene=1&amp;limit=20&amp;page=2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87" /><Relationship Type="http://schemas.openxmlformats.org/officeDocument/2006/relationships/hyperlink" Target="https://www.douyin.com/user/MS4wLjABAAAAeWwG6a5r1EQShQmc7hJTznKw1MbUegmo-dNMaP9YM4M" TargetMode="External" Id="rId88" /><Relationship Type="http://schemas.openxmlformats.org/officeDocument/2006/relationships/hyperlink" Target="https://www.xingtu.cn/ad/creator/author-homepage/douyin-video/7000637975151247367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89" /><Relationship Type="http://schemas.openxmlformats.org/officeDocument/2006/relationships/hyperlink" Target="https://www.douyin.com/user/MS4wLjABAAAAZdKceqCx2iNqLz49e03sIFtWpHIBMXSrhXvbLzqAbA4" TargetMode="External" Id="rId90" /><Relationship Type="http://schemas.openxmlformats.org/officeDocument/2006/relationships/hyperlink" Target="https://www.xingtu.cn/ad/creator/author-homepage/douyin-video/7483571540617854986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91" /><Relationship Type="http://schemas.openxmlformats.org/officeDocument/2006/relationships/hyperlink" Target="https://www.douyin.com/user/MS4wLjABAAAARuBnEo10NjFTBALMb5biOPZcMwQe4atKFMpsbSP-SLNj1YP-qpa5w3S5cgLiJM5G" TargetMode="External" Id="rId92" /><Relationship Type="http://schemas.openxmlformats.org/officeDocument/2006/relationships/hyperlink" Target="https://www.xingtu.cn/ad/creator/author-homepage/douyin-video/7365147220552712229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93" /><Relationship Type="http://schemas.openxmlformats.org/officeDocument/2006/relationships/hyperlink" Target="https://www.douyin.com/user/MS4wLjABAAAAnpHYRswEzWsoPs8UunQOr7bVPGTFrGGLgjsYMf3gGl4" TargetMode="External" Id="rId94" /><Relationship Type="http://schemas.openxmlformats.org/officeDocument/2006/relationships/hyperlink" Target="https://www.xingtu.cn/ad/creator/author-homepage/douyin-video/7172189434907983879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95" /><Relationship Type="http://schemas.openxmlformats.org/officeDocument/2006/relationships/hyperlink" Target="https://www.douyin.com/user/MS4wLjABAAAAUsZrhyz7GGaNhQz_UJpjEWHiOrVxfg9rXWTzgAU-8vE" TargetMode="External" Id="rId96" /><Relationship Type="http://schemas.openxmlformats.org/officeDocument/2006/relationships/hyperlink" Target="https://www.xingtu.cn/ad/creator/author-homepage/douyin-video/6870162896316268552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97" /><Relationship Type="http://schemas.openxmlformats.org/officeDocument/2006/relationships/hyperlink" Target="https://www.douyin.com/user/MS4wLjABAAAAZinCXaKbegvY74sOeuSI3Ih1l7jutj0EHmsoJfb0Fg0" TargetMode="External" Id="rId98" /><Relationship Type="http://schemas.openxmlformats.org/officeDocument/2006/relationships/hyperlink" Target="https://www.xingtu.cn/ad/creator/author-homepage/douyin-video/7349922835336429578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99" /><Relationship Type="http://schemas.openxmlformats.org/officeDocument/2006/relationships/hyperlink" Target="https://www.douyin.com/user/MS4wLjABAAAAYIoFcQAoFQemyTlRXSTgilt9Epl2vsWj7SuMahQj_u-Hw50fROrkZNVOR_ORj_OQ" TargetMode="External" Id="rId100" /><Relationship Type="http://schemas.openxmlformats.org/officeDocument/2006/relationships/hyperlink" Target="https://www.xingtu.cn/ad/creator/author-homepage/douyin-video/7487814010297909285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101" /><Relationship Type="http://schemas.openxmlformats.org/officeDocument/2006/relationships/hyperlink" Target="https://www.douyin.com/user/MS4wLjABAAAA305tts7fJjhv70AL8PLH9xVIH_IjdNKW-7lMhw1nVuM" TargetMode="External" Id="rId102" /><Relationship Type="http://schemas.openxmlformats.org/officeDocument/2006/relationships/hyperlink" Target="https://www.xingtu.cn/ad/creator/author-homepage/douyin-video/7212117538119876663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argetMode="External" Id="rId103" /><Relationship Type="http://schemas.openxmlformats.org/officeDocument/2006/relationships/hyperlink" Target="https://www.douyin.com/user/MS4wLjABAAAA4Q_XiOXh5Y9gkPVd518479FTq438XHZZj56iFMYDO9qDwg2PiTfiyGkC0khoytlM" TargetMode="External" Id="rId104" /><Relationship Type="http://schemas.openxmlformats.org/officeDocument/2006/relationships/hyperlink" Target="https://www.xingtu.cn/ad/creator/author-homepage/douyin-video/7198564686625767482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05" /><Relationship Type="http://schemas.openxmlformats.org/officeDocument/2006/relationships/hyperlink" Target="https://www.douyin.com/user/MS4wLjABAAAAppEVGFTl7ravIdyxrHkXZYkASzyOgxT6fGSZ7ru5-AM" TargetMode="External" Id="rId106" /><Relationship Type="http://schemas.openxmlformats.org/officeDocument/2006/relationships/hyperlink" Target="https://www.xingtu.cn/ad/creator/author-homepage/douyin-video/7459050928901980211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07" /><Relationship Type="http://schemas.openxmlformats.org/officeDocument/2006/relationships/hyperlink" Target="https://www.douyin.com/user/MS4wLjABAAAAQ0ltyNu6U111yuc4jgB0zpx9NvxCgRepksOgxjxhFu7UlTAnYK7CT4Ja3SgsmNeZ" TargetMode="External" Id="rId108" /><Relationship Type="http://schemas.openxmlformats.org/officeDocument/2006/relationships/hyperlink" Target="https://www.xingtu.cn/ad/creator/author-homepage/douyin-video/7277383115440390181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09" /><Relationship Type="http://schemas.openxmlformats.org/officeDocument/2006/relationships/hyperlink" Target="https://www.douyin.com/user/MS4wLjABAAAAmVXUU6btEFSFL2-DyqEJC8aUb3GyP7VetkT_P4S8E-urZ5IZGIxNd3Fxm2ORWT9v" TargetMode="External" Id="rId110" /><Relationship Type="http://schemas.openxmlformats.org/officeDocument/2006/relationships/hyperlink" Target="https://www.xingtu.cn/ad/creator/author-homepage/douyin-video/7260081950478565437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11" /><Relationship Type="http://schemas.openxmlformats.org/officeDocument/2006/relationships/hyperlink" Target="https://www.douyin.com/user/MS4wLjABAAAA-53qPEtpg8AMXV6Nym_-trwBEG4jfXPbnpudMnfJ7no" TargetMode="External" Id="rId112" /><Relationship Type="http://schemas.openxmlformats.org/officeDocument/2006/relationships/hyperlink" Target="https://www.xingtu.cn/ad/creator/author-homepage/douyin-video/7430715299097214985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13" /><Relationship Type="http://schemas.openxmlformats.org/officeDocument/2006/relationships/hyperlink" Target="https://www.douyin.com/user/MS4wLjABAAAAe3So42ExQ0sibG6c7QpDfK7X7Mv-97aUelPBHiyNQLL-FEmVp4ESaSPT_PA8mNPR" TargetMode="External" Id="rId114" /><Relationship Type="http://schemas.openxmlformats.org/officeDocument/2006/relationships/hyperlink" Target="https://www.xingtu.cn/ad/creator/author-homepage/douyin-video/7036987921882152974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15" /><Relationship Type="http://schemas.openxmlformats.org/officeDocument/2006/relationships/hyperlink" Target="https://www.douyin.com/user/MS4wLjABAAAA3MFVYK4C33aSrCUWH2rVCTOQ7oYCRr3a7yjnixuTyikLTa2w3wnVNQq6tx4Akv7v" TargetMode="External" Id="rId116" /><Relationship Type="http://schemas.openxmlformats.org/officeDocument/2006/relationships/hyperlink" Target="https://www.xingtu.cn/ad/creator/author-homepage/douyin-video/7169122654257938443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17" /><Relationship Type="http://schemas.openxmlformats.org/officeDocument/2006/relationships/hyperlink" Target="https://www.douyin.com/user/MS4wLjABAAAAhPjSiDu1UrW6CK1nU94sTmvdZO5uwBPWBPphdB4ggrqPutoK0_sUoYywA4UTE1dr" TargetMode="External" Id="rId118" /><Relationship Type="http://schemas.openxmlformats.org/officeDocument/2006/relationships/hyperlink" Target="https://www.xingtu.cn/ad/creator/author-homepage/douyin-video/7041088242673778725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19" /><Relationship Type="http://schemas.openxmlformats.org/officeDocument/2006/relationships/hyperlink" Target="https://www.douyin.com/user/MS4wLjABAAAAl0BD9cKsBgeqOi7X4MU_oYARK_4zimnEBz7jajrrQuQ" TargetMode="External" Id="rId120" /><Relationship Type="http://schemas.openxmlformats.org/officeDocument/2006/relationships/hyperlink" Target="https://www.xingtu.cn/ad/creator/author-homepage/douyin-video/7262605435608236069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21" /><Relationship Type="http://schemas.openxmlformats.org/officeDocument/2006/relationships/hyperlink" Target="https://www.douyin.com/user/MS4wLjABAAAAi1Q0Xffb80aamxebhnHZs3hrJZrRf8aYk-xZ7L825sAvfUxwM802KrrsnHk0fgCR" TargetMode="External" Id="rId122" /><Relationship Type="http://schemas.openxmlformats.org/officeDocument/2006/relationships/hyperlink" Target="https://www.xingtu.cn/ad/creator/author-homepage/douyin-video/7244099122708365371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23" /><Relationship Type="http://schemas.openxmlformats.org/officeDocument/2006/relationships/hyperlink" Target="https://www.douyin.com/user/MS4wLjABAAAANL75_uHWewlRpKVPyt_rtMbYjOgdURbA9FosMhv7hfs" TargetMode="External" Id="rId124" /><Relationship Type="http://schemas.openxmlformats.org/officeDocument/2006/relationships/hyperlink" Target="https://www.xingtu.cn/ad/creator/author-homepage/douyin-video/7382758450746359835?market_track_id=475HW1GG0T5T6MS7W2K9&amp;search_session_id=7615559339038507054&amp;video_type=130&amp;_route_from=from_page=Market&amp;search_session_id=7615559339038507054&amp;is_for_order=0&amp;market_track_id=475HW1GG0T5T6MS7W2K9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argetMode="External" Id="rId125" /><Relationship Type="http://schemas.openxmlformats.org/officeDocument/2006/relationships/hyperlink" Target="https://www.douyin.com/user/MS4wLjABAAAAZZF_Are2iuUt1L_CYs1s3IuhzpMWZdZ11-Hu9BMUDwGLoVrKGSBkrwNlDS7Fn8K4" TargetMode="External" Id="rId126" /><Relationship Type="http://schemas.openxmlformats.org/officeDocument/2006/relationships/hyperlink" Target="https://www.xingtu.cn/ad/creator/author-homepage/douyin-video/7176904361673490491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27" /><Relationship Type="http://schemas.openxmlformats.org/officeDocument/2006/relationships/hyperlink" Target="https://www.douyin.com/user/MS4wLjABAAAAVSS41rcUip5SEQ0pQrF_ymuiKhM7RRZ2lIwoW-_pRZWcjrL3RdQMAKQHI-cYz2gk" TargetMode="External" Id="rId128" /><Relationship Type="http://schemas.openxmlformats.org/officeDocument/2006/relationships/hyperlink" Target="https://www.xingtu.cn/ad/creator/author-homepage/douyin-video/6996224861416718336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29" /><Relationship Type="http://schemas.openxmlformats.org/officeDocument/2006/relationships/hyperlink" Target="https://www.douyin.com/user/MS4wLjABAAAACooejWW8wqfLAKCJMdkdOOz3gTls6lB5KmIAWUultmAcIvGhSdxzVkP8UheN7OEj" TargetMode="External" Id="rId130" /><Relationship Type="http://schemas.openxmlformats.org/officeDocument/2006/relationships/hyperlink" Target="https://www.xingtu.cn/ad/creator/author-homepage/douyin-video/7006201567988678693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31" /><Relationship Type="http://schemas.openxmlformats.org/officeDocument/2006/relationships/hyperlink" Target="https://www.douyin.com/user/MS4wLjABAAAAC_AIeGnLMeOC6Vt2ej9aW6i58OFcVPY9RaR0G8d_pYk" TargetMode="External" Id="rId132" /><Relationship Type="http://schemas.openxmlformats.org/officeDocument/2006/relationships/hyperlink" Target="https://www.xingtu.cn/ad/creator/author-homepage/douyin-video/7097190289210949646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33" /><Relationship Type="http://schemas.openxmlformats.org/officeDocument/2006/relationships/hyperlink" Target="https://www.douyin.com/user/MS4wLjABAAAA6BqFdHOUc8e18q8Q34HN9fecXBHAqAfBPH-EsDnU2HsOSRBaeCJI_tbCEfcnWiUv" TargetMode="External" Id="rId134" /><Relationship Type="http://schemas.openxmlformats.org/officeDocument/2006/relationships/hyperlink" Target="https://www.xingtu.cn/ad/creator/author-homepage/douyin-video/7112285090771632136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35" /><Relationship Type="http://schemas.openxmlformats.org/officeDocument/2006/relationships/hyperlink" Target="https://www.douyin.com/user/MS4wLjABAAAA4dJG07hpopuuI-1_1N3BJyqE7iVxNObK2j3bDy-GOnMzF-Dv9vFa0Xig08PnIOUa" TargetMode="External" Id="rId136" /><Relationship Type="http://schemas.openxmlformats.org/officeDocument/2006/relationships/hyperlink" Target="https://www.xingtu.cn/ad/creator/author-homepage/douyin-video/7368677997240385573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37" /><Relationship Type="http://schemas.openxmlformats.org/officeDocument/2006/relationships/hyperlink" Target="https://www.douyin.com/user/MS4wLjABAAAA3Bd0BFA-N9Mq2j1VkaWBQDRa0gxM-KUADksFVHO3TlRGzOYd0eYlATGyaOVZV1Qs" TargetMode="External" Id="rId138" /><Relationship Type="http://schemas.openxmlformats.org/officeDocument/2006/relationships/hyperlink" Target="https://www.xingtu.cn/ad/creator/author-homepage/douyin-video/6975029214730797092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39" /><Relationship Type="http://schemas.openxmlformats.org/officeDocument/2006/relationships/hyperlink" Target="https://www.douyin.com/user/MS4wLjABAAAArBQjifVIApFCpbCRzox0itAoGmTW8fuf1bPG2w0wuPU" TargetMode="External" Id="rId140" /><Relationship Type="http://schemas.openxmlformats.org/officeDocument/2006/relationships/hyperlink" Target="https://www.xingtu.cn/ad/creator/author-homepage/douyin-video/6903436933326700557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41" /><Relationship Type="http://schemas.openxmlformats.org/officeDocument/2006/relationships/hyperlink" Target="https://www.douyin.com/user/MS4wLjABAAAAl1nH_O01W8kaBQ1okDYyuhyTfMHMZ3t6TsT7BwHaSHs" TargetMode="External" Id="rId142" /><Relationship Type="http://schemas.openxmlformats.org/officeDocument/2006/relationships/hyperlink" Target="https://www.xingtu.cn/ad/creator/author-homepage/douyin-video/7102346407327039519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43" /><Relationship Type="http://schemas.openxmlformats.org/officeDocument/2006/relationships/hyperlink" Target="https://www.douyin.com/user/MS4wLjABAAAACysJhWgm02MSQGb3mANVDlC523Cbl4imV8RualLlxRs" TargetMode="External" Id="rId144" /><Relationship Type="http://schemas.openxmlformats.org/officeDocument/2006/relationships/hyperlink" Target="https://www.xingtu.cn/ad/creator/author-homepage/douyin-video/7051590481691541535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45" /><Relationship Type="http://schemas.openxmlformats.org/officeDocument/2006/relationships/hyperlink" Target="https://www.douyin.com/user/MS4wLjABAAAAKodHRmKPD1xCEN2HYwE9cfIRR5m9Zum1vr9BQc3JPE0" TargetMode="External" Id="rId146" /><Relationship Type="http://schemas.openxmlformats.org/officeDocument/2006/relationships/hyperlink" Target="https://www.xingtu.cn/ad/creator/author-homepage/douyin-video/6718387479713415179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47" /><Relationship Type="http://schemas.openxmlformats.org/officeDocument/2006/relationships/hyperlink" Target="https://www.douyin.com/user/MS4wLjABAAAAqJ-lpW-0FPTC7AnyN4p4PpNmaVVrUXp_oGWio1UpGgk" TargetMode="External" Id="rId148" /><Relationship Type="http://schemas.openxmlformats.org/officeDocument/2006/relationships/hyperlink" Target="https://www.xingtu.cn/ad/creator/author-homepage/douyin-video/7516330806915104778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49" /><Relationship Type="http://schemas.openxmlformats.org/officeDocument/2006/relationships/hyperlink" Target="https://www.douyin.com/user/MS4wLjABAAAAPj9isobKGt260zcoHrOfZdqg2wE4aLanFC0-O1PtjjvrpOXMwk9bqEKtfrCvPG8D" TargetMode="External" Id="rId150" /><Relationship Type="http://schemas.openxmlformats.org/officeDocument/2006/relationships/hyperlink" Target="https://www.xingtu.cn/ad/creator/author-homepage/douyin-video/7166153743216410654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51" /><Relationship Type="http://schemas.openxmlformats.org/officeDocument/2006/relationships/hyperlink" Target="https://www.douyin.com/user/MS4wLjABAAAAFRQ_306Qyt66b1iA4lDV7iQ6lK79s04fT_t2arL8fAc" TargetMode="External" Id="rId152" /><Relationship Type="http://schemas.openxmlformats.org/officeDocument/2006/relationships/hyperlink" Target="https://www.xingtu.cn/ad/creator/author-homepage/douyin-video/7386664604522250277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53" /><Relationship Type="http://schemas.openxmlformats.org/officeDocument/2006/relationships/hyperlink" Target="https://www.douyin.com/user/MS4wLjABAAAAItmUAwg49vsYoDYmZHiREz5XTEvrookJtLDx5UCIBh4" TargetMode="External" Id="rId154" /><Relationship Type="http://schemas.openxmlformats.org/officeDocument/2006/relationships/hyperlink" Target="https://www.xingtu.cn/ad/creator/author-homepage/douyin-video/7101601808887316493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55" /><Relationship Type="http://schemas.openxmlformats.org/officeDocument/2006/relationships/hyperlink" Target="https://www.douyin.com/user/MS4wLjABAAAAeVS99pY9RTtAM8E26oJaiaer0OupMOC2uzdCJX7QvZlBUtviRhgrUiJwxrmA83Jb" TargetMode="External" Id="rId156" /><Relationship Type="http://schemas.openxmlformats.org/officeDocument/2006/relationships/hyperlink" Target="https://www.xingtu.cn/ad/creator/author-homepage/douyin-video/7438151783047757875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57" /><Relationship Type="http://schemas.openxmlformats.org/officeDocument/2006/relationships/hyperlink" Target="https://www.douyin.com/user/MS4wLjABAAAA1l1kLmY-Bylf42-gzck7-18_wiU9x_gdB8kpkiWVuek" TargetMode="External" Id="rId158" /><Relationship Type="http://schemas.openxmlformats.org/officeDocument/2006/relationships/hyperlink" Target="https://www.xingtu.cn/ad/creator/author-homepage/douyin-video/7177369929404923915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59" /><Relationship Type="http://schemas.openxmlformats.org/officeDocument/2006/relationships/hyperlink" Target="https://www.douyin.com/user/MS4wLjABAAAAFlvjr183luaBpUJzpUfUnlA9CG5QBhq08xlT9hS04KWP92M_xm3g_Ws2hgsjV3DS" TargetMode="External" Id="rId160" /><Relationship Type="http://schemas.openxmlformats.org/officeDocument/2006/relationships/hyperlink" Target="https://www.xingtu.cn/ad/creator/author-homepage/douyin-video/7169122654257938443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61" /><Relationship Type="http://schemas.openxmlformats.org/officeDocument/2006/relationships/hyperlink" Target="https://www.douyin.com/user/MS4wLjABAAAAhPjSiDu1UrW6CK1nU94sTmvdZO5uwBPWBPphdB4ggrqPutoK0_sUoYywA4UTE1dr" TargetMode="External" Id="rId162" /><Relationship Type="http://schemas.openxmlformats.org/officeDocument/2006/relationships/hyperlink" Target="https://www.xingtu.cn/ad/creator/author-homepage/douyin-video/6953908336605528078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63" /><Relationship Type="http://schemas.openxmlformats.org/officeDocument/2006/relationships/hyperlink" Target="https://www.douyin.com/user/MS4wLjABAAAAl8bmrQX5okuEyhWpH-uemqY1L99oi3th4bzKzn1fepNHa1RcmdFgC6DkoAfn_x4r" TargetMode="External" Id="rId164" /><Relationship Type="http://schemas.openxmlformats.org/officeDocument/2006/relationships/hyperlink" Target="https://www.xingtu.cn/ad/creator/author-homepage/douyin-video/7232660134227345466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argetMode="External" Id="rId165" /><Relationship Type="http://schemas.openxmlformats.org/officeDocument/2006/relationships/hyperlink" Target="https://www.douyin.com/user/MS4wLjABAAAAT2kqbKqV3hr9Hr3swJsWxn4O0cszaSIoq-Fc2grdmhwW17i64GxUyuyQzUeZ382N" TargetMode="External" Id="rId166" /><Relationship Type="http://schemas.openxmlformats.org/officeDocument/2006/relationships/hyperlink" Target="https://www.xingtu.cn/ad/creator/author-homepage/douyin-video/706981164090392577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67" /><Relationship Type="http://schemas.openxmlformats.org/officeDocument/2006/relationships/hyperlink" Target="https://www.douyin.com/user/MS4wLjABAAAAiasGnaKzVxvCo6q2kkmHBGObqeALct9AIsU7zFS4vwIK40aQptct-PA271yHUuK3" TargetMode="External" Id="rId168" /><Relationship Type="http://schemas.openxmlformats.org/officeDocument/2006/relationships/hyperlink" Target="https://www.xingtu.cn/ad/creator/author-homepage/douyin-video/731546469057272220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69" /><Relationship Type="http://schemas.openxmlformats.org/officeDocument/2006/relationships/hyperlink" Target="https://www.douyin.com/user/MS4wLjABAAAAGcpMHomCsOaw3rSLUcJLlMesmGa8bM8Pnn7-GEag8Ho" TargetMode="External" Id="rId170" /><Relationship Type="http://schemas.openxmlformats.org/officeDocument/2006/relationships/hyperlink" Target="https://www.xingtu.cn/ad/creator/author-homepage/douyin-video/7469839626201006089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71" /><Relationship Type="http://schemas.openxmlformats.org/officeDocument/2006/relationships/hyperlink" Target="https://www.douyin.com/user/MS4wLjABAAAAaBv-Slhw8gRA4gBaZKjPBjXrOoLNp-1aTu0aa2Q2pr3fwv7qallZbE_ggWui6wVC" TargetMode="External" Id="rId172" /><Relationship Type="http://schemas.openxmlformats.org/officeDocument/2006/relationships/hyperlink" Target="https://www.xingtu.cn/ad/creator/author-homepage/douyin-video/7321067413359820851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73" /><Relationship Type="http://schemas.openxmlformats.org/officeDocument/2006/relationships/hyperlink" Target="https://www.douyin.com/user/MS4wLjABAAAAeujvFrHErVApBwWnMbaOWCpchN7nhTiYTx1lYQSrJS0" TargetMode="External" Id="rId174" /><Relationship Type="http://schemas.openxmlformats.org/officeDocument/2006/relationships/hyperlink" Target="https://www.xingtu.cn/ad/creator/author-homepage/douyin-video/7166548294288539685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75" /><Relationship Type="http://schemas.openxmlformats.org/officeDocument/2006/relationships/hyperlink" Target="https://www.douyin.com/user/MS4wLjABAAAAvCQ3UPzvZo_oZ1dueUr0JZJ8KbiIw898KBiIPmKPZBVEejz_cH2m9UUIXFDUwpgv" TargetMode="External" Id="rId176" /><Relationship Type="http://schemas.openxmlformats.org/officeDocument/2006/relationships/hyperlink" Target="https://www.xingtu.cn/ad/creator/author-homepage/douyin-video/7588849235739541513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77" /><Relationship Type="http://schemas.openxmlformats.org/officeDocument/2006/relationships/hyperlink" Target="https://www.douyin.com/user/MS4wLjABAAAAehyYEyIY5fCDzKrA6UYOfQRTrM0x-OphgqQeLPYPrZO0GNFdniicjmgjv2P0lSDf" TargetMode="External" Id="rId178" /><Relationship Type="http://schemas.openxmlformats.org/officeDocument/2006/relationships/hyperlink" Target="https://www.xingtu.cn/ad/creator/author-homepage/douyin-video/7537675977262891034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79" /><Relationship Type="http://schemas.openxmlformats.org/officeDocument/2006/relationships/hyperlink" Target="https://www.douyin.com/user/MS4wLjABAAAAo7PjTv9bm3Jrkg_IQfnmILZWeJ28UXnabzAGdHTT3P0" TargetMode="External" Id="rId180" /><Relationship Type="http://schemas.openxmlformats.org/officeDocument/2006/relationships/hyperlink" Target="https://www.xingtu.cn/ad/creator/author-homepage/douyin-video/7408985330142937125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81" /><Relationship Type="http://schemas.openxmlformats.org/officeDocument/2006/relationships/hyperlink" Target="https://www.douyin.com/user/MS4wLjABAAAAro3IXXwEj0PlkffN16rVJOZvvcogQBzVbmgsyW15MFk4j8G6_nhbC9gN9844kol3" TargetMode="External" Id="rId182" /><Relationship Type="http://schemas.openxmlformats.org/officeDocument/2006/relationships/hyperlink" Target="https://www.xingtu.cn/ad/creator/author-homepage/douyin-video/7392122193956208666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83" /><Relationship Type="http://schemas.openxmlformats.org/officeDocument/2006/relationships/hyperlink" Target="https://www.douyin.com/user/MS4wLjABAAAAWc3nS-6KGZWXVv3p07kN3_QAFiGAF6qnOkUC8ZTt6u3UKnfRseHlljNTGqEbbmdo" TargetMode="External" Id="rId184" /><Relationship Type="http://schemas.openxmlformats.org/officeDocument/2006/relationships/hyperlink" Target="https://www.xingtu.cn/ad/creator/author-homepage/douyin-video/7293737000018903081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85" /><Relationship Type="http://schemas.openxmlformats.org/officeDocument/2006/relationships/hyperlink" Target="https://www.douyin.com/user/MS4wLjABAAAA1QoL8gGA5gYg1gFdE2x1tmH64x_KMrKWEU44O2SfL00P6iqSlyaN7ii50mjBm9BZ" TargetMode="External" Id="rId186" /><Relationship Type="http://schemas.openxmlformats.org/officeDocument/2006/relationships/hyperlink" Target="https://www.xingtu.cn/ad/creator/author-homepage/douyin-video/7442920710663569418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87" /><Relationship Type="http://schemas.openxmlformats.org/officeDocument/2006/relationships/hyperlink" Target="https://www.douyin.com/user/MS4wLjABAAAA7FjNVEf8z5gxkB82udOCa58XyTO6GdNNLmbrOWI2pS8mLAWNX221nM1-E1WQIy0g" TargetMode="External" Id="rId188" /><Relationship Type="http://schemas.openxmlformats.org/officeDocument/2006/relationships/hyperlink" Target="https://www.xingtu.cn/ad/creator/author-homepage/douyin-video/7354180855868162087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89" /><Relationship Type="http://schemas.openxmlformats.org/officeDocument/2006/relationships/hyperlink" Target="https://www.douyin.com/user/MS4wLjABAAAAjAjrHGq2hWrjk_vRw2GDq6w1qlzajRxSe4rCQk8UjSw" TargetMode="External" Id="rId190" /><Relationship Type="http://schemas.openxmlformats.org/officeDocument/2006/relationships/hyperlink" Target="https://www.xingtu.cn/ad/creator/author-homepage/douyin-video/6870170648535105544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91" /><Relationship Type="http://schemas.openxmlformats.org/officeDocument/2006/relationships/hyperlink" Target="https://www.douyin.com/user/MS4wLjABAAAARaPhWc-Kwcl6pnilAVPWOuE8obpflGtaaWPUTzgw-qDm4B8ZKlM6uFWjtv8qq9eo" TargetMode="External" Id="rId192" /><Relationship Type="http://schemas.openxmlformats.org/officeDocument/2006/relationships/hyperlink" Target="https://www.xingtu.cn/ad/creator/author-homepage/douyin-video/7332460830666752011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93" /><Relationship Type="http://schemas.openxmlformats.org/officeDocument/2006/relationships/hyperlink" Target="https://www.douyin.com/user/MS4wLjABAAAAlG_J3aJhO4QbezgrM70zGTG1hDgK85JHvpEak_jUCQ8NrY7rZvxm7d8_uAjhMftI" TargetMode="External" Id="rId194" /><Relationship Type="http://schemas.openxmlformats.org/officeDocument/2006/relationships/hyperlink" Target="https://www.xingtu.cn/ad/creator/author-homepage/douyin-video/7165290148932878373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95" /><Relationship Type="http://schemas.openxmlformats.org/officeDocument/2006/relationships/hyperlink" Target="https://www.douyin.com/user/MS4wLjABAAAAYFvJRLsyu6AhywpWYsph-Rw1rSrJLB78ykNjWVeHpEGaBOtQS8TCYRXBeTwiDjdN" TargetMode="External" Id="rId196" /><Relationship Type="http://schemas.openxmlformats.org/officeDocument/2006/relationships/hyperlink" Target="https://www.xingtu.cn/ad/creator/author-homepage/douyin-video/7149868113972953101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97" /><Relationship Type="http://schemas.openxmlformats.org/officeDocument/2006/relationships/hyperlink" Target="https://www.douyin.com/user/MS4wLjABAAAARWUCACxbDI5qtAomnpH9LIsNilufdxlO1HSn98dUnC3GGjvmdnaRjzO6AQjYi0fy" TargetMode="External" Id="rId198" /><Relationship Type="http://schemas.openxmlformats.org/officeDocument/2006/relationships/hyperlink" Target="https://www.xingtu.cn/ad/creator/author-homepage/douyin-video/723666562752236754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199" /><Relationship Type="http://schemas.openxmlformats.org/officeDocument/2006/relationships/hyperlink" Target="https://www.douyin.com/user/MS4wLjABAAAA4QQwlBex1Ys8ecn4uMQQXUC91UXbVVaybEAtUcklN7F2FoCWWcwpc7UeS7apzGzO" TargetMode="External" Id="rId200" /><Relationship Type="http://schemas.openxmlformats.org/officeDocument/2006/relationships/hyperlink" Target="https://www.xingtu.cn/ad/creator/author-homepage/douyin-video/734309381033721859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01" /><Relationship Type="http://schemas.openxmlformats.org/officeDocument/2006/relationships/hyperlink" Target="https://www.douyin.com/user/MS4wLjABAAAAQSfrs08nxcnMz_Tn2oY_csbLf27KQG7SNvXkPncqAu4" TargetMode="External" Id="rId202" /><Relationship Type="http://schemas.openxmlformats.org/officeDocument/2006/relationships/hyperlink" Target="https://www.xingtu.cn/ad/creator/author-homepage/douyin-video/7467407936877232165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03" /><Relationship Type="http://schemas.openxmlformats.org/officeDocument/2006/relationships/hyperlink" Target="https://www.douyin.com/user/MS4wLjABAAAAb4TX_Bd3mV0oSr0Js_E5_0E-uTv7-0RC-P4j_uY2tQZ0FH8N8nwW-7HqQ-W61kAE" TargetMode="External" Id="rId204" /><Relationship Type="http://schemas.openxmlformats.org/officeDocument/2006/relationships/hyperlink" Target="https://www.xingtu.cn/ad/creator/author-homepage/douyin-video/7358375362700509193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05" /><Relationship Type="http://schemas.openxmlformats.org/officeDocument/2006/relationships/hyperlink" Target="https://www.douyin.com/user/MS4wLjABAAAA96kGeh_tk7Q3poLkvWh3YMCoPhOYMtm9IqvmJvYKecM" TargetMode="External" Id="rId206" /><Relationship Type="http://schemas.openxmlformats.org/officeDocument/2006/relationships/hyperlink" Target="https://www.xingtu.cn/ad/creator/author-homepage/douyin-video/7101236488704262180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07" /><Relationship Type="http://schemas.openxmlformats.org/officeDocument/2006/relationships/hyperlink" Target="https://www.douyin.com/user/MS4wLjABAAAAGSfOLN3atCadTvzhyK1aKWKvLc7JKkcCnzDNalEDAYY" TargetMode="External" Id="rId208" /><Relationship Type="http://schemas.openxmlformats.org/officeDocument/2006/relationships/hyperlink" Target="https://www.xingtu.cn/ad/creator/author-homepage/douyin-video/6841940343676469261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09" /><Relationship Type="http://schemas.openxmlformats.org/officeDocument/2006/relationships/hyperlink" Target="https://www.douyin.com/user/MS4wLjABAAAA56pI6Fc1j_vzlFlovLX-o2mN_PDa2YAzqkKqFcBtrqE" TargetMode="External" Id="rId210" /><Relationship Type="http://schemas.openxmlformats.org/officeDocument/2006/relationships/hyperlink" Target="https://www.xingtu.cn/ad/creator/author-homepage/douyin-video/7173687464870019076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11" /><Relationship Type="http://schemas.openxmlformats.org/officeDocument/2006/relationships/hyperlink" Target="https://www.douyin.com/user/MS4wLjABAAAAIFj1JP9UPWhs18VcYR0GWnoaG0_3IuysonhEak_y-E9sMIancFJvxAv5ouUg-AfN" TargetMode="External" Id="rId212" /><Relationship Type="http://schemas.openxmlformats.org/officeDocument/2006/relationships/hyperlink" Target="https://www.xingtu.cn/ad/creator/author-homepage/douyin-video/6870169119220563975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13" /><Relationship Type="http://schemas.openxmlformats.org/officeDocument/2006/relationships/hyperlink" Target="https://www.douyin.com/user/MS4wLjABAAAAvMzo5DHeab4vClwkiRPecybLlCNTAz0iNhbiWryUF88" TargetMode="External" Id="rId214" /><Relationship Type="http://schemas.openxmlformats.org/officeDocument/2006/relationships/hyperlink" Target="https://www.xingtu.cn/ad/creator/author-homepage/douyin-video/7442920710663569418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15" /><Relationship Type="http://schemas.openxmlformats.org/officeDocument/2006/relationships/hyperlink" Target="https://www.douyin.com/user/MS4wLjABAAAA7FjNVEf8z5gxkB82udOCa58XyTO6GdNNLmbrOWI2pS8mLAWNX221nM1-E1WQIy0g" TargetMode="External" Id="rId216" /><Relationship Type="http://schemas.openxmlformats.org/officeDocument/2006/relationships/hyperlink" Target="https://www.xingtu.cn/ad/creator/author-homepage/douyin-video/7354180855868162087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17" /><Relationship Type="http://schemas.openxmlformats.org/officeDocument/2006/relationships/hyperlink" Target="https://www.douyin.com/user/MS4wLjABAAAAjAjrHGq2hWrjk_vRw2GDq6w1qlzajRxSe4rCQk8UjSw" TargetMode="External" Id="rId218" /><Relationship Type="http://schemas.openxmlformats.org/officeDocument/2006/relationships/hyperlink" Target="https://www.xingtu.cn/ad/creator/author-homepage/douyin-video/6870170648535105544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19" /><Relationship Type="http://schemas.openxmlformats.org/officeDocument/2006/relationships/hyperlink" Target="https://www.douyin.com/user/MS4wLjABAAAARaPhWc-Kwcl6pnilAVPWOuE8obpflGtaaWPUTzgw-qDm4B8ZKlM6uFWjtv8qq9eo" TargetMode="External" Id="rId220" /><Relationship Type="http://schemas.openxmlformats.org/officeDocument/2006/relationships/hyperlink" Target="https://www.xingtu.cn/ad/creator/author-homepage/douyin-video/7332460830666752011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21" /><Relationship Type="http://schemas.openxmlformats.org/officeDocument/2006/relationships/hyperlink" Target="https://www.douyin.com/user/MS4wLjABAAAAlG_J3aJhO4QbezgrM70zGTG1hDgK85JHvpEak_jUCQ8NrY7rZvxm7d8_uAjhMftI" TargetMode="External" Id="rId222" /><Relationship Type="http://schemas.openxmlformats.org/officeDocument/2006/relationships/hyperlink" Target="https://www.xingtu.cn/ad/creator/author-homepage/douyin-video/7165290148932878373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23" /><Relationship Type="http://schemas.openxmlformats.org/officeDocument/2006/relationships/hyperlink" Target="https://www.douyin.com/user/MS4wLjABAAAAYFvJRLsyu6AhywpWYsph-Rw1rSrJLB78ykNjWVeHpEGaBOtQS8TCYRXBeTwiDjdN" TargetMode="External" Id="rId224" /><Relationship Type="http://schemas.openxmlformats.org/officeDocument/2006/relationships/hyperlink" Target="https://www.xingtu.cn/ad/creator/author-homepage/douyin-video/7149868113972953101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25" /><Relationship Type="http://schemas.openxmlformats.org/officeDocument/2006/relationships/hyperlink" Target="https://www.douyin.com/user/MS4wLjABAAAARWUCACxbDI5qtAomnpH9LIsNilufdxlO1HSn98dUnC3GGjvmdnaRjzO6AQjYi0fy" TargetMode="External" Id="rId226" /><Relationship Type="http://schemas.openxmlformats.org/officeDocument/2006/relationships/hyperlink" Target="https://www.xingtu.cn/ad/creator/author-homepage/douyin-video/723666562752236754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27" /><Relationship Type="http://schemas.openxmlformats.org/officeDocument/2006/relationships/hyperlink" Target="https://www.douyin.com/user/MS4wLjABAAAA4QQwlBex1Ys8ecn4uMQQXUC91UXbVVaybEAtUcklN7F2FoCWWcwpc7UeS7apzGzO" TargetMode="External" Id="rId228" /><Relationship Type="http://schemas.openxmlformats.org/officeDocument/2006/relationships/hyperlink" Target="https://www.xingtu.cn/ad/creator/author-homepage/douyin-video/734309381033721859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29" /><Relationship Type="http://schemas.openxmlformats.org/officeDocument/2006/relationships/hyperlink" Target="https://www.douyin.com/user/MS4wLjABAAAAQSfrs08nxcnMz_Tn2oY_csbLf27KQG7SNvXkPncqAu4" TargetMode="External" Id="rId230" /><Relationship Type="http://schemas.openxmlformats.org/officeDocument/2006/relationships/hyperlink" Target="https://www.xingtu.cn/ad/creator/author-homepage/douyin-video/7467407936877232165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31" /><Relationship Type="http://schemas.openxmlformats.org/officeDocument/2006/relationships/hyperlink" Target="https://www.douyin.com/user/MS4wLjABAAAAb4TX_Bd3mV0oSr0Js_E5_0E-uTv7-0RC-P4j_uY2tQZ0FH8N8nwW-7HqQ-W61kAE" TargetMode="External" Id="rId232" /><Relationship Type="http://schemas.openxmlformats.org/officeDocument/2006/relationships/hyperlink" Target="https://www.xingtu.cn/ad/creator/author-homepage/douyin-video/7358375362700509193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33" /><Relationship Type="http://schemas.openxmlformats.org/officeDocument/2006/relationships/hyperlink" Target="https://www.douyin.com/user/MS4wLjABAAAA96kGeh_tk7Q3poLkvWh3YMCoPhOYMtm9IqvmJvYKecM" TargetMode="External" Id="rId234" /><Relationship Type="http://schemas.openxmlformats.org/officeDocument/2006/relationships/hyperlink" Target="https://www.xingtu.cn/ad/creator/author-homepage/douyin-video/7035744523242176549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35" /><Relationship Type="http://schemas.openxmlformats.org/officeDocument/2006/relationships/hyperlink" Target="https://www.douyin.com/user/MS4wLjABAAAAg2eOy15_2q0GZtFYcV7HH8-O-6Hw8MyXsB4Crz9Efz8ONVL_Hs3z02gKbl-IH_Il" TargetMode="External" Id="rId236" /><Relationship Type="http://schemas.openxmlformats.org/officeDocument/2006/relationships/hyperlink" Target="https://www.xingtu.cn/ad/creator/author-homepage/douyin-video/7164733509158993951?market_track_id=EIFDX3KY4VG2IQZRENPC&amp;search_session_id=7617775622043009050&amp;video_type=130&amp;_route_from=from_page=Market&amp;search_session_id=7617775622043009050&amp;is_for_order=0&amp;market_track_id=EIFDX3KY4VG2IQZRENPC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37" /><Relationship Type="http://schemas.openxmlformats.org/officeDocument/2006/relationships/hyperlink" Target="https://www.douyin.com/user/MS4wLjABAAAAR-RzST7Zi939Bqvaht8OxAiDVxihQMmzfTHjmFiSD1CUw_i0GjIZ9HHg5YY4UhtC" TargetMode="External" Id="rId238" /><Relationship Type="http://schemas.openxmlformats.org/officeDocument/2006/relationships/hyperlink" Target="https://www.xingtu.cn/ad/creator/author-homepage/douyin-video/7411536681158852644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39" /><Relationship Type="http://schemas.openxmlformats.org/officeDocument/2006/relationships/hyperlink" Target="https://www.douyin.com/user/MS4wLjABAAAA3B98oxC-6sVFindB-anv7fqx3VeK9y0YMUOaZTSTXCQ" TargetMode="External" Id="rId240" /><Relationship Type="http://schemas.openxmlformats.org/officeDocument/2006/relationships/hyperlink" Target="https://www.xingtu.cn/ad/creator/author-homepage/douyin-video/6954563483748794382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41" /><Relationship Type="http://schemas.openxmlformats.org/officeDocument/2006/relationships/hyperlink" Target="https://www.douyin.com/user/MS4wLjABAAAAdt1mC-0cbgUuzgRiO2oTZF30rggcQkpyfKzW6IyQkyo" TargetMode="External" Id="rId242" /><Relationship Type="http://schemas.openxmlformats.org/officeDocument/2006/relationships/hyperlink" Target="https://www.xingtu.cn/ad/creator/author-homepage/douyin-video/706981164090392577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43" /><Relationship Type="http://schemas.openxmlformats.org/officeDocument/2006/relationships/hyperlink" Target="https://www.douyin.com/user/MS4wLjABAAAAiasGnaKzVxvCo6q2kkmHBGObqeALct9AIsU7zFS4vwIK40aQptct-PA271yHUuK3" TargetMode="External" Id="rId244" /><Relationship Type="http://schemas.openxmlformats.org/officeDocument/2006/relationships/hyperlink" Target="https://www.xingtu.cn/ad/creator/author-homepage/douyin-video/731546469057272220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45" /><Relationship Type="http://schemas.openxmlformats.org/officeDocument/2006/relationships/hyperlink" Target="https://www.douyin.com/user/MS4wLjABAAAAGcpMHomCsOaw3rSLUcJLlMesmGa8bM8Pnn7-GEag8Ho" TargetMode="External" Id="rId246" /><Relationship Type="http://schemas.openxmlformats.org/officeDocument/2006/relationships/hyperlink" Target="https://www.xingtu.cn/ad/creator/author-homepage/douyin-video/7469839626201006089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47" /><Relationship Type="http://schemas.openxmlformats.org/officeDocument/2006/relationships/hyperlink" Target="https://www.douyin.com/user/MS4wLjABAAAAaBv-Slhw8gRA4gBaZKjPBjXrOoLNp-1aTu0aa2Q2pr3fwv7qallZbE_ggWui6wVC" TargetMode="External" Id="rId248" /><Relationship Type="http://schemas.openxmlformats.org/officeDocument/2006/relationships/hyperlink" Target="https://www.xingtu.cn/ad/creator/author-homepage/douyin-video/7321067413359820851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49" /><Relationship Type="http://schemas.openxmlformats.org/officeDocument/2006/relationships/hyperlink" Target="https://www.douyin.com/user/MS4wLjABAAAAeujvFrHErVApBwWnMbaOWCpchN7nhTiYTx1lYQSrJS0" TargetMode="External" Id="rId250" /><Relationship Type="http://schemas.openxmlformats.org/officeDocument/2006/relationships/hyperlink" Target="https://www.xingtu.cn/ad/creator/author-homepage/douyin-video/7166548294288539685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51" /><Relationship Type="http://schemas.openxmlformats.org/officeDocument/2006/relationships/hyperlink" Target="https://www.douyin.com/user/MS4wLjABAAAAvCQ3UPzvZo_oZ1dueUr0JZJ8KbiIw898KBiIPmKPZBVEejz_cH2m9UUIXFDUwpgv" TargetMode="External" Id="rId252" /><Relationship Type="http://schemas.openxmlformats.org/officeDocument/2006/relationships/hyperlink" Target="https://www.xingtu.cn/ad/creator/author-homepage/douyin-video/7588849235739541513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53" /><Relationship Type="http://schemas.openxmlformats.org/officeDocument/2006/relationships/hyperlink" Target="https://www.douyin.com/user/MS4wLjABAAAAehyYEyIY5fCDzKrA6UYOfQRTrM0x-OphgqQeLPYPrZO0GNFdniicjmgjv2P0lSDf" TargetMode="External" Id="rId254" /><Relationship Type="http://schemas.openxmlformats.org/officeDocument/2006/relationships/hyperlink" Target="https://www.xingtu.cn/ad/creator/author-homepage/douyin-video/7537675977262891034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55" /><Relationship Type="http://schemas.openxmlformats.org/officeDocument/2006/relationships/hyperlink" Target="https://www.douyin.com/user/MS4wLjABAAAAo7PjTv9bm3Jrkg_IQfnmILZWeJ28UXnabzAGdHTT3P0" TargetMode="External" Id="rId256" /><Relationship Type="http://schemas.openxmlformats.org/officeDocument/2006/relationships/hyperlink" Target="https://www.xingtu.cn/ad/creator/author-homepage/douyin-video/7408985330142937125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57" /><Relationship Type="http://schemas.openxmlformats.org/officeDocument/2006/relationships/hyperlink" Target="https://www.douyin.com/user/MS4wLjABAAAAro3IXXwEj0PlkffN16rVJOZvvcogQBzVbmgsyW15MFk4j8G6_nhbC9gN9844kol3" TargetMode="External" Id="rId258" /><Relationship Type="http://schemas.openxmlformats.org/officeDocument/2006/relationships/hyperlink" Target="https://www.xingtu.cn/ad/creator/author-homepage/douyin-video/7392122193956208666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59" /><Relationship Type="http://schemas.openxmlformats.org/officeDocument/2006/relationships/hyperlink" Target="https://www.douyin.com/user/MS4wLjABAAAAWc3nS-6KGZWXVv3p07kN3_QAFiGAF6qnOkUC8ZTt6u3UKnfRseHlljNTGqEbbmdo" TargetMode="External" Id="rId260" /><Relationship Type="http://schemas.openxmlformats.org/officeDocument/2006/relationships/hyperlink" Target="https://www.xingtu.cn/ad/creator/author-homepage/douyin-video/7293737000018903081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argetMode="External" Id="rId261" /><Relationship Type="http://schemas.openxmlformats.org/officeDocument/2006/relationships/hyperlink" Target="https://www.douyin.com/user/MS4wLjABAAAA1QoL8gGA5gYg1gFdE2x1tmH64x_KMrKWEU44O2SfL00P6iqSlyaN7ii50mjBm9BZ" TargetMode="External" Id="rId262" /><Relationship Type="http://schemas.openxmlformats.org/officeDocument/2006/relationships/hyperlink" Target="https://www.xingtu.cn/ad/creator/author-homepage/douyin-video/6936895695462858765?market_track_id=DBRU18NGRITOFQXZMU46&amp;search_session_id=7618168166741344265&amp;video_type=130&amp;_route_from=from_page=Market&amp;search_session_id=7618168166741344265&amp;is_for_order=0&amp;market_track_id=DBRU18NGRITOFQXZMU46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63" /><Relationship Type="http://schemas.openxmlformats.org/officeDocument/2006/relationships/hyperlink" Target="https://www.douyin.com/user/MS4wLjABAAAA1b0Koi6aWpUrTRe9a-Q2sKAF17ywhWXr718V5mjO6kQ" TargetMode="External" Id="rId264" /><Relationship Type="http://schemas.openxmlformats.org/officeDocument/2006/relationships/hyperlink" Target="https://www.xingtu.cn/ad/creator/author-homepage/douyin-video/6870167487103631373?market_track_id=DBRU18NGRITOFQXZMU46&amp;search_session_id=7618168166741344265&amp;video_type=130&amp;_route_from=from_page=Market&amp;search_session_id=7618168166741344265&amp;is_for_order=0&amp;market_track_id=DBRU18NGRITOFQXZMU46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65" /><Relationship Type="http://schemas.openxmlformats.org/officeDocument/2006/relationships/hyperlink" Target="https://www.douyin.com/user/MS4wLjABAAAAfdScCCYIADFhMrxY20_am5vDMacinM4l869pieEVnfA" TargetMode="External" Id="rId266" /><Relationship Type="http://schemas.openxmlformats.org/officeDocument/2006/relationships/hyperlink" Target="https://www.xingtu.cn/ad/creator/author-homepage/douyin-video/7163573899223891981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67" /><Relationship Type="http://schemas.openxmlformats.org/officeDocument/2006/relationships/hyperlink" Target="https://www.douyin.com/user/MS4wLjABAAAAADC6y84v-qR_ylWv1Por6cI6LQqxDPQXTjZ9ub4h8V8" TargetMode="External" Id="rId268" /><Relationship Type="http://schemas.openxmlformats.org/officeDocument/2006/relationships/hyperlink" Target="https://www.xingtu.cn/ad/creator/author-homepage/douyin-video/7179842923352031243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69" /><Relationship Type="http://schemas.openxmlformats.org/officeDocument/2006/relationships/hyperlink" Target="https://www.douyin.com/user/MS4wLjABAAAA1NYbSLT60252HQa_hxxvjJ4AQaXiJtBjw9rkPMWmjYk" TargetMode="External" Id="rId270" /><Relationship Type="http://schemas.openxmlformats.org/officeDocument/2006/relationships/hyperlink" Target="https://www.xingtu.cn/ad/creator/author-homepage/douyin-video/7079271554642608164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71" /><Relationship Type="http://schemas.openxmlformats.org/officeDocument/2006/relationships/hyperlink" Target="https://www.douyin.com/user/MS4wLjABAAAAlIHLujpIQfNeDpO7L8FNX23hT0WARDrSIqbET9gMZuw" TargetMode="External" Id="rId272" /><Relationship Type="http://schemas.openxmlformats.org/officeDocument/2006/relationships/hyperlink" Target="https://www.xingtu.cn/ad/creator/author-homepage/douyin-video/7079434628871749643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73" /><Relationship Type="http://schemas.openxmlformats.org/officeDocument/2006/relationships/hyperlink" Target="https://www.douyin.com/user/MS4wLjABAAAAOCeLXHZOA_-wIKCwTo0OjFmLRYSU8qDwwlCIi0uqauvTWsAkBYysivau0a6BJVqt" TargetMode="External" Id="rId274" /><Relationship Type="http://schemas.openxmlformats.org/officeDocument/2006/relationships/hyperlink" Target="https://www.xingtu.cn/ad/creator/author-homepage/douyin-video/6860479696702799886?market_track_id=DBRU18NGRITOFQXZMU46&amp;search_session_id=7618173649791057947&amp;video_type=130&amp;_route_from=from_page=Market&amp;search_session_id=7618173649791057947&amp;is_for_order=0&amp;market_track_id=DBRU18NGRITOFQXZMU46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75" /><Relationship Type="http://schemas.openxmlformats.org/officeDocument/2006/relationships/hyperlink" Target="https://www.douyin.com/user/MS4wLjABAAAAzehJmM6M4NWpNg1LJsJ-VcLwLHcaqzWZgFcgERVE5vI" TargetMode="External" Id="rId276" /><Relationship Type="http://schemas.openxmlformats.org/officeDocument/2006/relationships/hyperlink" Target="https://www.xingtu.cn/ad/creator/author-homepage/douyin-video/7164733509158993951?market_track_id=EIFDX3KY4VG2IQZRENPC&amp;search_session_id=7617775622043009050&amp;video_type=130&amp;_route_from=from_page=Market&amp;search_session_id=7617775622043009050&amp;is_for_order=0&amp;market_track_id=EIFDX3KY4VG2IQZRENPC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77" /><Relationship Type="http://schemas.openxmlformats.org/officeDocument/2006/relationships/hyperlink" Target="https://www.douyin.com/user/MS4wLjABAAAAR-RzST7Zi939Bqvaht8OxAiDVxihQMmzfTHjmFiSD1CUw_i0GjIZ9HHg5YY4UhtC" TargetMode="External" Id="rId278" /><Relationship Type="http://schemas.openxmlformats.org/officeDocument/2006/relationships/hyperlink" Target="https://www.xingtu.cn/ad/creator/author-homepage/douyin-video/7411536681158852644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79" /><Relationship Type="http://schemas.openxmlformats.org/officeDocument/2006/relationships/hyperlink" Target="https://www.douyin.com/user/MS4wLjABAAAA3B98oxC-6sVFindB-anv7fqx3VeK9y0YMUOaZTSTXCQ" TargetMode="External" Id="rId280" /><Relationship Type="http://schemas.openxmlformats.org/officeDocument/2006/relationships/hyperlink" Target="https://www.xingtu.cn/ad/creator/author-homepage/douyin-video/6954563483748794382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81" /><Relationship Type="http://schemas.openxmlformats.org/officeDocument/2006/relationships/hyperlink" Target="https://www.douyin.com/user/MS4wLjABAAAAdt1mC-0cbgUuzgRiO2oTZF30rggcQkpyfKzW6IyQkyo" TargetMode="External" Id="rId282" /><Relationship Type="http://schemas.openxmlformats.org/officeDocument/2006/relationships/hyperlink" Target="https://www.xingtu.cn/ad/creator/author-homepage/douyin-video/7355134446237909002?market_track_id=DBRU18NGRITOFQXZMU46&amp;search_session_id=7618174603370119177&amp;video_type=130&amp;_route_from=from_page=Market&amp;search_session_id=7618174603370119177&amp;is_for_order=0&amp;market_track_id=DBRU18NGRITOFQXZMU46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83" /><Relationship Type="http://schemas.openxmlformats.org/officeDocument/2006/relationships/hyperlink" Target="https://www.douyin.com/user/MS4wLjABAAAA1We65DDTDZFB28bcwuQD-tyJnqs0w2FN7qG3EwaWhAP92HGT9KutpijLpGjMw83c" TargetMode="External" Id="rId284" /><Relationship Type="http://schemas.openxmlformats.org/officeDocument/2006/relationships/hyperlink" Target="https://www.xingtu.cn/ad/creator/author-homepage/douyin-video/7345740580552441906?market_track_id=DBRU18NGRITOFQXZMU46&amp;search_session_id=7618174603370119177&amp;video_type=130&amp;_route_from=from_page=Market&amp;search_session_id=7618174603370119177&amp;is_for_order=0&amp;market_track_id=DBRU18NGRITOFQXZMU46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85" /><Relationship Type="http://schemas.openxmlformats.org/officeDocument/2006/relationships/hyperlink" Target="https://www.douyin.com/user/MS4wLjABAAAAo3EgYKq_KEGZ9Rte7p0SRpBAYhaxPhuMgiBabZqT1w4" TargetMode="External" Id="rId286" /><Relationship Type="http://schemas.openxmlformats.org/officeDocument/2006/relationships/hyperlink" Target="https://www.xingtu.cn/ad/creator/author-homepage/douyin-video/7446458420263125004?market_track_id=DBRU18NGRITOFQXZMU46&amp;search_session_id=7618174603370119177&amp;video_type=130&amp;_route_from=from_page=Market&amp;search_session_id=7618174603370119177&amp;is_for_order=0&amp;market_track_id=DBRU18NGRITOFQXZMU46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87" /><Relationship Type="http://schemas.openxmlformats.org/officeDocument/2006/relationships/hyperlink" Target="https://www.douyin.com/user/MS4wLjABAAAAHGYCd81EFa0mM_Gl5Rl72eHGH0QL_tCKcVUJePpkX5pc5bndzloI76UnNMsH-fn2" TargetMode="External" Id="rId288" /><Relationship Type="http://schemas.openxmlformats.org/officeDocument/2006/relationships/hyperlink" Target="https://www.xingtu.cn/ad/creator/author/douyin/7107482096947429406/11?market_track_id=DBRU18NGRITOFQXZMU46&amp;search_session_id=7618179157599944742&amp;video_type=130&amp;_route_from=from_page=Market&amp;search_session_id=7618179157599944742&amp;is_for_order=0&amp;market_track_id=DBRU18NGRITOFQXZMU46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89" /><Relationship Type="http://schemas.openxmlformats.org/officeDocument/2006/relationships/hyperlink" Target="https://www.douyin.com/user/MS4wLjABAAAAONvI77LIfeh31rrxkJvtBmHxKbUI45r6-9-Dn0FB62k" TargetMode="External" Id="rId290" /><Relationship Type="http://schemas.openxmlformats.org/officeDocument/2006/relationships/hyperlink" Target="https://www.xingtu.cn/ad/creator/author-homepage/douyin-video/7401073871819898918?market_track_id=DBRU18NGRITOFQXZMU46&amp;search_session_id=7618179157599944742&amp;video_type=130&amp;_route_from=from_page=Market&amp;search_session_id=7618179157599944742&amp;is_for_order=0&amp;market_track_id=DBRU18NGRITOFQXZMU46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91" /><Relationship Type="http://schemas.openxmlformats.org/officeDocument/2006/relationships/hyperlink" Target="https://www.douyin.com/user/MS4wLjABAAAACZHjNjHw1069DCZnm5sTbSwT0RL3pugEtX24fUkSBVcfcFz5ait8auC1GizEN3FG" TargetMode="External" Id="rId292" /><Relationship Type="http://schemas.openxmlformats.org/officeDocument/2006/relationships/hyperlink" Target="https://www.xingtu.cn/ad/creator/author-homepage/douyin-video/7298177404168732726?market_track_id=DBRU18NGRITOFQXZMU46&amp;search_session_id=7618179157599944742&amp;video_type=130&amp;_route_from=from_page=Market&amp;search_session_id=7618179157599944742&amp;is_for_order=0&amp;market_track_id=DBRU18NGRITOFQXZMU46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93" /><Relationship Type="http://schemas.openxmlformats.org/officeDocument/2006/relationships/hyperlink" Target="https://www.douyin.com/user/MS4wLjABAAAAKgXeA5LsUv7Q_I2TgY2hZHORjKYx8qm34WpVOnwy3vE" TargetMode="External" Id="rId294" /><Relationship Type="http://schemas.openxmlformats.org/officeDocument/2006/relationships/hyperlink" Target="https://www.xingtu.cn/ad/creator/author-homepage/douyin-video/7028513962337665036?market_track_id=DBRU18NGRITOFQXZMU46&amp;search_session_id=7618181528321179698&amp;video_type=130&amp;_route_from=from_page=Market&amp;search_session_id=7618181528321179698&amp;is_for_order=0&amp;market_track_id=DBRU18NGRITOFQXZMU46&amp;platform_source=1&amp;order_by=score&amp;sort_type=2&amp;search_scene=1&amp;display_scene=1&amp;limit=20&amp;page=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95" /><Relationship Type="http://schemas.openxmlformats.org/officeDocument/2006/relationships/hyperlink" Target="https://www.douyin.com/user/MS4wLjABAAAA4jfdfN-5imjw-gFG-o-b1jC5kpl7vGIvyS-sw_K9kaZi2xs4-DDNFT_B0xmfH6sU" TargetMode="External" Id="rId296" /><Relationship Type="http://schemas.openxmlformats.org/officeDocument/2006/relationships/hyperlink" Target="https://www.xingtu.cn/ad/creator/author-homepage/douyin-video/7110252799065079839?market_track_id=DBRU18NGRITOFQXZMU46&amp;search_session_id=7618181528321179698&amp;video_type=130&amp;_route_from=from_page=Market&amp;search_session_id=7618181528321179698&amp;is_for_order=0&amp;market_track_id=DBRU18NGRITOFQXZMU46&amp;platform_source=1&amp;order_by=score&amp;sort_type=2&amp;search_scene=1&amp;display_scene=1&amp;limit=20&amp;page=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argetMode="External" Id="rId297" /><Relationship Type="http://schemas.openxmlformats.org/officeDocument/2006/relationships/hyperlink" Target="https://www.douyin.com/user/MS4wLjABAAAAL9La_SSqpddVHybjls_uLUZHgQRbT4Wm1m8YGYU2cZfkAMNMt2g2BIIKihG4NAHl" TargetMode="External" Id="rId298" /><Relationship Type="http://schemas.openxmlformats.org/officeDocument/2006/relationships/hyperlink" Target="https://www.xingtu.cn/ad/creator/author-homepage/douyin-video/7101236488704262180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299" /><Relationship Type="http://schemas.openxmlformats.org/officeDocument/2006/relationships/hyperlink" Target="https://www.douyin.com/user/MS4wLjABAAAAGSfOLN3atCadTvzhyK1aKWKvLc7JKkcCnzDNalEDAYY" TargetMode="External" Id="rId300" /><Relationship Type="http://schemas.openxmlformats.org/officeDocument/2006/relationships/hyperlink" Target="https://www.xingtu.cn/ad/creator/author-homepage/douyin-video/6841940343676469261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301" /><Relationship Type="http://schemas.openxmlformats.org/officeDocument/2006/relationships/hyperlink" Target="https://www.douyin.com/user/MS4wLjABAAAA56pI6Fc1j_vzlFlovLX-o2mN_PDa2YAzqkKqFcBtrqE" TargetMode="External" Id="rId302" /><Relationship Type="http://schemas.openxmlformats.org/officeDocument/2006/relationships/hyperlink" Target="https://www.xingtu.cn/ad/creator/author-homepage/douyin-video/7173687464870019076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303" /><Relationship Type="http://schemas.openxmlformats.org/officeDocument/2006/relationships/hyperlink" Target="https://www.douyin.com/user/MS4wLjABAAAAIFj1JP9UPWhs18VcYR0GWnoaG0_3IuysonhEak_y-E9sMIancFJvxAv5ouUg-AfN" TargetMode="External" Id="rId304" /><Relationship Type="http://schemas.openxmlformats.org/officeDocument/2006/relationships/hyperlink" Target="https://www.xingtu.cn/ad/creator/author-homepage/douyin-video/6870169119220563975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argetMode="External" Id="rId305" /><Relationship Type="http://schemas.openxmlformats.org/officeDocument/2006/relationships/hyperlink" Target="https://www.douyin.com/user/MS4wLjABAAAAvMzo5DHeab4vClwkiRPecybLlCNTAz0iNhbiWryUF88" TargetMode="External" Id="rId306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xiaohongshu.com/user/profile/60d3e88e0000000001001254" TargetMode="External" Id="rId1" /><Relationship Type="http://schemas.openxmlformats.org/officeDocument/2006/relationships/hyperlink" Target="https://www.xiaohongshu.com/user/profile/664a0a58000000000b0324a6" TargetMode="External" Id="rId2" /><Relationship Type="http://schemas.openxmlformats.org/officeDocument/2006/relationships/hyperlink" Target="https://www.xiaohongshu.com/user/profile/66640d2b0000000007004955" TargetMode="External" Id="rId3" /><Relationship Type="http://schemas.openxmlformats.org/officeDocument/2006/relationships/hyperlink" Target="https://www.xiaohongshu.com/user/profile/5d2e7934000000001200a067" TargetMode="External" Id="rId4" /><Relationship Type="http://schemas.openxmlformats.org/officeDocument/2006/relationships/hyperlink" Target="https://www.xiaohongshu.com/user/profile/610d31440000000001003ee5" TargetMode="External" Id="rId5" /><Relationship Type="http://schemas.openxmlformats.org/officeDocument/2006/relationships/hyperlink" Target="https://www.xiaohongshu.com/user/profile/64daca27000000000100e2f5" TargetMode="Externa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Q377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4" defaultRowHeight="12.75"/>
  <cols>
    <col width="17" customWidth="1" style="151" min="1" max="1"/>
    <col width="7" customWidth="1" style="151" min="2" max="2"/>
    <col width="12" customWidth="1" style="151" min="3" max="3"/>
    <col width="13" customWidth="1" style="151" min="4" max="6"/>
    <col hidden="1" width="14" customWidth="1" style="151" min="10" max="11"/>
    <col width="14" customWidth="1" style="151" min="12" max="12"/>
    <col width="14" customWidth="1" style="151" min="15" max="18"/>
    <col width="14" customWidth="1" style="151" min="20" max="20"/>
    <col width="12" customWidth="1" style="151" min="21" max="24"/>
    <col width="11" customWidth="1" style="151" min="25" max="27"/>
  </cols>
  <sheetData>
    <row r="1" ht="49.5" customHeight="1" s="151">
      <c r="A1" s="25" t="inlineStr">
        <is>
          <t>客户反馈</t>
        </is>
      </c>
      <c r="B1" s="26" t="inlineStr">
        <is>
          <t>达人反馈</t>
        </is>
      </c>
      <c r="C1" s="28" t="inlineStr">
        <is>
          <t>品牌/电商</t>
        </is>
      </c>
      <c r="D1" s="27" t="inlineStr">
        <is>
          <t>推荐理由</t>
        </is>
      </c>
      <c r="E1" s="27" t="inlineStr">
        <is>
          <t>KOL名称</t>
        </is>
      </c>
      <c r="F1" s="113" t="inlineStr">
        <is>
          <t>蒲公英链接</t>
        </is>
      </c>
      <c r="G1" s="113" t="inlineStr">
        <is>
          <t>主页链接</t>
        </is>
      </c>
      <c r="H1" s="28" t="inlineStr">
        <is>
          <t>s</t>
        </is>
      </c>
      <c r="I1" s="27" t="inlineStr">
        <is>
          <t>KOL类型</t>
        </is>
      </c>
      <c r="J1" s="27" t="n"/>
      <c r="K1" s="27" t="n"/>
      <c r="L1" s="27" t="inlineStr">
        <is>
          <t>量级</t>
        </is>
      </c>
      <c r="M1" s="114" t="inlineStr">
        <is>
          <t>粉丝量（w）</t>
        </is>
      </c>
      <c r="N1" s="114" t="inlineStr">
        <is>
          <t>赞藏量（w）</t>
        </is>
      </c>
      <c r="O1" s="116" t="inlineStr">
        <is>
          <t>平台价格</t>
        </is>
      </c>
      <c r="P1" s="117" t="inlineStr">
        <is>
          <t>下单金额
（含平台10%）</t>
        </is>
      </c>
      <c r="Q1" s="114" t="inlineStr">
        <is>
          <t>cpc</t>
        </is>
      </c>
      <c r="R1" s="114" t="inlineStr">
        <is>
          <t>cpe</t>
        </is>
      </c>
      <c r="S1" s="27" t="inlineStr">
        <is>
          <t>合作形式</t>
        </is>
      </c>
      <c r="T1" s="27" t="inlineStr">
        <is>
          <t>女粉占比</t>
        </is>
      </c>
      <c r="U1" s="27" t="inlineStr">
        <is>
          <t>18-24年龄占比</t>
        </is>
      </c>
      <c r="V1" s="113" t="inlineStr">
        <is>
          <t>25-34年龄占比（不超50%）</t>
        </is>
      </c>
      <c r="W1" s="27" t="inlineStr">
        <is>
          <t>35-44年龄占比（前2）</t>
        </is>
      </c>
      <c r="X1" s="27" t="inlineStr">
        <is>
          <t>苹果用户占比</t>
        </is>
      </c>
      <c r="Y1" s="27" t="inlineStr">
        <is>
          <t>华为用户占比</t>
        </is>
      </c>
      <c r="Z1" s="115" t="inlineStr">
        <is>
          <t>近30天预估阅读量
(近30天阅读中位数）</t>
        </is>
      </c>
      <c r="AA1" s="115" t="inlineStr">
        <is>
          <t>近30天互动量
（近30天互动中位）</t>
        </is>
      </c>
      <c r="AB1" s="7" t="n"/>
      <c r="AC1" s="7" t="n"/>
      <c r="AD1" s="7" t="n"/>
      <c r="AE1" s="7" t="n"/>
    </row>
    <row r="2" ht="24.75" customHeight="1" s="151">
      <c r="A2" s="7" t="inlineStr">
        <is>
          <t>不行，场景和人群都不对</t>
        </is>
      </c>
      <c r="B2" s="7" t="n"/>
      <c r="C2" s="18" t="inlineStr">
        <is>
          <t>电商</t>
        </is>
      </c>
      <c r="D2" s="19" t="inlineStr">
        <is>
          <t>国风手作，创意设计，主题吸引人。</t>
        </is>
      </c>
      <c r="E2" s="18" t="inlineStr">
        <is>
          <t>阿幻的国风手作（电商）</t>
        </is>
      </c>
      <c r="F2" s="7" t="inlineStr">
        <is>
          <t>https://pgy.xiaohongshu.com/solar/pre-trade/blogger-detail/580f309a7fc5b809c027abe0?track_id=kolSimilar_85fc24a35b514ed8a55c762eca935da3&amp;source=Advertiser_Similar_Kol</t>
        </is>
      </c>
      <c r="G2" s="19" t="inlineStr">
        <is>
          <t>https://www.xiaohongshu.com/user/profile/580f309a7fc5b809c027abe0</t>
        </is>
      </c>
      <c r="H2" s="32" t="inlineStr">
        <is>
          <t>ahuanbenren2020</t>
        </is>
      </c>
      <c r="I2" s="18" t="inlineStr">
        <is>
          <t>家居家装</t>
        </is>
      </c>
      <c r="J2" s="18" t="n"/>
      <c r="K2" s="18" t="n"/>
      <c r="L2" s="18" t="inlineStr">
        <is>
          <t>腰部</t>
        </is>
      </c>
      <c r="M2" s="18" t="n">
        <v>16</v>
      </c>
      <c r="N2" s="18" t="n">
        <v>86</v>
      </c>
      <c r="O2" s="18" t="n">
        <v>17500</v>
      </c>
      <c r="P2" s="18">
        <f>O2*1.1</f>
        <v/>
      </c>
      <c r="Q2" s="20">
        <f>P2/Z2</f>
        <v/>
      </c>
      <c r="R2" s="20">
        <f>P2/AA2</f>
        <v/>
      </c>
      <c r="S2" s="18" t="inlineStr">
        <is>
          <t>视频</t>
        </is>
      </c>
      <c r="T2" s="21" t="n">
        <v>0.91</v>
      </c>
      <c r="U2" s="21" t="n">
        <v>0.26</v>
      </c>
      <c r="V2" s="21" t="n">
        <v>0.28</v>
      </c>
      <c r="W2" s="21" t="n">
        <v>0.2</v>
      </c>
      <c r="X2" s="21" t="n">
        <v>0.26</v>
      </c>
      <c r="Y2" s="21" t="n">
        <v>0.2</v>
      </c>
      <c r="Z2" s="22" t="n">
        <v>39328</v>
      </c>
      <c r="AA2" s="22" t="n">
        <v>5382</v>
      </c>
      <c r="AB2" s="7" t="n"/>
      <c r="AC2" s="7" t="n"/>
      <c r="AD2" s="7" t="n"/>
      <c r="AE2" s="7" t="n"/>
    </row>
    <row r="3" ht="13.1" customHeight="1" s="151">
      <c r="A3" s="7" t="inlineStr">
        <is>
          <t>不行，场景和人群都不对</t>
        </is>
      </c>
      <c r="B3" s="7" t="n"/>
      <c r="C3" s="18" t="inlineStr">
        <is>
          <t>品牌</t>
        </is>
      </c>
      <c r="D3" s="135" t="inlineStr">
        <is>
          <t>法式生活主打精致、优雅、仪式感、慵懒自在，与洗碗机解放双手、提升生活品质的理念完美匹配</t>
        </is>
      </c>
      <c r="E3" s="18" t="inlineStr">
        <is>
          <t>雾面珍珠</t>
        </is>
      </c>
      <c r="F3" s="7" t="inlineStr">
        <is>
          <t>https://pgy.xiaohongshu.com/solar/pre-trade/blogger-detail/5e0ae42d0000000001005016?track_id=kolSimilar_1c5d7b284ffc4b678ae5cd28c9c0ccb2&amp;source=Advertiser_Similar_Kol</t>
        </is>
      </c>
      <c r="G3" s="19" t="inlineStr">
        <is>
          <t>https://www.xiaohongshu.com/user/profile/5e0ae42d0000000001005016</t>
        </is>
      </c>
      <c r="H3" s="32" t="inlineStr">
        <is>
          <t>kylin1212</t>
        </is>
      </c>
      <c r="I3" s="18" t="inlineStr">
        <is>
          <t>家居家装</t>
        </is>
      </c>
      <c r="J3" s="18" t="n"/>
      <c r="K3" s="18" t="n"/>
      <c r="L3" s="18" t="inlineStr">
        <is>
          <t>腰部</t>
        </is>
      </c>
      <c r="M3" s="18" t="n">
        <v>26</v>
      </c>
      <c r="N3" s="18" t="n">
        <v>118</v>
      </c>
      <c r="O3" s="18" t="n">
        <v>39800</v>
      </c>
      <c r="P3" s="18">
        <f>O3*1.1</f>
        <v/>
      </c>
      <c r="Q3" s="20">
        <f>P3/Z3</f>
        <v/>
      </c>
      <c r="R3" s="20">
        <f>P3/AA3</f>
        <v/>
      </c>
      <c r="S3" s="18" t="inlineStr">
        <is>
          <t>视频</t>
        </is>
      </c>
      <c r="T3" s="21" t="n">
        <v>0.93</v>
      </c>
      <c r="U3" s="21" t="n">
        <v>0.08</v>
      </c>
      <c r="V3" s="21" t="n">
        <v>0.37</v>
      </c>
      <c r="W3" s="21" t="n">
        <v>0.34</v>
      </c>
      <c r="X3" s="21" t="n">
        <v>0.49</v>
      </c>
      <c r="Y3" s="21" t="n">
        <v>0.19</v>
      </c>
      <c r="Z3" s="22" t="n">
        <v>81183</v>
      </c>
      <c r="AA3" s="18" t="n">
        <v>4800</v>
      </c>
      <c r="AB3" s="7" t="n"/>
      <c r="AC3" s="7" t="n"/>
      <c r="AD3" s="7" t="n"/>
      <c r="AE3" s="7" t="n"/>
    </row>
    <row r="4" ht="13.1" customHeight="1" s="151">
      <c r="A4" s="7" t="inlineStr">
        <is>
          <t>ok</t>
        </is>
      </c>
      <c r="B4" s="7" t="n"/>
      <c r="C4" s="18" t="inlineStr">
        <is>
          <t>品牌</t>
        </is>
      </c>
      <c r="D4" s="135" t="inlineStr">
        <is>
          <t>全屋智能，家居装修干货|vlog  调性高，内容垂直</t>
        </is>
      </c>
      <c r="E4" s="18" t="inlineStr">
        <is>
          <t>徐小杰儿</t>
        </is>
      </c>
      <c r="F4" s="7" t="inlineStr">
        <is>
          <t>https://pgy.xiaohongshu.com/solar/pre-trade/blogger-detail/55f1765e3397db3c30aef076?track_id=kolMatch_0c77e66e02af458cb9b1b9f0e62f8c57&amp;source=Advertiser_Kol</t>
        </is>
      </c>
      <c r="G4" s="19" t="inlineStr">
        <is>
          <t>https://www.xiaohongshu.com/user/profile/55f1765e3397db3c30aef076</t>
        </is>
      </c>
      <c r="H4" s="32" t="n">
        <v>946353280</v>
      </c>
      <c r="I4" s="18" t="inlineStr">
        <is>
          <t>家居家装</t>
        </is>
      </c>
      <c r="J4" s="18" t="n"/>
      <c r="K4" s="18" t="n"/>
      <c r="L4" s="18" t="inlineStr">
        <is>
          <t>腰部</t>
        </is>
      </c>
      <c r="M4" s="18" t="n">
        <v>14</v>
      </c>
      <c r="N4" s="18" t="n">
        <v>210</v>
      </c>
      <c r="O4" s="18" t="n">
        <v>18800</v>
      </c>
      <c r="P4" s="18">
        <f>O4*1.1</f>
        <v/>
      </c>
      <c r="Q4" s="20">
        <f>P4/Z4</f>
        <v/>
      </c>
      <c r="R4" s="20">
        <f>P4/AA4</f>
        <v/>
      </c>
      <c r="S4" s="18" t="inlineStr">
        <is>
          <t>视频</t>
        </is>
      </c>
      <c r="T4" s="21" t="n">
        <v>0.71</v>
      </c>
      <c r="U4" s="21" t="n">
        <v>0.12</v>
      </c>
      <c r="V4" s="21" t="n">
        <v>0.34</v>
      </c>
      <c r="W4" s="21" t="n">
        <v>0.32</v>
      </c>
      <c r="X4" s="21" t="n">
        <v>0.41</v>
      </c>
      <c r="Y4" s="21" t="n">
        <v>0.21</v>
      </c>
      <c r="Z4" s="22" t="n">
        <v>29698</v>
      </c>
      <c r="AA4" s="18" t="n">
        <v>1410</v>
      </c>
      <c r="AB4" s="7" t="n"/>
      <c r="AC4" s="7" t="n"/>
      <c r="AD4" s="7" t="n"/>
      <c r="AE4" s="7" t="n"/>
    </row>
    <row r="5">
      <c r="A5" s="7" t="inlineStr">
        <is>
          <t>ok</t>
        </is>
      </c>
      <c r="B5" s="7" t="n"/>
      <c r="C5" s="18" t="inlineStr">
        <is>
          <t>电商</t>
        </is>
      </c>
      <c r="D5" s="19" t="inlineStr">
        <is>
          <t>家电选购 干货测评 垂类用户</t>
        </is>
      </c>
      <c r="E5" s="18" t="inlineStr">
        <is>
          <t>小鱼家装日记（电商）</t>
        </is>
      </c>
      <c r="F5" s="7" t="inlineStr">
        <is>
          <t>https://pgy.xiaohongshu.com/solar/pre-trade/blogger-detail/66fcc919000000001d0213f0?track_id=kolSimilar_c6dd74cee9194d488d4c33777e8572c0&amp;source=Advertiser_Similar_Kol</t>
        </is>
      </c>
      <c r="G5" s="19" t="inlineStr">
        <is>
          <t>https://www.xiaohongshu.com/user/profile/66fcc919000000001d0213f0</t>
        </is>
      </c>
      <c r="H5" s="32" t="n">
        <v>11527293111</v>
      </c>
      <c r="I5" s="18" t="inlineStr">
        <is>
          <t>测评</t>
        </is>
      </c>
      <c r="J5" s="18" t="n"/>
      <c r="K5" s="18" t="n"/>
      <c r="L5" s="18" t="inlineStr">
        <is>
          <t>尾部</t>
        </is>
      </c>
      <c r="M5" s="18" t="n">
        <v>2</v>
      </c>
      <c r="N5" s="18" t="n">
        <v>6</v>
      </c>
      <c r="O5" s="18" t="n">
        <v>3000</v>
      </c>
      <c r="P5" s="18">
        <f>O5*1.1</f>
        <v/>
      </c>
      <c r="Q5" s="20">
        <f>P5/Z5</f>
        <v/>
      </c>
      <c r="R5" s="20">
        <f>P5/AA5</f>
        <v/>
      </c>
      <c r="S5" s="18" t="inlineStr">
        <is>
          <t>图文</t>
        </is>
      </c>
      <c r="T5" s="21" t="n">
        <v>0.62</v>
      </c>
      <c r="U5" s="21" t="n">
        <v>0.09</v>
      </c>
      <c r="V5" s="21" t="n">
        <v>0.29</v>
      </c>
      <c r="W5" s="21" t="n">
        <v>0.37</v>
      </c>
      <c r="X5" s="21" t="n">
        <v>0.23</v>
      </c>
      <c r="Y5" s="21" t="n">
        <v>0.27</v>
      </c>
      <c r="Z5" s="22" t="n">
        <v>13912</v>
      </c>
      <c r="AA5" s="18" t="n">
        <v>387</v>
      </c>
      <c r="AB5" s="7" t="n"/>
      <c r="AC5" s="7" t="n"/>
      <c r="AD5" s="7" t="n"/>
      <c r="AE5" s="7" t="n"/>
    </row>
    <row r="6">
      <c r="A6" s="7" t="inlineStr">
        <is>
          <t>ok</t>
        </is>
      </c>
      <c r="B6" s="7" t="n"/>
      <c r="C6" s="18" t="inlineStr">
        <is>
          <t>品牌</t>
        </is>
      </c>
      <c r="D6" s="19" t="inlineStr">
        <is>
          <t>简约家居主打整洁、高效、少家务、重体验，符合产品卖点切入  近期进店数据不错</t>
        </is>
      </c>
      <c r="E6" s="18" t="inlineStr">
        <is>
          <t>帕梨梨</t>
        </is>
      </c>
      <c r="F6" s="7" t="inlineStr">
        <is>
          <t>https://pgy.xiaohongshu.com/solar/pre-trade/blogger-detail/66a89e08000000001d030a3d?track_id=kolMatch_d1745de758dc422794010fc583d98bed&amp;source=Advertiser_Kol</t>
        </is>
      </c>
      <c r="G6" s="19" t="inlineStr">
        <is>
          <t>https://www.xiaohongshu.com/user/profile/66a89e08000000001d030a3d</t>
        </is>
      </c>
      <c r="H6" s="32" t="inlineStr">
        <is>
          <t>liyoonn</t>
        </is>
      </c>
      <c r="I6" s="18" t="inlineStr">
        <is>
          <t>家居家装</t>
        </is>
      </c>
      <c r="J6" s="18" t="n"/>
      <c r="K6" s="18" t="n"/>
      <c r="L6" s="18" t="inlineStr">
        <is>
          <t>尾部</t>
        </is>
      </c>
      <c r="M6" s="18" t="n">
        <v>1.3</v>
      </c>
      <c r="N6" s="18" t="n">
        <v>14</v>
      </c>
      <c r="O6" s="18" t="n">
        <v>9000</v>
      </c>
      <c r="P6" s="18">
        <f>O6*1.1</f>
        <v/>
      </c>
      <c r="Q6" s="20">
        <f>P6/Z6</f>
        <v/>
      </c>
      <c r="R6" s="20">
        <f>P6/AA6</f>
        <v/>
      </c>
      <c r="S6" s="18" t="inlineStr">
        <is>
          <t>视频</t>
        </is>
      </c>
      <c r="T6" s="21" t="n">
        <v>0.77</v>
      </c>
      <c r="U6" s="21" t="n">
        <v>0.14</v>
      </c>
      <c r="V6" s="21" t="n">
        <v>0.52</v>
      </c>
      <c r="W6" s="21" t="n">
        <v>0.23</v>
      </c>
      <c r="X6" s="21" t="n">
        <v>0.58</v>
      </c>
      <c r="Y6" s="21" t="n">
        <v>0.1</v>
      </c>
      <c r="Z6" s="22" t="n">
        <v>10943</v>
      </c>
      <c r="AA6" s="18" t="n">
        <v>1023</v>
      </c>
      <c r="AB6" s="7" t="n"/>
      <c r="AC6" s="7" t="n"/>
      <c r="AD6" s="7" t="n"/>
      <c r="AE6" s="7" t="n"/>
    </row>
    <row r="7">
      <c r="A7" s="7" t="inlineStr">
        <is>
          <t>ok</t>
        </is>
      </c>
      <c r="B7" s="7" t="n"/>
      <c r="C7" s="18" t="inlineStr">
        <is>
          <t>品牌</t>
        </is>
      </c>
      <c r="D7" s="19" t="inlineStr">
        <is>
          <t>近期进店数据优</t>
        </is>
      </c>
      <c r="E7" s="18" t="inlineStr">
        <is>
          <t>熊宝的家</t>
        </is>
      </c>
      <c r="F7" s="7" t="inlineStr">
        <is>
          <t>https://pgy.xiaohongshu.com/solar/pre-trade/blogger-detail/63622603000000001f0196e4?track_id=kolSimilar_2f4063ec3358455399b8afe229b09290&amp;source=Advertiser_Similar_Kol</t>
        </is>
      </c>
      <c r="G7" s="19" t="inlineStr">
        <is>
          <t>https://www.xiaohongshu.com/user/profile/63622603000000001f0196e4</t>
        </is>
      </c>
      <c r="H7" s="32" t="inlineStr">
        <is>
          <t>xiong240503</t>
        </is>
      </c>
      <c r="I7" s="18" t="inlineStr">
        <is>
          <t>家居家装</t>
        </is>
      </c>
      <c r="J7" s="18" t="n"/>
      <c r="K7" s="18" t="n"/>
      <c r="L7" s="18" t="inlineStr">
        <is>
          <t>腰部</t>
        </is>
      </c>
      <c r="M7" s="18" t="n">
        <v>11</v>
      </c>
      <c r="N7" s="18" t="n">
        <v>139</v>
      </c>
      <c r="O7" s="18" t="n">
        <v>4000</v>
      </c>
      <c r="P7" s="18">
        <f>O7*1.1</f>
        <v/>
      </c>
      <c r="Q7" s="20">
        <f>P7/Z7</f>
        <v/>
      </c>
      <c r="R7" s="20">
        <f>P7/AA7</f>
        <v/>
      </c>
      <c r="S7" s="18" t="inlineStr">
        <is>
          <t>图文</t>
        </is>
      </c>
      <c r="T7" s="21" t="n">
        <v>0.74</v>
      </c>
      <c r="U7" s="21" t="n">
        <v>0.19</v>
      </c>
      <c r="V7" s="21" t="n">
        <v>0.38</v>
      </c>
      <c r="W7" s="21" t="n">
        <v>0.25</v>
      </c>
      <c r="X7" s="21" t="n">
        <v>0.36</v>
      </c>
      <c r="Y7" s="21" t="n">
        <v>0.2</v>
      </c>
      <c r="Z7" s="22" t="n">
        <v>26710</v>
      </c>
      <c r="AA7" s="18" t="n">
        <v>2533</v>
      </c>
      <c r="AB7" s="7" t="n"/>
      <c r="AC7" s="7" t="n"/>
      <c r="AD7" s="7" t="n"/>
      <c r="AE7" s="7" t="n"/>
    </row>
    <row r="8">
      <c r="A8" s="7" t="inlineStr">
        <is>
          <t>ok</t>
        </is>
      </c>
      <c r="B8" s="7" t="n"/>
      <c r="C8" s="18" t="inlineStr">
        <is>
          <t>品牌</t>
        </is>
      </c>
      <c r="D8" s="19" t="inlineStr">
        <is>
          <t>真实家装改造，粉丝信任度高，适合实景案例种草。</t>
        </is>
      </c>
      <c r="E8" s="18" t="inlineStr">
        <is>
          <t>芙芙的日记本</t>
        </is>
      </c>
      <c r="F8" s="7" t="inlineStr">
        <is>
          <t>https://pgy.xiaohongshu.com/solar/pre-trade/blogger-detail/6766be9800000000180176e2?track_id=kolSimilar_2f4063ec3358455399b8afe229b09290&amp;source=Advertiser_Similar_Kol</t>
        </is>
      </c>
      <c r="G8" s="19" t="inlineStr">
        <is>
          <t>https://www.xiaohongshu.com/user/profile/6766be9800000000180176e2</t>
        </is>
      </c>
      <c r="H8" s="32" t="n">
        <v>95675359741</v>
      </c>
      <c r="I8" s="18" t="inlineStr">
        <is>
          <t>家居家装</t>
        </is>
      </c>
      <c r="J8" s="18" t="n"/>
      <c r="K8" s="18" t="n"/>
      <c r="L8" s="18" t="inlineStr">
        <is>
          <t>尾部</t>
        </is>
      </c>
      <c r="M8" s="18" t="n">
        <v>2</v>
      </c>
      <c r="N8" s="18" t="n">
        <v>40</v>
      </c>
      <c r="O8" s="18" t="n">
        <v>4300</v>
      </c>
      <c r="P8" s="18">
        <f>O8*1.1</f>
        <v/>
      </c>
      <c r="Q8" s="20">
        <f>P8/Z8</f>
        <v/>
      </c>
      <c r="R8" s="20">
        <f>P8/AA8</f>
        <v/>
      </c>
      <c r="S8" s="18" t="inlineStr">
        <is>
          <t>图文</t>
        </is>
      </c>
      <c r="T8" s="21" t="n">
        <v>0.83</v>
      </c>
      <c r="U8" s="21" t="n">
        <v>0.08</v>
      </c>
      <c r="V8" s="21" t="n">
        <v>0.6</v>
      </c>
      <c r="W8" s="21" t="n">
        <v>0.23</v>
      </c>
      <c r="X8" s="21" t="n">
        <v>0.53</v>
      </c>
      <c r="Y8" s="21" t="n">
        <v>0.17</v>
      </c>
      <c r="Z8" s="22" t="n">
        <v>6392</v>
      </c>
      <c r="AA8" s="18" t="n">
        <v>316</v>
      </c>
      <c r="AB8" s="7" t="n"/>
      <c r="AC8" s="7" t="n"/>
      <c r="AD8" s="7" t="n"/>
      <c r="AE8" s="7" t="n"/>
    </row>
    <row r="9" ht="24.75" customHeight="1" s="151">
      <c r="A9" s="7" t="inlineStr">
        <is>
          <t>ok</t>
        </is>
      </c>
      <c r="B9" s="7" t="n"/>
      <c r="C9" s="18" t="inlineStr">
        <is>
          <t>品牌</t>
        </is>
      </c>
      <c r="D9" s="19" t="inlineStr">
        <is>
          <t>垂直家装账号</t>
        </is>
      </c>
      <c r="E9" s="18" t="inlineStr">
        <is>
          <t>浪味钰</t>
        </is>
      </c>
      <c r="F9" s="7" t="inlineStr">
        <is>
          <t>https://pgy.xiaohongshu.com/solar/pre-trade/blogger-detail/5bb2c3e145c6e800012207fc?track_id=kolSimilar_2f4063ec3358455399b8afe229b09290&amp;source=Advertiser_Similar_Kol</t>
        </is>
      </c>
      <c r="G9" s="19" t="inlineStr">
        <is>
          <t>https://www.xiaohongshu.com/user/profile/5bb2c3e145c6e800012207fc</t>
        </is>
      </c>
      <c r="H9" s="32" t="inlineStr">
        <is>
          <t>duanchunyu3366</t>
        </is>
      </c>
      <c r="I9" s="18" t="inlineStr">
        <is>
          <t>家居家装</t>
        </is>
      </c>
      <c r="J9" s="18" t="n"/>
      <c r="K9" s="18" t="n"/>
      <c r="L9" s="18" t="inlineStr">
        <is>
          <t>尾部</t>
        </is>
      </c>
      <c r="M9" s="18" t="n">
        <v>5.4</v>
      </c>
      <c r="N9" s="18" t="n">
        <v>189</v>
      </c>
      <c r="O9" s="18" t="n">
        <v>9500</v>
      </c>
      <c r="P9" s="18">
        <f>O9*1.1</f>
        <v/>
      </c>
      <c r="Q9" s="20">
        <f>P9/Z9</f>
        <v/>
      </c>
      <c r="R9" s="20">
        <f>P9/AA9</f>
        <v/>
      </c>
      <c r="S9" s="18" t="inlineStr">
        <is>
          <t>图文</t>
        </is>
      </c>
      <c r="T9" s="21" t="n">
        <v>0.82</v>
      </c>
      <c r="U9" s="21" t="n">
        <v>0.14</v>
      </c>
      <c r="V9" s="21" t="n">
        <v>0.64</v>
      </c>
      <c r="W9" s="21" t="n">
        <v>0.16</v>
      </c>
      <c r="X9" s="21" t="n">
        <v>0.74</v>
      </c>
      <c r="Y9" s="21" t="n">
        <v>0.1</v>
      </c>
      <c r="Z9" s="22" t="n">
        <v>12261</v>
      </c>
      <c r="AA9" s="18" t="n">
        <v>750</v>
      </c>
      <c r="AB9" s="7" t="n"/>
      <c r="AC9" s="7" t="n"/>
      <c r="AD9" s="7" t="n"/>
      <c r="AE9" s="7" t="n"/>
    </row>
    <row r="10">
      <c r="A10" s="7" t="inlineStr">
        <is>
          <t>ok</t>
        </is>
      </c>
      <c r="B10" s="7" t="n"/>
      <c r="C10" s="18" t="inlineStr">
        <is>
          <t>电商</t>
        </is>
      </c>
      <c r="D10" s="19" t="inlineStr">
        <is>
          <t>装修简约大气，内容垂直度高</t>
        </is>
      </c>
      <c r="E10" s="18" t="inlineStr">
        <is>
          <t>格子（电商）</t>
        </is>
      </c>
      <c r="F10" s="7" t="inlineStr">
        <is>
          <t>https://pgy.xiaohongshu.com/solar/pre-trade/blogger-detail/5955125350c4b427fe2feec5?track_id=kolSimilar_2f4063ec3358455399b8afe229b09290&amp;source=Advertiser_Similar_Kol</t>
        </is>
      </c>
      <c r="G10" s="19" t="inlineStr">
        <is>
          <t>https://www.xiaohongshu.com/user/profile/5955125350c4b427fe2feec5</t>
        </is>
      </c>
      <c r="H10" s="32" t="inlineStr">
        <is>
          <t>X201710180102</t>
        </is>
      </c>
      <c r="I10" s="18" t="inlineStr">
        <is>
          <t>家居家装</t>
        </is>
      </c>
      <c r="J10" s="18" t="n"/>
      <c r="K10" s="18" t="n"/>
      <c r="L10" s="18" t="inlineStr">
        <is>
          <t>尾部</t>
        </is>
      </c>
      <c r="M10" s="18" t="n">
        <v>2.6</v>
      </c>
      <c r="N10" s="18" t="n">
        <v>35</v>
      </c>
      <c r="O10" s="18" t="n">
        <v>5200</v>
      </c>
      <c r="P10" s="18">
        <f>O10*1.1</f>
        <v/>
      </c>
      <c r="Q10" s="20">
        <f>P10/Z10</f>
        <v/>
      </c>
      <c r="R10" s="20">
        <f>P10/AA10</f>
        <v/>
      </c>
      <c r="S10" s="18" t="inlineStr">
        <is>
          <t>图文</t>
        </is>
      </c>
      <c r="T10" s="21" t="n">
        <v>0.73</v>
      </c>
      <c r="U10" s="21" t="n">
        <v>0.12</v>
      </c>
      <c r="V10" s="21" t="n">
        <v>0.44</v>
      </c>
      <c r="W10" s="21" t="n">
        <v>0.32</v>
      </c>
      <c r="X10" s="21" t="n">
        <v>0.51</v>
      </c>
      <c r="Y10" s="21" t="n">
        <v>0.16</v>
      </c>
      <c r="Z10" s="22" t="n">
        <v>9209</v>
      </c>
      <c r="AA10" s="18" t="n">
        <v>601</v>
      </c>
      <c r="AB10" s="7" t="n"/>
      <c r="AC10" s="7" t="n"/>
      <c r="AD10" s="7" t="n"/>
      <c r="AE10" s="7" t="n"/>
    </row>
    <row r="11">
      <c r="A11" s="7" t="inlineStr">
        <is>
          <t>ok</t>
        </is>
      </c>
      <c r="B11" s="7" t="n"/>
      <c r="C11" s="18" t="inlineStr">
        <is>
          <t>电商</t>
        </is>
      </c>
      <c r="D11" s="19" t="inlineStr">
        <is>
          <t xml:space="preserve">30+设计师 账号调性高 </t>
        </is>
      </c>
      <c r="E11" s="18" t="inlineStr">
        <is>
          <t>居哩Juli（电商）</t>
        </is>
      </c>
      <c r="F11" s="7" t="inlineStr">
        <is>
          <t>https://pgy.xiaohongshu.com/solar/pre-trade/blogger-detail/590fc5895e87e70b4b5467c9?track_id=kolSimilar_23447bfe59154e6a96a9181935e076a8&amp;source=Advertiser_Similar_Kol</t>
        </is>
      </c>
      <c r="G11" s="19" t="inlineStr">
        <is>
          <t>https://www.xiaohongshu.com/user/profile/590fc5895e87e70b4b5467c9</t>
        </is>
      </c>
      <c r="H11" s="32" t="n">
        <v>421690960</v>
      </c>
      <c r="I11" s="18" t="inlineStr">
        <is>
          <t>家居家装</t>
        </is>
      </c>
      <c r="J11" s="18" t="n"/>
      <c r="K11" s="18" t="n"/>
      <c r="L11" s="18" t="inlineStr">
        <is>
          <t>尾部</t>
        </is>
      </c>
      <c r="M11" s="18" t="n">
        <v>3.5</v>
      </c>
      <c r="N11" s="18" t="n">
        <v>37</v>
      </c>
      <c r="O11" s="18" t="n">
        <v>9800</v>
      </c>
      <c r="P11" s="18">
        <f>O11*1.1</f>
        <v/>
      </c>
      <c r="Q11" s="20">
        <f>P11/Z11</f>
        <v/>
      </c>
      <c r="R11" s="20">
        <f>P11/AA11</f>
        <v/>
      </c>
      <c r="S11" s="18" t="inlineStr">
        <is>
          <t>视频</t>
        </is>
      </c>
      <c r="T11" s="21" t="n">
        <v>0.82</v>
      </c>
      <c r="U11" s="21" t="n">
        <v>0.08</v>
      </c>
      <c r="V11" s="21" t="n">
        <v>0.39</v>
      </c>
      <c r="W11" s="21" t="n">
        <v>0.35</v>
      </c>
      <c r="X11" s="21" t="n">
        <v>0.58</v>
      </c>
      <c r="Y11" s="21" t="n">
        <v>0.17</v>
      </c>
      <c r="Z11" s="22" t="n">
        <v>20660</v>
      </c>
      <c r="AA11" s="18" t="n">
        <v>660</v>
      </c>
      <c r="AB11" s="7" t="n"/>
      <c r="AC11" s="7" t="n"/>
      <c r="AD11" s="7" t="n"/>
      <c r="AE11" s="7" t="n"/>
    </row>
    <row r="12">
      <c r="A12" s="7" t="inlineStr">
        <is>
          <t>ok</t>
        </is>
      </c>
      <c r="B12" s="7" t="n"/>
      <c r="C12" s="18" t="inlineStr">
        <is>
          <t>电商</t>
        </is>
      </c>
      <c r="D12" s="19" t="inlineStr">
        <is>
          <t>装修垂类账号 阅读数据优</t>
        </is>
      </c>
      <c r="E12" s="18" t="inlineStr">
        <is>
          <t>棉花妈妈爱装修（电商）</t>
        </is>
      </c>
      <c r="F12" s="7" t="inlineStr">
        <is>
          <t>https://pgy.xiaohongshu.com/solar/pre-trade/blogger-detail/5b02a9274eacab6d26071a6a?track_id=kolSimilar_abaa8bc194a548898209f33f5f775763&amp;source=Advertiser_Similar_Kol</t>
        </is>
      </c>
      <c r="G12" s="19" t="inlineStr">
        <is>
          <t>https://www.xiaohongshu.com/user/profile/5b02a9274eacab6d26071a6a</t>
        </is>
      </c>
      <c r="H12" s="32" t="n">
        <v>183160237</v>
      </c>
      <c r="I12" s="18" t="inlineStr">
        <is>
          <t>家居家装</t>
        </is>
      </c>
      <c r="J12" s="18" t="n"/>
      <c r="K12" s="18" t="n"/>
      <c r="L12" s="18" t="inlineStr">
        <is>
          <t>腰部</t>
        </is>
      </c>
      <c r="M12" s="18" t="n">
        <v>13</v>
      </c>
      <c r="N12" s="18" t="n">
        <v>103</v>
      </c>
      <c r="O12" s="18" t="n">
        <v>21580</v>
      </c>
      <c r="P12" s="18">
        <f>O12*1.1</f>
        <v/>
      </c>
      <c r="Q12" s="20">
        <f>P12/Z12</f>
        <v/>
      </c>
      <c r="R12" s="20">
        <f>P12/AA12</f>
        <v/>
      </c>
      <c r="S12" s="18" t="inlineStr">
        <is>
          <t>视频</t>
        </is>
      </c>
      <c r="T12" s="21" t="n">
        <v>0.83</v>
      </c>
      <c r="U12" s="21" t="n">
        <v>0.05</v>
      </c>
      <c r="V12" s="21" t="n">
        <v>0.31</v>
      </c>
      <c r="W12" s="21" t="n">
        <v>0.43</v>
      </c>
      <c r="X12" s="21" t="n">
        <v>0.5600000000000001</v>
      </c>
      <c r="Y12" s="21" t="n">
        <v>0.2</v>
      </c>
      <c r="Z12" s="22" t="n">
        <v>115472</v>
      </c>
      <c r="AA12" s="18" t="n">
        <v>2690</v>
      </c>
      <c r="AB12" s="7" t="n"/>
      <c r="AC12" s="7" t="n"/>
      <c r="AD12" s="7" t="n"/>
      <c r="AE12" s="7" t="n"/>
    </row>
    <row r="13">
      <c r="A13" s="7" t="inlineStr">
        <is>
          <t>ok</t>
        </is>
      </c>
      <c r="B13" s="7" t="n"/>
      <c r="C13" s="18" t="inlineStr">
        <is>
          <t>品牌</t>
        </is>
      </c>
      <c r="D13" s="19" t="inlineStr">
        <is>
          <t>家装+美食  契合油烟机种草</t>
        </is>
      </c>
      <c r="E13" s="18" t="inlineStr">
        <is>
          <t>李葵🌻</t>
        </is>
      </c>
      <c r="F13" s="7" t="inlineStr">
        <is>
          <t>https://pgy.xiaohongshu.com/solar/pre-trade/blogger-detail/5638da6ab7ba223d99d73c41?track_id=kolSimilar_cfc4bac1e4254e5b8dbc08e19c54b331&amp;source=Advertiser_Similar_Kol</t>
        </is>
      </c>
      <c r="G13" s="19" t="inlineStr">
        <is>
          <t>https://www.xiaohongshu.com/user/profile/5638da6ab7ba223d99d73c41</t>
        </is>
      </c>
      <c r="H13" s="32" t="n">
        <v>107295753</v>
      </c>
      <c r="I13" s="18" t="inlineStr">
        <is>
          <t>美食 家居家装</t>
        </is>
      </c>
      <c r="J13" s="18" t="n"/>
      <c r="K13" s="18" t="n"/>
      <c r="L13" s="18" t="inlineStr">
        <is>
          <t>尾部</t>
        </is>
      </c>
      <c r="M13" s="18" t="n">
        <v>1</v>
      </c>
      <c r="N13" s="18" t="n">
        <v>18</v>
      </c>
      <c r="O13" s="18" t="n">
        <v>9000</v>
      </c>
      <c r="P13" s="18">
        <f>O13*1.1</f>
        <v/>
      </c>
      <c r="Q13" s="20">
        <f>P13/Z13</f>
        <v/>
      </c>
      <c r="R13" s="20">
        <f>P13/AA13</f>
        <v/>
      </c>
      <c r="S13" s="18" t="inlineStr">
        <is>
          <t>视频</t>
        </is>
      </c>
      <c r="T13" s="21" t="n">
        <v>0.86</v>
      </c>
      <c r="U13" s="21" t="n">
        <v>0.07000000000000001</v>
      </c>
      <c r="V13" s="21" t="n">
        <v>0.32</v>
      </c>
      <c r="W13" s="21" t="n">
        <v>0.4</v>
      </c>
      <c r="X13" s="21" t="n">
        <v>0.49</v>
      </c>
      <c r="Y13" s="21" t="n">
        <v>0.2</v>
      </c>
      <c r="Z13" s="22" t="n">
        <v>75780</v>
      </c>
      <c r="AA13" s="18" t="n">
        <v>1848</v>
      </c>
      <c r="AB13" s="7" t="n"/>
      <c r="AC13" s="7" t="n"/>
      <c r="AD13" s="7" t="n"/>
      <c r="AE13" s="7" t="n"/>
    </row>
    <row r="14">
      <c r="A14" s="7" t="inlineStr">
        <is>
          <t>ok</t>
        </is>
      </c>
      <c r="B14" s="7" t="n"/>
      <c r="C14" s="18" t="inlineStr">
        <is>
          <t>电商</t>
        </is>
      </c>
      <c r="D14" s="19" t="inlineStr">
        <is>
          <t>专注装修实拍分享，懂避坑，推荐油烟机更专业，近期经常出厨房的内容，数据不错</t>
        </is>
      </c>
      <c r="E14" s="18" t="inlineStr">
        <is>
          <t>梁可以（电商）</t>
        </is>
      </c>
      <c r="F14" s="7" t="inlineStr">
        <is>
          <t>https://pgy.xiaohongshu.com/solar/pre-trade/blogger-detail/6042f930000000000100253e?track_id=kolSimilar_a93b327146334007b66fa5d0ee6b6b59&amp;source=Advertiser_Similar_Kol</t>
        </is>
      </c>
      <c r="G14" s="19" t="inlineStr">
        <is>
          <t>https://www.xiaohongshu.com/user/profile/6042f930000000000100253e</t>
        </is>
      </c>
      <c r="H14" s="32" t="n">
        <v>1803193244</v>
      </c>
      <c r="I14" s="18" t="inlineStr">
        <is>
          <t>家居家装</t>
        </is>
      </c>
      <c r="J14" s="18" t="n"/>
      <c r="K14" s="18" t="n"/>
      <c r="L14" s="18" t="inlineStr">
        <is>
          <t>尾部</t>
        </is>
      </c>
      <c r="M14" s="18" t="n">
        <v>6</v>
      </c>
      <c r="N14" s="18" t="n">
        <v>66</v>
      </c>
      <c r="O14" s="18" t="n">
        <v>14800</v>
      </c>
      <c r="P14" s="18">
        <f>O14*1.1</f>
        <v/>
      </c>
      <c r="Q14" s="20">
        <f>P14/Z14</f>
        <v/>
      </c>
      <c r="R14" s="20">
        <f>P14/AA14</f>
        <v/>
      </c>
      <c r="S14" s="18" t="inlineStr">
        <is>
          <t>视频</t>
        </is>
      </c>
      <c r="T14" s="21" t="n">
        <v>0.8100000000000001</v>
      </c>
      <c r="U14" s="21" t="n">
        <v>0.17</v>
      </c>
      <c r="V14" s="21" t="n">
        <v>0.3</v>
      </c>
      <c r="W14" s="21" t="n">
        <v>0.22</v>
      </c>
      <c r="X14" s="21" t="n">
        <v>0.32</v>
      </c>
      <c r="Y14" s="21" t="n">
        <v>0.21</v>
      </c>
      <c r="Z14" s="22" t="n">
        <v>22302</v>
      </c>
      <c r="AA14" s="18" t="n">
        <v>1332</v>
      </c>
      <c r="AB14" s="7" t="n"/>
      <c r="AC14" s="7" t="n"/>
      <c r="AD14" s="7" t="n"/>
      <c r="AE14" s="7" t="n"/>
    </row>
    <row r="15">
      <c r="A15" s="7" t="inlineStr">
        <is>
          <t>ok</t>
        </is>
      </c>
      <c r="B15" s="7" t="n"/>
      <c r="C15" s="18" t="inlineStr">
        <is>
          <t>品牌</t>
        </is>
      </c>
      <c r="D15" s="19" t="inlineStr">
        <is>
          <t>法式复古别墅装修 调性拉满 近期进店数据4000+</t>
        </is>
      </c>
      <c r="E15" s="18" t="inlineStr">
        <is>
          <t>R+M=r</t>
        </is>
      </c>
      <c r="F15" s="7" t="inlineStr">
        <is>
          <t>https://pgy.xiaohongshu.com/solar/pre-trade/blogger-detail/5c6ea1360000000012029d1b?track_id=kolSimilar_a93b327146334007b66fa5d0ee6b6b59&amp;source=Advertiser_Similar_Kol</t>
        </is>
      </c>
      <c r="G15" s="19" t="inlineStr">
        <is>
          <t>https://www.xiaohongshu.com/user/profile/5c6ea1360000000012029d1b</t>
        </is>
      </c>
      <c r="H15" s="32" t="inlineStr">
        <is>
          <t>matatayoh</t>
        </is>
      </c>
      <c r="I15" s="18" t="inlineStr">
        <is>
          <t>家居家装</t>
        </is>
      </c>
      <c r="J15" s="18" t="n"/>
      <c r="K15" s="18" t="n"/>
      <c r="L15" s="18" t="inlineStr">
        <is>
          <t>腰部</t>
        </is>
      </c>
      <c r="M15" s="18" t="n">
        <v>12</v>
      </c>
      <c r="N15" s="18" t="n">
        <v>115</v>
      </c>
      <c r="O15" s="18" t="n">
        <v>25000</v>
      </c>
      <c r="P15" s="18">
        <f>O15*1.1</f>
        <v/>
      </c>
      <c r="Q15" s="20">
        <f>P15/Z15</f>
        <v/>
      </c>
      <c r="R15" s="20">
        <f>P15/AA15</f>
        <v/>
      </c>
      <c r="S15" s="18" t="inlineStr">
        <is>
          <t>视频</t>
        </is>
      </c>
      <c r="T15" s="21" t="n">
        <v>0.88</v>
      </c>
      <c r="U15" s="21" t="n">
        <v>0.08</v>
      </c>
      <c r="V15" s="21" t="n">
        <v>0.47</v>
      </c>
      <c r="W15" s="21" t="n">
        <v>0.31</v>
      </c>
      <c r="X15" s="21" t="n">
        <v>0.62</v>
      </c>
      <c r="Y15" s="21" t="n">
        <v>0.16</v>
      </c>
      <c r="Z15" s="22" t="n">
        <v>32366</v>
      </c>
      <c r="AA15" s="18" t="n">
        <v>2200</v>
      </c>
      <c r="AB15" s="7" t="n"/>
      <c r="AC15" s="7" t="n"/>
      <c r="AD15" s="7" t="n"/>
      <c r="AE15" s="7" t="n"/>
    </row>
    <row r="16">
      <c r="A16" s="7" t="inlineStr">
        <is>
          <t>ok</t>
        </is>
      </c>
      <c r="B16" s="7" t="n"/>
      <c r="C16" s="18" t="inlineStr">
        <is>
          <t>电商</t>
        </is>
      </c>
      <c r="D16" s="19" t="inlineStr">
        <is>
          <t>垂直测评账号</t>
        </is>
      </c>
      <c r="E16" s="18" t="inlineStr">
        <is>
          <t>虾皮爱家居（电商）</t>
        </is>
      </c>
      <c r="F16" s="7" t="inlineStr">
        <is>
          <t>https://pgy.xiaohongshu.com/solar/pre-trade/blogger-detail/61d307360000000021026d08?track_id=kolSimilar_dafab09281384d63b481e1698c1cab4c&amp;source=Advertiser_Similar_Kol</t>
        </is>
      </c>
      <c r="G16" s="19" t="inlineStr">
        <is>
          <t>https://www.xiaohongshu.com/user/profile/61d307360000000021026d08</t>
        </is>
      </c>
      <c r="H16" s="32" t="inlineStr">
        <is>
          <t>XIAPI5470</t>
        </is>
      </c>
      <c r="I16" s="18" t="inlineStr">
        <is>
          <t>测评</t>
        </is>
      </c>
      <c r="J16" s="18" t="n"/>
      <c r="K16" s="18" t="n"/>
      <c r="L16" s="18" t="inlineStr">
        <is>
          <t>尾部</t>
        </is>
      </c>
      <c r="M16" s="18" t="n">
        <v>7</v>
      </c>
      <c r="N16" s="18" t="n">
        <v>79</v>
      </c>
      <c r="O16" s="18" t="n">
        <v>10000</v>
      </c>
      <c r="P16" s="18">
        <f>O16*1.1</f>
        <v/>
      </c>
      <c r="Q16" s="20">
        <f>P16/Z16</f>
        <v/>
      </c>
      <c r="R16" s="20">
        <f>P16/AA16</f>
        <v/>
      </c>
      <c r="S16" s="18" t="inlineStr">
        <is>
          <t>视频</t>
        </is>
      </c>
      <c r="T16" s="21" t="n">
        <v>0.6899999999999999</v>
      </c>
      <c r="U16" s="21" t="n">
        <v>0.05</v>
      </c>
      <c r="V16" s="21" t="n">
        <v>0.21</v>
      </c>
      <c r="W16" s="21" t="n">
        <v>0.3</v>
      </c>
      <c r="X16" s="21" t="n">
        <v>0.22</v>
      </c>
      <c r="Y16" s="21" t="n">
        <v>0.23</v>
      </c>
      <c r="Z16" s="22" t="n">
        <v>32017</v>
      </c>
      <c r="AA16" s="18" t="n">
        <v>2077</v>
      </c>
      <c r="AB16" s="7" t="n"/>
      <c r="AC16" s="7" t="n"/>
      <c r="AD16" s="7" t="n"/>
      <c r="AE16" s="7" t="n"/>
    </row>
    <row r="17">
      <c r="A17" s="7" t="inlineStr">
        <is>
          <t>ok</t>
        </is>
      </c>
      <c r="B17" s="7" t="n"/>
      <c r="C17" s="18" t="inlineStr">
        <is>
          <t>电商</t>
        </is>
      </c>
      <c r="D17" s="19" t="inlineStr">
        <is>
          <t>已婚有娃猫狗双全，注重品质生活，烟机推荐真实可信</t>
        </is>
      </c>
      <c r="E17" s="18" t="inlineStr">
        <is>
          <t>lulunana（电商）</t>
        </is>
      </c>
      <c r="F17" s="7" t="inlineStr">
        <is>
          <t>https://pgy.xiaohongshu.com/solar/pre-trade/blogger-detail/588f4bfc5e87e73aeb7b0d09?track_id=kolSimilar_8390016c04644d8295e9e94432f6a358&amp;source=Advertiser_Similar_Kol</t>
        </is>
      </c>
      <c r="G17" s="19" t="inlineStr">
        <is>
          <t>https://www.xiaohongshu.com/user/profile/588f4bfc5e87e73aeb7b0d09</t>
        </is>
      </c>
      <c r="H17" s="32" t="inlineStr">
        <is>
          <t>yanxupxx123</t>
        </is>
      </c>
      <c r="I17" s="18" t="inlineStr">
        <is>
          <t>家居家装</t>
        </is>
      </c>
      <c r="J17" s="18" t="n"/>
      <c r="K17" s="18" t="n"/>
      <c r="L17" s="18" t="inlineStr">
        <is>
          <t>尾部</t>
        </is>
      </c>
      <c r="M17" s="18" t="n">
        <v>4</v>
      </c>
      <c r="N17" s="18" t="n">
        <v>74</v>
      </c>
      <c r="O17" s="18" t="n">
        <v>7500</v>
      </c>
      <c r="P17" s="18">
        <f>O17*1.1</f>
        <v/>
      </c>
      <c r="Q17" s="20">
        <f>P17/Z17</f>
        <v/>
      </c>
      <c r="R17" s="20">
        <f>P17/AA17</f>
        <v/>
      </c>
      <c r="S17" s="18" t="inlineStr">
        <is>
          <t>视频</t>
        </is>
      </c>
      <c r="T17" s="21" t="n">
        <v>0.91</v>
      </c>
      <c r="U17" s="21" t="n">
        <v>0.09</v>
      </c>
      <c r="V17" s="21" t="n">
        <v>0.48</v>
      </c>
      <c r="W17" s="21" t="n">
        <v>0.29</v>
      </c>
      <c r="X17" s="21" t="n">
        <v>0.64</v>
      </c>
      <c r="Y17" s="21" t="n">
        <v>0.16</v>
      </c>
      <c r="Z17" s="22" t="n">
        <v>37345</v>
      </c>
      <c r="AA17" s="18" t="n">
        <v>2893</v>
      </c>
      <c r="AB17" s="7" t="n"/>
      <c r="AC17" s="7" t="n"/>
      <c r="AD17" s="7" t="n"/>
      <c r="AE17" s="7" t="n"/>
    </row>
    <row r="18">
      <c r="A18" s="7" t="n"/>
      <c r="B18" s="7" t="n"/>
      <c r="C18" s="18" t="inlineStr">
        <is>
          <t>品牌</t>
        </is>
      </c>
      <c r="D18" s="19" t="inlineStr">
        <is>
          <t>进店数据不错</t>
        </is>
      </c>
      <c r="E18" s="18" t="inlineStr">
        <is>
          <t>八斤肥鹅（之前没要 ）</t>
        </is>
      </c>
      <c r="F18" s="7" t="inlineStr">
        <is>
          <t>https://pgy.xiaohongshu.com/solar/pre-trade/blogger-detail/5b8b489cd081470001fc11d0?track_id=kolSimilar_70e34f12eba642109ba6977a96c6b2ca&amp;source=Advertiser_Similar_Kol</t>
        </is>
      </c>
      <c r="G18" s="19" t="inlineStr">
        <is>
          <t>https://www.xiaohongshu.com/user/profile/5b8b489cd081470001fc11d0</t>
        </is>
      </c>
      <c r="H18" s="32" t="n">
        <v>563519623</v>
      </c>
      <c r="I18" s="18" t="inlineStr">
        <is>
          <t>家居家装</t>
        </is>
      </c>
      <c r="J18" s="18" t="n"/>
      <c r="K18" s="18" t="n"/>
      <c r="L18" s="18" t="inlineStr">
        <is>
          <t>尾部</t>
        </is>
      </c>
      <c r="M18" s="18" t="n">
        <v>6</v>
      </c>
      <c r="N18" s="18" t="n">
        <v>65</v>
      </c>
      <c r="O18" s="18" t="n">
        <v>9800</v>
      </c>
      <c r="P18" s="18">
        <f>O18*1.1</f>
        <v/>
      </c>
      <c r="Q18" s="20">
        <f>P18/Z18</f>
        <v/>
      </c>
      <c r="R18" s="20">
        <f>P18/AA18</f>
        <v/>
      </c>
      <c r="S18" s="18" t="inlineStr">
        <is>
          <t>视频</t>
        </is>
      </c>
      <c r="T18" s="21" t="n">
        <v>0.82</v>
      </c>
      <c r="U18" s="21" t="n">
        <v>0.04</v>
      </c>
      <c r="V18" s="21" t="n">
        <v>0.49</v>
      </c>
      <c r="W18" s="21" t="n">
        <v>0.28</v>
      </c>
      <c r="X18" s="21" t="n">
        <v>0.55</v>
      </c>
      <c r="Y18" s="21" t="n">
        <v>0.19</v>
      </c>
      <c r="Z18" s="22" t="n">
        <v>11539</v>
      </c>
      <c r="AA18" s="18" t="n">
        <v>482</v>
      </c>
      <c r="AB18" s="7" t="n"/>
      <c r="AC18" s="7" t="n"/>
      <c r="AD18" s="7" t="n"/>
      <c r="AE18" s="7" t="n"/>
    </row>
    <row r="19">
      <c r="A19" s="7" t="n"/>
      <c r="B19" s="7" t="n"/>
      <c r="C19" s="18" t="inlineStr">
        <is>
          <t>电商</t>
        </is>
      </c>
      <c r="D19" s="19" t="inlineStr">
        <is>
          <t>测评账号，专业测评角度 催进购买，关注的粉丝人群也都是对家电感兴趣的人</t>
        </is>
      </c>
      <c r="E19" s="18" t="inlineStr">
        <is>
          <t>麦芽（电商）</t>
        </is>
      </c>
      <c r="F19" s="7" t="inlineStr">
        <is>
          <t>https://pgy.xiaohongshu.com/solar/pre-trade/blogger-detail/614bbc820000000002026099?track_id=kolSimilar_23447bfe59154e6a96a9181935e076a8&amp;source=Advertiser_Similar_Kol</t>
        </is>
      </c>
      <c r="G19" s="19" t="inlineStr">
        <is>
          <t>https://www.xiaohongshu.com/user/profile/614bbc820000000002026099</t>
        </is>
      </c>
      <c r="H19" s="32" t="inlineStr">
        <is>
          <t>Maiya345</t>
        </is>
      </c>
      <c r="I19" s="18" t="inlineStr">
        <is>
          <t>家居家装</t>
        </is>
      </c>
      <c r="J19" s="18" t="n"/>
      <c r="K19" s="18" t="n"/>
      <c r="L19" s="18" t="inlineStr">
        <is>
          <t>尾部</t>
        </is>
      </c>
      <c r="M19" s="18" t="n">
        <v>3</v>
      </c>
      <c r="N19" s="18" t="n">
        <v>87</v>
      </c>
      <c r="O19" s="18" t="n">
        <v>7800</v>
      </c>
      <c r="P19" s="18">
        <f>O19*1.1</f>
        <v/>
      </c>
      <c r="Q19" s="20">
        <f>P19/Z19</f>
        <v/>
      </c>
      <c r="R19" s="20">
        <f>P19/AA19</f>
        <v/>
      </c>
      <c r="S19" s="18" t="inlineStr">
        <is>
          <t>视频</t>
        </is>
      </c>
      <c r="T19" s="21" t="n">
        <v>0.85</v>
      </c>
      <c r="U19" s="21" t="n">
        <v>0.07000000000000001</v>
      </c>
      <c r="V19" s="21" t="n">
        <v>0.37</v>
      </c>
      <c r="W19" s="21" t="n">
        <v>0.29</v>
      </c>
      <c r="X19" s="21" t="n">
        <v>0.44</v>
      </c>
      <c r="Y19" s="21" t="n">
        <v>0.19</v>
      </c>
      <c r="Z19" s="22" t="n">
        <v>8212</v>
      </c>
      <c r="AA19" s="18" t="n">
        <v>499</v>
      </c>
      <c r="AB19" s="7" t="n"/>
      <c r="AC19" s="7" t="n"/>
      <c r="AD19" s="7" t="n"/>
      <c r="AE19" s="7" t="n"/>
    </row>
    <row r="20">
      <c r="A20" s="7" t="n"/>
      <c r="B20" s="7" t="n"/>
      <c r="C20" s="18" t="inlineStr">
        <is>
          <t>电商</t>
        </is>
      </c>
      <c r="D20" s="19" t="inlineStr">
        <is>
          <t>账号内容调性高</t>
        </is>
      </c>
      <c r="E20" s="18" t="inlineStr">
        <is>
          <t>包浆少女（电商）</t>
        </is>
      </c>
      <c r="F20" s="7" t="inlineStr">
        <is>
          <t>https://pgy.xiaohongshu.com/solar/pre-trade/blogger-detail/631818b70000000023026cdc?track_id=kolSimilar_23447bfe59154e6a96a9181935e076a8&amp;source=Advertiser_Similar_Kol</t>
        </is>
      </c>
      <c r="G20" s="19" t="inlineStr">
        <is>
          <t>https://www.xiaohongshu.com/user/profile/631818b70000000023026cdc</t>
        </is>
      </c>
      <c r="H20" s="32" t="n">
        <v>1590442389</v>
      </c>
      <c r="I20" s="18" t="inlineStr">
        <is>
          <t>家居家装</t>
        </is>
      </c>
      <c r="J20" s="18" t="n"/>
      <c r="K20" s="18" t="n"/>
      <c r="L20" s="18" t="inlineStr">
        <is>
          <t>尾部</t>
        </is>
      </c>
      <c r="M20" s="18" t="n">
        <v>2</v>
      </c>
      <c r="N20" s="18" t="n">
        <v>16</v>
      </c>
      <c r="O20" s="18" t="n">
        <v>9800</v>
      </c>
      <c r="P20" s="18">
        <f>O20*1.1</f>
        <v/>
      </c>
      <c r="Q20" s="20">
        <f>P20/Z20</f>
        <v/>
      </c>
      <c r="R20" s="20">
        <f>P20/AA20</f>
        <v/>
      </c>
      <c r="S20" s="18" t="inlineStr">
        <is>
          <t>视频</t>
        </is>
      </c>
      <c r="T20" s="21" t="n">
        <v>0.8100000000000001</v>
      </c>
      <c r="U20" s="21" t="n">
        <v>0.05</v>
      </c>
      <c r="V20" s="21" t="n">
        <v>0.36</v>
      </c>
      <c r="W20" s="21" t="n">
        <v>0.34</v>
      </c>
      <c r="X20" s="21" t="n">
        <v>0.52</v>
      </c>
      <c r="Y20" s="21" t="n">
        <v>0.2</v>
      </c>
      <c r="Z20" s="22" t="n">
        <v>13000</v>
      </c>
      <c r="AA20" s="18" t="n">
        <v>587</v>
      </c>
      <c r="AB20" s="7" t="n"/>
      <c r="AC20" s="7" t="n"/>
      <c r="AD20" s="7" t="n"/>
      <c r="AE20" s="7" t="n"/>
    </row>
    <row r="21">
      <c r="A21" s="7" t="n"/>
      <c r="B21" s="7" t="n"/>
      <c r="C21" s="18" t="inlineStr">
        <is>
          <t>品牌</t>
        </is>
      </c>
      <c r="D21" s="19" t="inlineStr">
        <is>
          <t>家有萌娃同时还是铲屎官，受众以年轻自住、婚房、改善型家庭为主，精准匹配热水器消费人群。性价比极高，近期爆文多。</t>
        </is>
      </c>
      <c r="E21" s="18" t="inlineStr">
        <is>
          <t>小丁妹妹（自装日记）</t>
        </is>
      </c>
      <c r="F21" s="7" t="inlineStr">
        <is>
          <t>https://pgy.xiaohongshu.com/solar/pre-trade/blogger-detail/5bc0c7523226900001d269a8?track_id=kolSearch_5246004b454345ffbe2bd10d8aeb9c77&amp;source=Advertiser_Kol</t>
        </is>
      </c>
      <c r="G21" s="19" t="inlineStr">
        <is>
          <t>https://www.xiaohongshu.com/user/profile/5bc0c7523226900001d269a8</t>
        </is>
      </c>
      <c r="H21" s="32" t="n">
        <v>296353711</v>
      </c>
      <c r="I21" s="18" t="inlineStr">
        <is>
          <t>家居家装</t>
        </is>
      </c>
      <c r="J21" s="18" t="n"/>
      <c r="K21" s="18" t="n"/>
      <c r="L21" s="18" t="inlineStr">
        <is>
          <t>腰部</t>
        </is>
      </c>
      <c r="M21" s="18" t="n">
        <v>19</v>
      </c>
      <c r="N21" s="18" t="n">
        <v>339</v>
      </c>
      <c r="O21" s="18" t="n">
        <v>23800</v>
      </c>
      <c r="P21" s="18">
        <f>O21*1.1</f>
        <v/>
      </c>
      <c r="Q21" s="20">
        <f>P21/Z21</f>
        <v/>
      </c>
      <c r="R21" s="20">
        <f>P21/AA21</f>
        <v/>
      </c>
      <c r="S21" s="18" t="inlineStr">
        <is>
          <t>视频</t>
        </is>
      </c>
      <c r="T21" s="21" t="n">
        <v>0.79</v>
      </c>
      <c r="U21" s="21" t="n">
        <v>0.2</v>
      </c>
      <c r="V21" s="21" t="n">
        <v>0.33</v>
      </c>
      <c r="W21" s="21" t="n">
        <v>0.23</v>
      </c>
      <c r="X21" s="21" t="n">
        <v>0.34</v>
      </c>
      <c r="Y21" s="21" t="n">
        <v>0.19</v>
      </c>
      <c r="Z21" s="22" t="n">
        <v>55895</v>
      </c>
      <c r="AA21" s="18" t="n">
        <v>2966</v>
      </c>
      <c r="AB21" s="7" t="n"/>
      <c r="AC21" s="7" t="n"/>
      <c r="AD21" s="7" t="n"/>
      <c r="AE21" s="7" t="n"/>
    </row>
    <row r="22">
      <c r="A22" s="7" t="n"/>
      <c r="B22" s="7" t="n"/>
      <c r="C22" s="18" t="inlineStr">
        <is>
          <t>品牌</t>
        </is>
      </c>
      <c r="D22" s="19" t="inlineStr">
        <is>
          <t xml:space="preserve">内容以改造理想的梦中情家，手工改造旧别墅  </t>
        </is>
      </c>
      <c r="E22" s="18" t="inlineStr">
        <is>
          <t>小困熊</t>
        </is>
      </c>
      <c r="F22" s="7" t="inlineStr">
        <is>
          <t>https://pgy.xiaohongshu.com/solar/pre-trade/blogger-detail/5b6d7c8145a75900018fd760?track_id=kolSimilar_b6456e2e65f74f8998e20cd70fb4888a&amp;source=Advertiser_Similar_Kol</t>
        </is>
      </c>
      <c r="G22" s="19" t="inlineStr">
        <is>
          <t>https://www.xiaohongshu.com/user/profile/5b6d7c8145a75900018fd760</t>
        </is>
      </c>
      <c r="H22" s="32" t="inlineStr">
        <is>
          <t>DW_dujiaoshou</t>
        </is>
      </c>
      <c r="I22" s="18" t="inlineStr">
        <is>
          <t>家居家装</t>
        </is>
      </c>
      <c r="J22" s="18" t="n"/>
      <c r="K22" s="18" t="n"/>
      <c r="L22" s="18" t="inlineStr">
        <is>
          <t>腰部</t>
        </is>
      </c>
      <c r="M22" s="18" t="n">
        <v>25</v>
      </c>
      <c r="N22" s="18" t="n">
        <v>193</v>
      </c>
      <c r="O22" s="18" t="n">
        <v>19000</v>
      </c>
      <c r="P22" s="18">
        <f>O22*1.1</f>
        <v/>
      </c>
      <c r="Q22" s="20">
        <f>P22/Z22</f>
        <v/>
      </c>
      <c r="R22" s="20">
        <f>P22/AA22</f>
        <v/>
      </c>
      <c r="S22" s="18" t="inlineStr">
        <is>
          <t>视频</t>
        </is>
      </c>
      <c r="T22" s="21" t="n">
        <v>0.9</v>
      </c>
      <c r="U22" s="21" t="n">
        <v>0.22</v>
      </c>
      <c r="V22" s="21" t="n">
        <v>0.2</v>
      </c>
      <c r="W22" s="21" t="n">
        <v>0.17</v>
      </c>
      <c r="X22" s="21" t="n">
        <v>0.24</v>
      </c>
      <c r="Y22" s="21" t="n">
        <v>0.24</v>
      </c>
      <c r="Z22" s="22" t="n">
        <v>31139</v>
      </c>
      <c r="AA22" s="18" t="n">
        <v>2347</v>
      </c>
      <c r="AB22" s="7" t="n"/>
      <c r="AC22" s="7" t="n"/>
      <c r="AD22" s="7" t="n"/>
      <c r="AE22" s="7" t="n"/>
    </row>
    <row r="23">
      <c r="A23" s="7" t="n"/>
      <c r="B23" s="7" t="n"/>
      <c r="C23" s="18" t="inlineStr">
        <is>
          <t>电商</t>
        </is>
      </c>
      <c r="D23" s="19" t="inlineStr">
        <is>
          <t>人群极度精准
130 平改善型平层，粉丝多为刚需装修、新房入住、注重生活品质的人群</t>
        </is>
      </c>
      <c r="E23" s="18" t="inlineStr">
        <is>
          <t>西奥（电商）</t>
        </is>
      </c>
      <c r="F23" s="7" t="inlineStr">
        <is>
          <t>https://pgy.xiaohongshu.com/solar/pre-trade/blogger-detail/594b6abf82ec390c901bcf6a?track_id=kolSimilar_70e34f12eba642109ba6977a96c6b2ca&amp;source=Advertiser_Similar_Kol</t>
        </is>
      </c>
      <c r="G23" s="19" t="inlineStr">
        <is>
          <t>https://www.xiaohongshu.com/user/profile/594b6abf82ec390c901bcf6a</t>
        </is>
      </c>
      <c r="H23" s="32" t="n">
        <v>497731182</v>
      </c>
      <c r="I23" s="18" t="inlineStr">
        <is>
          <t>家居家装</t>
        </is>
      </c>
      <c r="J23" s="18" t="n"/>
      <c r="K23" s="18" t="n"/>
      <c r="L23" s="18" t="inlineStr">
        <is>
          <t>尾部</t>
        </is>
      </c>
      <c r="M23" s="18" t="n">
        <v>4.6</v>
      </c>
      <c r="N23" s="18" t="n">
        <v>28</v>
      </c>
      <c r="O23" s="18" t="n">
        <v>13000</v>
      </c>
      <c r="P23" s="18">
        <f>O23*1.1</f>
        <v/>
      </c>
      <c r="Q23" s="20">
        <f>P23/Z23</f>
        <v/>
      </c>
      <c r="R23" s="20">
        <f>P23/AA23</f>
        <v/>
      </c>
      <c r="S23" s="18" t="inlineStr">
        <is>
          <t>视频</t>
        </is>
      </c>
      <c r="T23" s="21" t="n">
        <v>0.8100000000000001</v>
      </c>
      <c r="U23" s="21" t="n">
        <v>0.08</v>
      </c>
      <c r="V23" s="21" t="n">
        <v>0.43</v>
      </c>
      <c r="W23" s="21" t="n">
        <v>0.3</v>
      </c>
      <c r="X23" s="21" t="n">
        <v>0.52</v>
      </c>
      <c r="Y23" s="21" t="n">
        <v>0.16</v>
      </c>
      <c r="Z23" s="22" t="n">
        <v>20716</v>
      </c>
      <c r="AA23" s="18" t="n">
        <v>1022</v>
      </c>
      <c r="AB23" s="7" t="n"/>
      <c r="AC23" s="7" t="n"/>
      <c r="AD23" s="7" t="n"/>
      <c r="AE23" s="7" t="n"/>
    </row>
    <row r="24">
      <c r="A24" s="7" t="n"/>
      <c r="B24" s="7" t="n"/>
      <c r="C24" s="18" t="inlineStr">
        <is>
          <t>品牌</t>
        </is>
      </c>
      <c r="D24" s="19" t="inlineStr">
        <is>
          <t xml:space="preserve">两人两猫，原木风小家，温馨家庭场景适配度高 </t>
        </is>
      </c>
      <c r="E24" s="18" t="inlineStr">
        <is>
          <t>肉丝的家</t>
        </is>
      </c>
      <c r="F24" s="7" t="inlineStr">
        <is>
          <t>https://pgy.xiaohongshu.com/solar/pre-trade/blogger-detail/58c36ec87fc5b82234545007?track_id=kolSimilar_abaa8bc194a548898209f33f5f775763&amp;source=Advertiser_Similar_Kol</t>
        </is>
      </c>
      <c r="G24" s="19" t="inlineStr">
        <is>
          <t>https://www.xiaohongshu.com/user/profile/58c36ec87fc5b82234545007</t>
        </is>
      </c>
      <c r="H24" s="32" t="n">
        <v>2694324753</v>
      </c>
      <c r="I24" s="18" t="inlineStr">
        <is>
          <t>家居家装</t>
        </is>
      </c>
      <c r="J24" s="18" t="n"/>
      <c r="K24" s="18" t="n"/>
      <c r="L24" s="18" t="inlineStr">
        <is>
          <t>尾部</t>
        </is>
      </c>
      <c r="M24" s="18" t="n">
        <v>1</v>
      </c>
      <c r="N24" s="18" t="n">
        <v>10</v>
      </c>
      <c r="O24" s="18" t="n">
        <v>6800</v>
      </c>
      <c r="P24" s="18">
        <f>O24*1.1</f>
        <v/>
      </c>
      <c r="Q24" s="20">
        <f>P24/Z24</f>
        <v/>
      </c>
      <c r="R24" s="20">
        <f>P24/AA24</f>
        <v/>
      </c>
      <c r="S24" s="18" t="inlineStr">
        <is>
          <t>视频</t>
        </is>
      </c>
      <c r="T24" s="21" t="n">
        <v>0.82</v>
      </c>
      <c r="U24" s="21" t="n">
        <v>0.09</v>
      </c>
      <c r="V24" s="21" t="n">
        <v>0.29</v>
      </c>
      <c r="W24" s="21" t="n">
        <v>0.34</v>
      </c>
      <c r="X24" s="21" t="n">
        <v>0.44</v>
      </c>
      <c r="Y24" s="21" t="n">
        <v>0.22</v>
      </c>
      <c r="Z24" s="22" t="n">
        <v>24930</v>
      </c>
      <c r="AA24" s="18" t="n">
        <v>758</v>
      </c>
      <c r="AB24" s="7" t="n"/>
      <c r="AC24" s="7" t="n"/>
      <c r="AD24" s="7" t="n"/>
      <c r="AE24" s="7" t="n"/>
    </row>
    <row r="25">
      <c r="A25" s="7" t="n"/>
      <c r="B25" s="7" t="n"/>
      <c r="C25" s="18" t="inlineStr">
        <is>
          <t>品牌</t>
        </is>
      </c>
      <c r="D25" s="19" t="inlineStr">
        <is>
          <t>家居+母婴好物</t>
        </is>
      </c>
      <c r="E25" s="18" t="inlineStr">
        <is>
          <t>澈澈儿</t>
        </is>
      </c>
      <c r="F25" s="7" t="inlineStr">
        <is>
          <t>https://pgy.xiaohongshu.com/solar/pre-trade/blogger-detail/5f43b27e0000000001003691?track_id=kolSimilar_4c3116f26a874caaa683b003afe19997&amp;source=Advertiser_Similar_Kol</t>
        </is>
      </c>
      <c r="G25" s="19" t="inlineStr">
        <is>
          <t>https://www.xiaohongshu.com/user/profile/5f43b27e0000000001003691</t>
        </is>
      </c>
      <c r="H25" s="32" t="n">
        <v>764282293</v>
      </c>
      <c r="I25" s="18" t="inlineStr">
        <is>
          <t>家居家装</t>
        </is>
      </c>
      <c r="J25" s="18" t="n"/>
      <c r="K25" s="18" t="n"/>
      <c r="L25" s="18" t="inlineStr">
        <is>
          <t>尾部</t>
        </is>
      </c>
      <c r="M25" s="18" t="n">
        <v>3</v>
      </c>
      <c r="N25" s="18" t="n">
        <v>113</v>
      </c>
      <c r="O25" s="18" t="n">
        <v>7600</v>
      </c>
      <c r="P25" s="18">
        <f>O25*1.1</f>
        <v/>
      </c>
      <c r="Q25" s="20">
        <f>P25/Z25</f>
        <v/>
      </c>
      <c r="R25" s="20">
        <f>P25/AA25</f>
        <v/>
      </c>
      <c r="S25" s="18" t="inlineStr">
        <is>
          <t>图文</t>
        </is>
      </c>
      <c r="T25" s="21" t="n">
        <v>0.86</v>
      </c>
      <c r="U25" s="21" t="n">
        <v>0.06</v>
      </c>
      <c r="V25" s="21" t="n">
        <v>0.59</v>
      </c>
      <c r="W25" s="21" t="n">
        <v>0.26</v>
      </c>
      <c r="X25" s="21" t="n">
        <v>0.68</v>
      </c>
      <c r="Y25" s="21" t="n">
        <v>0.13</v>
      </c>
      <c r="Z25" s="22" t="n">
        <v>11150</v>
      </c>
      <c r="AA25" s="18" t="n">
        <v>558</v>
      </c>
      <c r="AB25" s="7" t="n"/>
      <c r="AC25" s="7" t="n"/>
      <c r="AD25" s="7" t="n"/>
      <c r="AE25" s="7" t="n"/>
    </row>
    <row r="26" ht="19" customHeight="1" s="151">
      <c r="A26" s="7" t="n"/>
      <c r="B26" s="7" t="n"/>
      <c r="C26" s="18" t="inlineStr">
        <is>
          <t>电商</t>
        </is>
      </c>
      <c r="D26" s="19" t="inlineStr">
        <is>
          <t>装修干货&amp;软装搭配 ，近期发布数据及进店数据优。</t>
        </is>
      </c>
      <c r="E26" s="18" t="inlineStr">
        <is>
          <t>Camel（电商）</t>
        </is>
      </c>
      <c r="F26" s="7" t="inlineStr">
        <is>
          <t>https://pgy.xiaohongshu.com/solar/pre-trade/blogger-detail/58c287f55e87e76ec5baf8f3?track_id=kolSimilar_a2327ccb62f242f19f2974aba203afa0&amp;source=Advertiser_Similar_Kol</t>
        </is>
      </c>
      <c r="G26" s="19" t="inlineStr">
        <is>
          <t>https://www.xiaohongshu.com/user/profile/58c287f55e87e76ec5baf8f3</t>
        </is>
      </c>
      <c r="H26" s="32" t="inlineStr">
        <is>
          <t>Camel023</t>
        </is>
      </c>
      <c r="I26" s="18" t="inlineStr">
        <is>
          <t>家居家装</t>
        </is>
      </c>
      <c r="J26" s="18" t="n"/>
      <c r="K26" s="18" t="n"/>
      <c r="L26" s="18" t="inlineStr">
        <is>
          <t>尾部</t>
        </is>
      </c>
      <c r="M26" s="18" t="n">
        <v>8.5</v>
      </c>
      <c r="N26" s="18" t="n">
        <v>46</v>
      </c>
      <c r="O26" s="18" t="n">
        <v>14000</v>
      </c>
      <c r="P26" s="18">
        <f>O26*1.1</f>
        <v/>
      </c>
      <c r="Q26" s="20">
        <f>P26/Z26</f>
        <v/>
      </c>
      <c r="R26" s="20">
        <f>P26/AA26</f>
        <v/>
      </c>
      <c r="S26" s="18" t="inlineStr">
        <is>
          <t>图文</t>
        </is>
      </c>
      <c r="T26" s="21" t="n">
        <v>0.68</v>
      </c>
      <c r="U26" s="21" t="n">
        <v>0.06</v>
      </c>
      <c r="V26" s="21" t="n">
        <v>0.37</v>
      </c>
      <c r="W26" s="21" t="n">
        <v>0.38</v>
      </c>
      <c r="X26" s="21" t="n">
        <v>0.52</v>
      </c>
      <c r="Y26" s="21" t="n">
        <v>0.22</v>
      </c>
      <c r="Z26" s="22" t="n">
        <v>69674</v>
      </c>
      <c r="AA26" s="18" t="n">
        <v>3021</v>
      </c>
      <c r="AB26" s="7" t="n"/>
      <c r="AC26" s="7" t="n"/>
      <c r="AD26" s="7" t="n"/>
      <c r="AE26" s="7" t="n"/>
    </row>
    <row r="27" ht="19" customHeight="1" s="151">
      <c r="A27" s="7" t="n"/>
      <c r="B27" s="7" t="n"/>
      <c r="C27" s="18" t="inlineStr">
        <is>
          <t>品牌</t>
        </is>
      </c>
      <c r="D27" s="19" t="inlineStr">
        <is>
          <t xml:space="preserve">近40岁已婚无娃独立女性，独立、精致、不将就、重生活质感 </t>
        </is>
      </c>
      <c r="E27" s="18" t="inlineStr">
        <is>
          <t>在家野</t>
        </is>
      </c>
      <c r="F27" s="7" t="inlineStr">
        <is>
          <t>https://pgy.xiaohongshu.com/solar/pre-trade/blogger-detail/64d2448f000000000e027acf?track_id=kolSimilar_23447bfe59154e6a96a9181935e076a8&amp;source=Advertiser_Similar_Kol</t>
        </is>
      </c>
      <c r="G27" s="19" t="inlineStr">
        <is>
          <t>https://www.xiaohongshu.com/user/profile/64d2448f000000000e027acf</t>
        </is>
      </c>
      <c r="H27" s="32" t="n">
        <v>2069596861</v>
      </c>
      <c r="I27" s="18" t="inlineStr">
        <is>
          <t>家居家装</t>
        </is>
      </c>
      <c r="J27" s="18" t="n"/>
      <c r="K27" s="18" t="n"/>
      <c r="L27" s="18" t="inlineStr">
        <is>
          <t>尾部</t>
        </is>
      </c>
      <c r="M27" s="18" t="n">
        <v>1.3</v>
      </c>
      <c r="N27" s="18" t="n">
        <v>8</v>
      </c>
      <c r="O27" s="18" t="n">
        <v>11800</v>
      </c>
      <c r="P27" s="18">
        <f>O27*1.1</f>
        <v/>
      </c>
      <c r="Q27" s="20">
        <f>P27/Z27</f>
        <v/>
      </c>
      <c r="R27" s="20">
        <f>P27/AA27</f>
        <v/>
      </c>
      <c r="S27" s="18" t="inlineStr">
        <is>
          <t>视频</t>
        </is>
      </c>
      <c r="T27" s="21" t="n">
        <v>0.68</v>
      </c>
      <c r="U27" s="21" t="n">
        <v>0.09</v>
      </c>
      <c r="V27" s="21" t="n">
        <v>0.38</v>
      </c>
      <c r="W27" s="21" t="n">
        <v>0.33</v>
      </c>
      <c r="X27" s="21" t="n">
        <v>0.57</v>
      </c>
      <c r="Y27" s="21" t="n">
        <v>0.18</v>
      </c>
      <c r="Z27" s="22" t="n">
        <v>11931</v>
      </c>
      <c r="AA27" s="18" t="n">
        <v>745</v>
      </c>
      <c r="AB27" s="7" t="n"/>
      <c r="AC27" s="7" t="n"/>
      <c r="AD27" s="7" t="n"/>
      <c r="AE27" s="7" t="n"/>
    </row>
    <row r="28" ht="19" customHeight="1" s="151">
      <c r="A28" s="7" t="n"/>
      <c r="B28" s="7" t="n"/>
      <c r="C28" s="18" t="inlineStr">
        <is>
          <t>电商</t>
        </is>
      </c>
      <c r="D28" s="19" t="inlineStr">
        <is>
          <t>美食+家装 适配度极高</t>
        </is>
      </c>
      <c r="E28" s="18" t="inlineStr">
        <is>
          <t>姜姜_Turbo（电商）</t>
        </is>
      </c>
      <c r="F28" s="7" t="inlineStr">
        <is>
          <t>https://pgy.xiaohongshu.com/solar/pre-trade/blogger-detail/5571a88f4209957c6bdfc1b1?track_id=kolSimilar_f7c0622c32774331bb4f93bf8b337c57&amp;source=Advertiser_Similar_Kol</t>
        </is>
      </c>
      <c r="G28" s="19" t="inlineStr">
        <is>
          <t>https://www.xiaohongshu.com/user/profile/5571a88f4209957c6bdfc1b1</t>
        </is>
      </c>
      <c r="H28" s="32" t="inlineStr">
        <is>
          <t>Laojiang_777</t>
        </is>
      </c>
      <c r="I28" s="18" t="inlineStr">
        <is>
          <t>美食 生活记录</t>
        </is>
      </c>
      <c r="J28" s="18" t="n"/>
      <c r="K28" s="18" t="n"/>
      <c r="L28" s="18" t="inlineStr">
        <is>
          <t>腰部</t>
        </is>
      </c>
      <c r="M28" s="18" t="n">
        <v>10</v>
      </c>
      <c r="N28" s="18" t="n">
        <v>91</v>
      </c>
      <c r="O28" s="18" t="n">
        <v>17000</v>
      </c>
      <c r="P28" s="18">
        <f>O28*1.1</f>
        <v/>
      </c>
      <c r="Q28" s="20">
        <f>P28/Z28</f>
        <v/>
      </c>
      <c r="R28" s="20">
        <f>P28/AA28</f>
        <v/>
      </c>
      <c r="S28" s="18" t="inlineStr">
        <is>
          <t>视频</t>
        </is>
      </c>
      <c r="T28" s="21" t="n">
        <v>0.91</v>
      </c>
      <c r="U28" s="21" t="n">
        <v>0.11</v>
      </c>
      <c r="V28" s="21" t="n">
        <v>0.29</v>
      </c>
      <c r="W28" s="21" t="n">
        <v>0.38</v>
      </c>
      <c r="X28" s="21" t="n">
        <v>0.45</v>
      </c>
      <c r="Y28" s="21" t="n">
        <v>0.21</v>
      </c>
      <c r="Z28" s="22" t="n">
        <v>35014</v>
      </c>
      <c r="AA28" s="18" t="n">
        <v>2767</v>
      </c>
      <c r="AB28" s="7" t="n"/>
      <c r="AC28" s="7" t="n"/>
      <c r="AD28" s="7" t="n"/>
      <c r="AE28" s="7" t="n"/>
    </row>
    <row r="29" ht="19" customHeight="1" s="151">
      <c r="A29" s="7" t="n"/>
      <c r="B29" s="7" t="n"/>
      <c r="C29" s="18" t="inlineStr">
        <is>
          <t>品牌</t>
        </is>
      </c>
      <c r="D29" s="19" t="inlineStr">
        <is>
          <t>有个3岁儿子，分享软装及硬装小心得</t>
        </is>
      </c>
      <c r="E29" s="18" t="inlineStr">
        <is>
          <t>陈娟在装修ing</t>
        </is>
      </c>
      <c r="F29" s="7" t="inlineStr">
        <is>
          <t>https://pgy.xiaohongshu.com/solar/pre-trade/blogger-detail/5cb845130000000016026884?track_id=kolSimilar_4c3116f26a874caaa683b003afe19997&amp;source=Advertiser_Similar_Kol</t>
        </is>
      </c>
      <c r="G29" s="19" t="inlineStr">
        <is>
          <t>https://www.xiaohongshu.com/user/profile/5cb845130000000016026884</t>
        </is>
      </c>
      <c r="H29" s="32" t="n">
        <v>202771058</v>
      </c>
      <c r="I29" s="18" t="inlineStr">
        <is>
          <t>家居家装</t>
        </is>
      </c>
      <c r="J29" s="18" t="n"/>
      <c r="K29" s="18" t="n"/>
      <c r="L29" s="18" t="inlineStr">
        <is>
          <t>尾部</t>
        </is>
      </c>
      <c r="M29" s="18" t="n">
        <v>2.2</v>
      </c>
      <c r="N29" s="18" t="n">
        <v>44</v>
      </c>
      <c r="O29" s="18" t="n">
        <v>6800</v>
      </c>
      <c r="P29" s="18">
        <f>O29*1.1</f>
        <v/>
      </c>
      <c r="Q29" s="20">
        <f>P29/Z29</f>
        <v/>
      </c>
      <c r="R29" s="20">
        <f>P29/AA29</f>
        <v/>
      </c>
      <c r="S29" s="18" t="inlineStr">
        <is>
          <t>图文</t>
        </is>
      </c>
      <c r="T29" s="21" t="n">
        <v>0.78</v>
      </c>
      <c r="U29" s="21" t="n">
        <v>0.06</v>
      </c>
      <c r="V29" s="21" t="n">
        <v>0.51</v>
      </c>
      <c r="W29" s="21" t="n">
        <v>0.3</v>
      </c>
      <c r="X29" s="21" t="n">
        <v>0.55</v>
      </c>
      <c r="Y29" s="21" t="n">
        <v>0.16</v>
      </c>
      <c r="Z29" s="22" t="n">
        <v>12126</v>
      </c>
      <c r="AA29" s="18" t="n">
        <v>807</v>
      </c>
      <c r="AB29" s="7" t="n"/>
      <c r="AC29" s="7" t="n"/>
      <c r="AD29" s="7" t="n"/>
      <c r="AE29" s="7" t="n"/>
    </row>
    <row r="30" ht="19" customHeight="1" s="151">
      <c r="A30" s="7" t="n"/>
      <c r="B30" s="7" t="n"/>
      <c r="C30" s="18" t="inlineStr">
        <is>
          <t>品牌</t>
        </is>
      </c>
      <c r="D30" s="19" t="inlineStr">
        <is>
          <t>野生设计师深耕家居，好物避坑，油烟机推荐会更专业</t>
        </is>
      </c>
      <c r="E30" s="18" t="inlineStr">
        <is>
          <t>高醒醒</t>
        </is>
      </c>
      <c r="F30" s="7" t="inlineStr">
        <is>
          <t>https://pgy.xiaohongshu.com/solar/pre-trade/blogger-detail/5a04a88111be101a093266a2?track_id=kolSimilar_a93b327146334007b66fa5d0ee6b6b59&amp;source=Advertiser_Similar_Kol</t>
        </is>
      </c>
      <c r="G30" s="19" t="inlineStr">
        <is>
          <t>https://www.xiaohongshu.com/user/profile/5a04a88111be101a093266a2</t>
        </is>
      </c>
      <c r="H30" s="32" t="n">
        <v>497707583</v>
      </c>
      <c r="I30" s="18" t="inlineStr">
        <is>
          <t>家居家装</t>
        </is>
      </c>
      <c r="J30" s="18" t="n"/>
      <c r="K30" s="18" t="n"/>
      <c r="L30" s="18" t="inlineStr">
        <is>
          <t>尾部</t>
        </is>
      </c>
      <c r="M30" s="18" t="n">
        <v>2</v>
      </c>
      <c r="N30" s="18" t="n">
        <v>20</v>
      </c>
      <c r="O30" s="18" t="n">
        <v>9000</v>
      </c>
      <c r="P30" s="18">
        <f>O30*1.1</f>
        <v/>
      </c>
      <c r="Q30" s="20">
        <f>P30/Z30</f>
        <v/>
      </c>
      <c r="R30" s="20">
        <f>P30/AA30</f>
        <v/>
      </c>
      <c r="S30" s="18" t="inlineStr">
        <is>
          <t>视频</t>
        </is>
      </c>
      <c r="T30" s="21" t="n">
        <v>0.86</v>
      </c>
      <c r="U30" s="21" t="n">
        <v>0.06</v>
      </c>
      <c r="V30" s="21" t="n">
        <v>0.33</v>
      </c>
      <c r="W30" s="21" t="n">
        <v>0.34</v>
      </c>
      <c r="X30" s="21" t="n">
        <v>0.44</v>
      </c>
      <c r="Y30" s="21" t="n">
        <v>0.22</v>
      </c>
      <c r="Z30" s="22" t="n">
        <v>32873</v>
      </c>
      <c r="AA30" s="18" t="n">
        <v>499</v>
      </c>
      <c r="AB30" s="7" t="n"/>
      <c r="AC30" s="7" t="n"/>
      <c r="AD30" s="7" t="n"/>
      <c r="AE30" s="7" t="n"/>
    </row>
    <row r="31">
      <c r="A31" s="43" t="inlineStr">
        <is>
          <t>以下为品牌新提报</t>
        </is>
      </c>
      <c r="B31" s="43" t="n"/>
      <c r="C31" s="38" t="n"/>
      <c r="D31" s="121" t="n"/>
      <c r="E31" s="37" t="n"/>
      <c r="F31" s="43" t="n"/>
      <c r="G31" s="121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40" t="n"/>
      <c r="R31" s="40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43" t="n"/>
      <c r="AC31" s="43" t="n"/>
      <c r="AD31" s="43" t="n"/>
      <c r="AE31" s="43" t="n"/>
      <c r="AF31" s="43" t="n"/>
      <c r="AG31" s="43" t="n"/>
      <c r="AH31" s="43" t="n"/>
      <c r="AI31" s="43" t="n"/>
      <c r="AJ31" s="43" t="n"/>
      <c r="AK31" s="43" t="n"/>
      <c r="AL31" s="43" t="n"/>
      <c r="AM31" s="43" t="n"/>
      <c r="AN31" s="43" t="n"/>
      <c r="AO31" s="43" t="n"/>
      <c r="AP31" s="43" t="n"/>
      <c r="AQ31" s="43" t="n"/>
    </row>
    <row r="32">
      <c r="B32" s="131" t="n"/>
      <c r="C32" s="18" t="inlineStr">
        <is>
          <t>品牌</t>
        </is>
      </c>
      <c r="D32" s="19" t="inlineStr">
        <is>
          <t>自装两套房，经验十足，大平层整体调性高</t>
        </is>
      </c>
      <c r="E32" s="18" t="inlineStr">
        <is>
          <t>Lillian-莉莉安</t>
        </is>
      </c>
      <c r="F32" s="7" t="inlineStr">
        <is>
          <t>https://pgy.xiaohongshu.com/solar/pre-trade/blogger-detail/5a2cc1a011be1020886bc0a0?track_id=kolSimilar_9ceb2672c00e4c4b9ea53a31f1c945a9&amp;source=Advertiser_Similar_Kol</t>
        </is>
      </c>
      <c r="G32" s="19" t="inlineStr">
        <is>
          <t>https://www.xiaohongshu.com/user/profile/5a2cc1a011be1020886bc0a0</t>
        </is>
      </c>
      <c r="H32" s="136" t="n">
        <v>420611124</v>
      </c>
      <c r="I32" s="18" t="inlineStr">
        <is>
          <t>家居家装</t>
        </is>
      </c>
      <c r="J32" s="18" t="n"/>
      <c r="K32" s="18" t="n"/>
      <c r="L32" s="18" t="inlineStr">
        <is>
          <t>尾部</t>
        </is>
      </c>
      <c r="M32" s="18" t="n">
        <v>5.3</v>
      </c>
      <c r="N32" s="18" t="n">
        <v>74</v>
      </c>
      <c r="O32" s="18" t="n">
        <v>12000</v>
      </c>
      <c r="P32" s="18">
        <f>O32*1.1</f>
        <v/>
      </c>
      <c r="Q32" s="20">
        <f>P32/Z32</f>
        <v/>
      </c>
      <c r="R32" s="20">
        <f>P32/AA32</f>
        <v/>
      </c>
      <c r="S32" s="18" t="inlineStr">
        <is>
          <t>图文</t>
        </is>
      </c>
      <c r="T32" s="21" t="n">
        <v>0.73</v>
      </c>
      <c r="U32" s="21" t="n">
        <v>0.14</v>
      </c>
      <c r="V32" s="41" t="n">
        <v>0.5600000000000001</v>
      </c>
      <c r="W32" s="21" t="n">
        <v>0.21</v>
      </c>
      <c r="X32" s="21" t="n">
        <v>0.6</v>
      </c>
      <c r="Y32" s="21" t="n">
        <v>0.13</v>
      </c>
      <c r="Z32" s="22" t="n">
        <v>34680</v>
      </c>
      <c r="AA32" s="18" t="n">
        <v>2507</v>
      </c>
    </row>
    <row r="33">
      <c r="B33" s="131" t="n"/>
      <c r="C33" s="18" t="inlineStr">
        <is>
          <t>品牌</t>
        </is>
      </c>
      <c r="D33" s="19" t="inlineStr">
        <is>
          <t>近期进店数据优</t>
        </is>
      </c>
      <c r="E33" s="18" t="inlineStr">
        <is>
          <t>曾曾的家🏠</t>
        </is>
      </c>
      <c r="F33" s="7" t="inlineStr">
        <is>
          <t>https://pgy.xiaohongshu.com/solar/pre-trade/blogger-detail/5a9fb3d611be104c7fab4c68?track_id=kolSimilar_9ceb2672c00e4c4b9ea53a31f1c945a9&amp;source=Advertiser_Similar_Kol</t>
        </is>
      </c>
      <c r="G33" s="19" t="inlineStr">
        <is>
          <t>https://www.xiaohongshu.com/user/profile/5a9fb3d611be104c7fab4c68</t>
        </is>
      </c>
      <c r="H33" s="136" t="n">
        <v>492672784</v>
      </c>
      <c r="I33" s="18" t="inlineStr">
        <is>
          <t>家居家装</t>
        </is>
      </c>
      <c r="J33" s="18" t="n"/>
      <c r="K33" s="18" t="n"/>
      <c r="L33" s="18" t="inlineStr">
        <is>
          <t>尾部</t>
        </is>
      </c>
      <c r="M33" s="18" t="n">
        <v>4</v>
      </c>
      <c r="N33" s="18" t="n">
        <v>56</v>
      </c>
      <c r="O33" s="18" t="n">
        <v>7900</v>
      </c>
      <c r="P33" s="18">
        <f>O33*1.1</f>
        <v/>
      </c>
      <c r="Q33" s="20">
        <f>P33/Z33</f>
        <v/>
      </c>
      <c r="R33" s="20">
        <f>P33/AA33</f>
        <v/>
      </c>
      <c r="S33" s="18" t="inlineStr">
        <is>
          <t>图文</t>
        </is>
      </c>
      <c r="T33" s="21" t="n">
        <v>0.8</v>
      </c>
      <c r="U33" s="21" t="n">
        <v>0.07000000000000001</v>
      </c>
      <c r="V33" s="21" t="n">
        <v>0.46</v>
      </c>
      <c r="W33" s="21" t="n">
        <v>0.28</v>
      </c>
      <c r="X33" s="21" t="n">
        <v>0.53</v>
      </c>
      <c r="Y33" s="21" t="n">
        <v>0.17</v>
      </c>
      <c r="Z33" s="22" t="n">
        <v>8066</v>
      </c>
      <c r="AA33" s="18" t="n">
        <v>685</v>
      </c>
    </row>
    <row r="34">
      <c r="B34" s="131" t="n"/>
      <c r="C34" s="18" t="inlineStr">
        <is>
          <t>品牌</t>
        </is>
      </c>
      <c r="D34" s="19" t="inlineStr">
        <is>
          <t>黑白极简风，简约大气。和C5烟机 极简适配度高</t>
        </is>
      </c>
      <c r="E34" s="18" t="inlineStr">
        <is>
          <t>Wo不李姐</t>
        </is>
      </c>
      <c r="F34" s="7" t="inlineStr">
        <is>
          <t>https://pgy.xiaohongshu.com/solar/pre-trade/blogger-detail/61a768ab0000000010009fbb?track_id=kolSimilar_9ceb2672c00e4c4b9ea53a31f1c945a9&amp;source=Advertiser_Similar_Kol</t>
        </is>
      </c>
      <c r="G34" s="19" t="inlineStr">
        <is>
          <t>https://www.xiaohongshu.com/user/profile/61a768ab0000000010009fbb</t>
        </is>
      </c>
      <c r="H34" s="136" t="n">
        <v>8081548925</v>
      </c>
      <c r="I34" s="18" t="inlineStr">
        <is>
          <t>家居家装</t>
        </is>
      </c>
      <c r="J34" s="18" t="n"/>
      <c r="K34" s="18" t="n"/>
      <c r="L34" s="18" t="inlineStr">
        <is>
          <t>尾部</t>
        </is>
      </c>
      <c r="M34" s="18" t="n">
        <v>1.9</v>
      </c>
      <c r="N34" s="18" t="n">
        <v>39</v>
      </c>
      <c r="O34" s="18" t="n">
        <v>5500</v>
      </c>
      <c r="P34" s="18">
        <f>O34*1.1</f>
        <v/>
      </c>
      <c r="Q34" s="20">
        <f>P34/Z34</f>
        <v/>
      </c>
      <c r="R34" s="20">
        <f>P34/AA34</f>
        <v/>
      </c>
      <c r="S34" s="18" t="inlineStr">
        <is>
          <t>图文</t>
        </is>
      </c>
      <c r="T34" s="21" t="n">
        <v>0.72</v>
      </c>
      <c r="U34" s="21" t="n">
        <v>0.07000000000000001</v>
      </c>
      <c r="V34" s="21" t="n">
        <v>0.55</v>
      </c>
      <c r="W34" s="21" t="n">
        <v>0.28</v>
      </c>
      <c r="X34" s="21" t="n">
        <v>0.62</v>
      </c>
      <c r="Y34" s="21" t="n">
        <v>0.15</v>
      </c>
      <c r="Z34" s="22" t="n">
        <v>19731</v>
      </c>
      <c r="AA34" s="18" t="n">
        <v>909</v>
      </c>
    </row>
    <row r="35">
      <c r="B35" s="131" t="n"/>
      <c r="C35" s="18" t="inlineStr">
        <is>
          <t>品牌</t>
        </is>
      </c>
      <c r="D35" s="19" t="inlineStr">
        <is>
          <t>新房125平意式极简横厅装修中，整体装修注重品质生活，烟机推荐真实可信</t>
        </is>
      </c>
      <c r="E35" s="18" t="inlineStr">
        <is>
          <t>雪猪猪</t>
        </is>
      </c>
      <c r="F35" s="7" t="inlineStr">
        <is>
          <t>https://pgy.xiaohongshu.com/solar/pre-trade/blogger-detail/593eb48250c4b47d2e0c3856?track_id=kolSimilar_6733628ae4434cde953b2a604ea8e8ca&amp;source=Advertiser_Similar_Kol</t>
        </is>
      </c>
      <c r="G35" s="19" t="inlineStr">
        <is>
          <t>https://www.xiaohongshu.com/user/profile/593eb48250c4b47d2e0c3856</t>
        </is>
      </c>
      <c r="H35" s="136" t="n">
        <v>222766181</v>
      </c>
      <c r="I35" s="18" t="inlineStr">
        <is>
          <t>家居家装</t>
        </is>
      </c>
      <c r="J35" s="18" t="n"/>
      <c r="K35" s="18" t="n"/>
      <c r="L35" s="18" t="inlineStr">
        <is>
          <t>尾部</t>
        </is>
      </c>
      <c r="M35" s="18" t="n">
        <v>3.8</v>
      </c>
      <c r="N35" s="18" t="n">
        <v>114</v>
      </c>
      <c r="O35" s="18" t="n">
        <v>8000</v>
      </c>
      <c r="P35" s="18">
        <f>O35*1.1</f>
        <v/>
      </c>
      <c r="Q35" s="20">
        <f>P35/Z35</f>
        <v/>
      </c>
      <c r="R35" s="20">
        <f>P35/AA35</f>
        <v/>
      </c>
      <c r="S35" s="18" t="inlineStr">
        <is>
          <t>图文</t>
        </is>
      </c>
      <c r="T35" s="21" t="n">
        <v>0.72</v>
      </c>
      <c r="U35" s="21" t="n">
        <v>0.06</v>
      </c>
      <c r="V35" s="21" t="n">
        <v>0.52</v>
      </c>
      <c r="W35" s="21" t="n">
        <v>0.29</v>
      </c>
      <c r="X35" s="21" t="n">
        <v>0.63</v>
      </c>
      <c r="Y35" s="21" t="n">
        <v>0.16</v>
      </c>
      <c r="Z35" s="22" t="n">
        <v>10120</v>
      </c>
      <c r="AA35" s="18" t="n">
        <v>524</v>
      </c>
    </row>
    <row r="36">
      <c r="B36" s="131" t="n"/>
      <c r="C36" s="18" t="inlineStr">
        <is>
          <t>品牌</t>
        </is>
      </c>
      <c r="D36" s="19" t="inlineStr">
        <is>
          <t>家居美学，460平一楼带花园 调性高，人群垂</t>
        </is>
      </c>
      <c r="E36" s="18" t="inlineStr">
        <is>
          <t>是青</t>
        </is>
      </c>
      <c r="F36" s="7" t="inlineStr">
        <is>
          <t>https://pgy.xiaohongshu.com/solar/pre-trade/blogger-detail/62c82ec40000000002003d1b?track_id=kolSimilar_5df06d567db94f91a14b7943904a00c8&amp;source=Advertiser_Similar_Kol</t>
        </is>
      </c>
      <c r="G36" s="19" t="inlineStr">
        <is>
          <t>https://www.xiaohongshu.com/user/profile/62c82ec40000000002003d1b</t>
        </is>
      </c>
      <c r="H36" s="136" t="inlineStr">
        <is>
          <t>cq101596</t>
        </is>
      </c>
      <c r="I36" s="18" t="inlineStr">
        <is>
          <t>家居家装</t>
        </is>
      </c>
      <c r="J36" s="18" t="n"/>
      <c r="K36" s="18" t="n"/>
      <c r="L36" s="18" t="inlineStr">
        <is>
          <t>尾部</t>
        </is>
      </c>
      <c r="M36" s="18" t="n">
        <v>2.8</v>
      </c>
      <c r="N36" s="18" t="n">
        <v>23</v>
      </c>
      <c r="O36" s="18" t="n">
        <v>10000</v>
      </c>
      <c r="P36" s="18">
        <f>O36*1.1</f>
        <v/>
      </c>
      <c r="Q36" s="20">
        <f>P36/Z36</f>
        <v/>
      </c>
      <c r="R36" s="20">
        <f>P36/AA36</f>
        <v/>
      </c>
      <c r="S36" s="18" t="inlineStr">
        <is>
          <t>视频</t>
        </is>
      </c>
      <c r="T36" s="21" t="n">
        <v>0.8</v>
      </c>
      <c r="U36" s="21" t="n">
        <v>0.11</v>
      </c>
      <c r="V36" s="21" t="n">
        <v>0.44</v>
      </c>
      <c r="W36" s="21" t="n">
        <v>0.11</v>
      </c>
      <c r="X36" s="21" t="n">
        <v>0.61</v>
      </c>
      <c r="Y36" s="21" t="n">
        <v>0.16</v>
      </c>
      <c r="Z36" s="22" t="n">
        <v>11228</v>
      </c>
      <c r="AA36" s="18" t="n">
        <v>748</v>
      </c>
    </row>
    <row r="37" ht="19" customHeight="1" s="151">
      <c r="B37" s="131" t="n"/>
      <c r="C37" s="18" t="inlineStr">
        <is>
          <t>品牌</t>
        </is>
      </c>
      <c r="D37" s="19" t="inlineStr">
        <is>
          <t>近期进店数据优 外溢进店中位数
624</t>
        </is>
      </c>
      <c r="E37" s="18" t="inlineStr">
        <is>
          <t>酸奶小草莓🍓</t>
        </is>
      </c>
      <c r="F37" s="7" t="inlineStr">
        <is>
          <t>https://pgy.xiaohongshu.com/solar/pre-trade/blogger-detail/62f7ab21000000001f017cde?track_id=kolSimilar_97e5c0938dfd461180454a0152e9f136&amp;source=Advertiser_Similar_Kol</t>
        </is>
      </c>
      <c r="G37" s="19" t="inlineStr">
        <is>
          <t>https://www.xiaohongshu.com/user/profile/62f7ab21000000001f017cde</t>
        </is>
      </c>
      <c r="H37" s="136" t="n">
        <v>5357696740</v>
      </c>
      <c r="I37" s="18" t="inlineStr">
        <is>
          <t>家居家装</t>
        </is>
      </c>
      <c r="J37" s="18" t="n"/>
      <c r="K37" s="18" t="n"/>
      <c r="L37" s="18" t="inlineStr">
        <is>
          <t>尾部</t>
        </is>
      </c>
      <c r="M37" s="18" t="n">
        <v>4</v>
      </c>
      <c r="N37" s="18" t="n">
        <v>61</v>
      </c>
      <c r="O37" s="18" t="n">
        <v>8000</v>
      </c>
      <c r="P37" s="18">
        <f>O37*1.1</f>
        <v/>
      </c>
      <c r="Q37" s="20">
        <f>P37/Z37</f>
        <v/>
      </c>
      <c r="R37" s="20">
        <f>P37/AA37</f>
        <v/>
      </c>
      <c r="S37" s="18" t="inlineStr">
        <is>
          <t>图文</t>
        </is>
      </c>
      <c r="T37" s="21" t="n">
        <v>0.77</v>
      </c>
      <c r="U37" s="21" t="n">
        <v>0.07000000000000001</v>
      </c>
      <c r="V37" s="21" t="n">
        <v>0.48</v>
      </c>
      <c r="W37" s="21" t="n">
        <v>0.3</v>
      </c>
      <c r="X37" s="21" t="n">
        <v>0.49</v>
      </c>
      <c r="Y37" s="21" t="n">
        <v>0.18</v>
      </c>
      <c r="Z37" s="22" t="n">
        <v>35242</v>
      </c>
      <c r="AA37" s="18" t="n">
        <v>729</v>
      </c>
    </row>
    <row r="38">
      <c r="B38" s="131" t="n"/>
      <c r="C38" s="18" t="inlineStr">
        <is>
          <t>品牌</t>
        </is>
      </c>
      <c r="D38" s="19" t="inlineStr">
        <is>
          <t>红木家居，老钱风</t>
        </is>
      </c>
      <c r="E38" s="18" t="inlineStr">
        <is>
          <t>林菜菜子</t>
        </is>
      </c>
      <c r="F38" s="7" t="inlineStr">
        <is>
          <t>https://pgy.xiaohongshu.com/solar/pre-trade/blogger-detail/5a697e1111be10729ea3bd7d?track_id=kolSimilar_9d1e24782ccf4cc593cb6bc3ce2c1ebb&amp;source=Advertiser_Similar_Kol</t>
        </is>
      </c>
      <c r="G38" s="19" t="inlineStr">
        <is>
          <t>https://www.xiaohongshu.com/user/profile/5a697e1111be10729ea3bd7d</t>
        </is>
      </c>
      <c r="H38" s="136" t="n">
        <v>272013909</v>
      </c>
      <c r="I38" s="18" t="inlineStr">
        <is>
          <t>家居家装</t>
        </is>
      </c>
      <c r="J38" s="18" t="n"/>
      <c r="K38" s="18" t="n"/>
      <c r="L38" s="18" t="inlineStr">
        <is>
          <t>尾部</t>
        </is>
      </c>
      <c r="M38" s="18" t="n">
        <v>4</v>
      </c>
      <c r="N38" s="18" t="n">
        <v>64</v>
      </c>
      <c r="O38" s="18" t="n">
        <v>4000</v>
      </c>
      <c r="P38" s="18">
        <f>O38*1.1</f>
        <v/>
      </c>
      <c r="Q38" s="20">
        <f>P38/Z38</f>
        <v/>
      </c>
      <c r="R38" s="20">
        <f>P38/AA38</f>
        <v/>
      </c>
      <c r="S38" s="18" t="inlineStr">
        <is>
          <t>图文</t>
        </is>
      </c>
      <c r="T38" s="21" t="n">
        <v>0.84</v>
      </c>
      <c r="U38" s="21" t="n">
        <v>0.09</v>
      </c>
      <c r="V38" s="21" t="n">
        <v>0.51</v>
      </c>
      <c r="W38" s="21" t="n">
        <v>0.29</v>
      </c>
      <c r="X38" s="21" t="n">
        <v>0.67</v>
      </c>
      <c r="Y38" s="21" t="n">
        <v>0.16</v>
      </c>
      <c r="Z38" s="22" t="n">
        <v>21095</v>
      </c>
      <c r="AA38" s="18" t="n">
        <v>1777</v>
      </c>
    </row>
    <row r="39" ht="19" customHeight="1" s="151">
      <c r="B39" s="131" t="n"/>
      <c r="C39" s="18" t="inlineStr">
        <is>
          <t>品牌</t>
        </is>
      </c>
      <c r="D39" s="19" t="inlineStr">
        <is>
          <t>400平花园别墅，装修干货，粉丝对高品质生活有追求</t>
        </is>
      </c>
      <c r="E39" s="18" t="inlineStr">
        <is>
          <t>可可酱喂-</t>
        </is>
      </c>
      <c r="F39" s="7" t="inlineStr">
        <is>
          <t>https://pgy.xiaohongshu.com/solar/pre-trade/blogger-detail/59d9c8d56eea8874f78ba0d5?track_id=kolSimilar_9d1e24782ccf4cc593cb6bc3ce2c1ebb&amp;source=Advertiser_Similar_Kol</t>
        </is>
      </c>
      <c r="G39" s="19" t="inlineStr">
        <is>
          <t>https://www.xiaohongshu.com/user/profile/59d9c8d56eea8874f78ba0d5</t>
        </is>
      </c>
      <c r="H39" s="136" t="inlineStr">
        <is>
          <t>ZJWDOUADOU</t>
        </is>
      </c>
      <c r="I39" s="18" t="inlineStr">
        <is>
          <t>家居家装</t>
        </is>
      </c>
      <c r="J39" s="18" t="n"/>
      <c r="K39" s="18" t="n"/>
      <c r="L39" s="18" t="inlineStr">
        <is>
          <t>尾部</t>
        </is>
      </c>
      <c r="M39" s="18" t="n">
        <v>1.8</v>
      </c>
      <c r="N39" s="18" t="n">
        <v>16</v>
      </c>
      <c r="O39" s="18" t="n">
        <v>8000</v>
      </c>
      <c r="P39" s="18">
        <f>O39*1.1</f>
        <v/>
      </c>
      <c r="Q39" s="20">
        <f>P39/Z39</f>
        <v/>
      </c>
      <c r="R39" s="20">
        <f>P39/AA39</f>
        <v/>
      </c>
      <c r="S39" s="18" t="inlineStr">
        <is>
          <t>视频</t>
        </is>
      </c>
      <c r="T39" s="21" t="n">
        <v>0.79</v>
      </c>
      <c r="U39" s="21" t="n">
        <v>0.08</v>
      </c>
      <c r="V39" s="21" t="n">
        <v>0.4</v>
      </c>
      <c r="W39" s="21" t="n">
        <v>0.35</v>
      </c>
      <c r="X39" s="21" t="n">
        <v>0.54</v>
      </c>
      <c r="Y39" s="21" t="n">
        <v>0.18</v>
      </c>
      <c r="Z39" s="22" t="n">
        <v>24459</v>
      </c>
      <c r="AA39" s="18" t="n">
        <v>956</v>
      </c>
    </row>
    <row r="40">
      <c r="B40" s="131" t="n"/>
      <c r="C40" s="18" t="inlineStr">
        <is>
          <t>品牌</t>
        </is>
      </c>
      <c r="D40" s="19" t="inlineStr">
        <is>
          <t>高级极简家装，契合产品整体简约风格。</t>
        </is>
      </c>
      <c r="E40" s="18" t="inlineStr">
        <is>
          <t>捌月</t>
        </is>
      </c>
      <c r="F40" s="7" t="inlineStr">
        <is>
          <t>https://pgy.xiaohongshu.com/solar/pre-trade/blogger-detail/5978558f82ec39204c64e9cd?track_id=kolSimilar_9ceb2672c00e4c4b9ea53a31f1c945a9&amp;source=Advertiser_Similar_Kol</t>
        </is>
      </c>
      <c r="G40" s="19" t="inlineStr">
        <is>
          <t>https://www.xiaohongshu.com/user/profile/5978558f82ec39204c64e9cd</t>
        </is>
      </c>
      <c r="H40" s="136" t="n">
        <v>262103326</v>
      </c>
      <c r="I40" s="18" t="inlineStr">
        <is>
          <t>家居家装</t>
        </is>
      </c>
      <c r="J40" s="18" t="n"/>
      <c r="K40" s="18" t="n"/>
      <c r="L40" s="18" t="inlineStr">
        <is>
          <t>尾部</t>
        </is>
      </c>
      <c r="M40" s="18" t="n">
        <v>1.9</v>
      </c>
      <c r="N40" s="18" t="n">
        <v>27</v>
      </c>
      <c r="O40" s="18" t="n">
        <v>7800</v>
      </c>
      <c r="P40" s="18">
        <f>O40*1.1</f>
        <v/>
      </c>
      <c r="Q40" s="20">
        <f>P40/Z40</f>
        <v/>
      </c>
      <c r="R40" s="20">
        <f>P40/AA40</f>
        <v/>
      </c>
      <c r="S40" s="18" t="inlineStr">
        <is>
          <t>视频</t>
        </is>
      </c>
      <c r="T40" s="21" t="n">
        <v>0.75</v>
      </c>
      <c r="U40" s="21" t="n">
        <v>0.1</v>
      </c>
      <c r="V40" s="21" t="n">
        <v>0.43</v>
      </c>
      <c r="W40" s="21" t="n">
        <v>0.32</v>
      </c>
      <c r="X40" s="21" t="n">
        <v>0.59</v>
      </c>
      <c r="Y40" s="21" t="n">
        <v>0.16</v>
      </c>
      <c r="Z40" s="22" t="n">
        <v>13058</v>
      </c>
      <c r="AA40" s="18" t="n">
        <v>1010</v>
      </c>
    </row>
    <row r="41">
      <c r="B41" s="131" t="n"/>
      <c r="C41" s="18" t="inlineStr">
        <is>
          <t>品牌</t>
        </is>
      </c>
      <c r="D41" s="19" t="inlineStr">
        <is>
          <t>法式装修 家居垂类账号</t>
        </is>
      </c>
      <c r="E41" s="18" t="inlineStr">
        <is>
          <t>魔魔呱-</t>
        </is>
      </c>
      <c r="F41" s="7" t="inlineStr">
        <is>
          <t>https://pgy.xiaohongshu.com/solar/pre-trade/blogger-detail/5c08873e0000000007005585?track_id=kolSimilar_9d1e24782ccf4cc593cb6bc3ce2c1ebb&amp;source=Advertiser_Similar_Kol</t>
        </is>
      </c>
      <c r="G41" s="19" t="inlineStr">
        <is>
          <t>https://www.xiaohongshu.com/user/profile/5c08873e0000000007005585</t>
        </is>
      </c>
      <c r="H41" s="136" t="n">
        <v>675737760</v>
      </c>
      <c r="I41" s="18" t="inlineStr">
        <is>
          <t>家居家装</t>
        </is>
      </c>
      <c r="J41" s="18" t="n"/>
      <c r="K41" s="18" t="n"/>
      <c r="L41" s="18" t="inlineStr">
        <is>
          <t>尾部</t>
        </is>
      </c>
      <c r="M41" s="18" t="n">
        <v>1.1</v>
      </c>
      <c r="N41" s="18" t="n">
        <v>21</v>
      </c>
      <c r="O41" s="18" t="n">
        <v>5500</v>
      </c>
      <c r="P41" s="18">
        <f>O41*1.1</f>
        <v/>
      </c>
      <c r="Q41" s="20">
        <f>P41/Z41</f>
        <v/>
      </c>
      <c r="R41" s="20">
        <f>P41/AA41</f>
        <v/>
      </c>
      <c r="S41" s="18" t="inlineStr">
        <is>
          <t>视频</t>
        </is>
      </c>
      <c r="T41" s="21" t="n">
        <v>0.86</v>
      </c>
      <c r="U41" s="21" t="n">
        <v>0.08</v>
      </c>
      <c r="V41" s="21" t="n">
        <v>0.51</v>
      </c>
      <c r="W41" s="21" t="n">
        <v>0.27</v>
      </c>
      <c r="X41" s="21" t="n">
        <v>0.64</v>
      </c>
      <c r="Y41" s="21" t="n">
        <v>0.14</v>
      </c>
      <c r="Z41" s="22" t="n">
        <v>13363</v>
      </c>
      <c r="AA41" s="18" t="n">
        <v>1689</v>
      </c>
    </row>
    <row r="42">
      <c r="B42" s="131" t="n"/>
      <c r="C42" s="18" t="inlineStr">
        <is>
          <t>品牌</t>
        </is>
      </c>
      <c r="D42" s="19" t="inlineStr">
        <is>
          <t xml:space="preserve">400平欧美复古风房 </t>
        </is>
      </c>
      <c r="E42" s="18" t="inlineStr">
        <is>
          <t>冬冬姐的欧美复古家</t>
        </is>
      </c>
      <c r="F42" s="7" t="inlineStr">
        <is>
          <t>https://pgy.xiaohongshu.com/solar/pre-trade/blogger-detail/5d037cf200000000120226ec?track_id=kolSimilar_2ed5f923a2ad48ed8a8077e5eb363a60&amp;source=Advertiser_Similar_Kol</t>
        </is>
      </c>
      <c r="G42" s="19" t="inlineStr">
        <is>
          <t>https://www.xiaohongshu.com/user/profile/5d037cf200000000120226ec</t>
        </is>
      </c>
      <c r="H42" s="136" t="n">
        <v>992020662</v>
      </c>
      <c r="I42" s="18" t="inlineStr">
        <is>
          <t>家居家装</t>
        </is>
      </c>
      <c r="J42" s="18" t="n"/>
      <c r="K42" s="18" t="n"/>
      <c r="L42" s="18" t="inlineStr">
        <is>
          <t>尾部</t>
        </is>
      </c>
      <c r="M42" s="18" t="n">
        <v>1.6</v>
      </c>
      <c r="N42" s="18" t="n">
        <v>18</v>
      </c>
      <c r="O42" s="18" t="n">
        <v>6000</v>
      </c>
      <c r="P42" s="18">
        <f>O42*1.1</f>
        <v/>
      </c>
      <c r="Q42" s="20">
        <f>P42/Z42</f>
        <v/>
      </c>
      <c r="R42" s="20">
        <f>P42/AA42</f>
        <v/>
      </c>
      <c r="S42" s="18" t="inlineStr">
        <is>
          <t>视频</t>
        </is>
      </c>
      <c r="T42" s="21" t="n">
        <v>0.82</v>
      </c>
      <c r="U42" s="21" t="n">
        <v>0.13</v>
      </c>
      <c r="V42" s="21" t="n">
        <v>0.41</v>
      </c>
      <c r="W42" s="21" t="n">
        <v>0.31</v>
      </c>
      <c r="X42" s="21" t="n">
        <v>0.5</v>
      </c>
      <c r="Y42" s="21" t="n">
        <v>0.2</v>
      </c>
      <c r="Z42" s="22" t="n">
        <v>10944</v>
      </c>
      <c r="AA42" s="18" t="n">
        <v>1111</v>
      </c>
    </row>
    <row r="43">
      <c r="B43" s="131" t="n"/>
      <c r="C43" s="18" t="inlineStr">
        <is>
          <t>品牌</t>
        </is>
      </c>
      <c r="D43" s="19" t="inlineStr">
        <is>
          <t>奶油风装修，温馨治愈</t>
        </is>
      </c>
      <c r="E43" s="18" t="inlineStr">
        <is>
          <t>小奶思</t>
        </is>
      </c>
      <c r="F43" s="7" t="inlineStr">
        <is>
          <t>https://pgy.xiaohongshu.com/solar/pre-trade/blogger-detail/56586dd97c5bb835be78c80a?track_id=kolSimilar_e702f93d41f84e15952933fbc533d580&amp;source=Advertiser_Similar_Kol</t>
        </is>
      </c>
      <c r="G43" s="19" t="inlineStr">
        <is>
          <t>https://www.xiaohongshu.com/user/profile/56586dd97c5bb835be78c80a</t>
        </is>
      </c>
      <c r="H43" s="136" t="n">
        <v>110212897</v>
      </c>
      <c r="I43" s="18" t="inlineStr">
        <is>
          <t>家居家装</t>
        </is>
      </c>
      <c r="J43" s="18" t="n"/>
      <c r="K43" s="18" t="n"/>
      <c r="L43" s="18" t="inlineStr">
        <is>
          <t>尾部</t>
        </is>
      </c>
      <c r="M43" s="18" t="n">
        <v>3.6</v>
      </c>
      <c r="N43" s="18" t="n">
        <v>91</v>
      </c>
      <c r="O43" s="18" t="n">
        <v>7000</v>
      </c>
      <c r="P43" s="18">
        <f>O43*1.1</f>
        <v/>
      </c>
      <c r="Q43" s="20">
        <f>P43/Z43</f>
        <v/>
      </c>
      <c r="R43" s="20">
        <f>P43/AA43</f>
        <v/>
      </c>
      <c r="S43" s="18" t="inlineStr">
        <is>
          <t>图文</t>
        </is>
      </c>
      <c r="T43" s="21" t="n">
        <v>0.9</v>
      </c>
      <c r="U43" s="21" t="n">
        <v>0.08</v>
      </c>
      <c r="V43" s="21" t="n">
        <v>0.57</v>
      </c>
      <c r="W43" s="21" t="n">
        <v>0.26</v>
      </c>
      <c r="X43" s="21" t="n">
        <v>0.5600000000000001</v>
      </c>
      <c r="Y43" s="21" t="n">
        <v>0.15</v>
      </c>
      <c r="Z43" s="22" t="n">
        <v>25874</v>
      </c>
      <c r="AA43" s="18" t="n">
        <v>3807</v>
      </c>
    </row>
    <row r="44">
      <c r="B44" s="131" t="n"/>
      <c r="C44" s="18" t="inlineStr">
        <is>
          <t>品牌</t>
        </is>
      </c>
      <c r="D44" s="19" t="inlineStr">
        <is>
          <t>垂类家居账号，近期外溢进店中位数
932</t>
        </is>
      </c>
      <c r="E44" s="18" t="inlineStr">
        <is>
          <t>我尾巴掉了</t>
        </is>
      </c>
      <c r="F44" s="7" t="inlineStr">
        <is>
          <t>https://pgy.xiaohongshu.com/solar/pre-trade/blogger-detail/5b7bf8eb6b58b7189cdc0ae3?track_id=kolSimilar_d99dd70330bb4cdaacbdedee30bb4f23&amp;source=Advertiser_Similar_Kol</t>
        </is>
      </c>
      <c r="G44" s="19" t="inlineStr">
        <is>
          <t>https://www.xiaohongshu.com/user/profile/5b7bf8eb6b58b7189cdc0ae3</t>
        </is>
      </c>
      <c r="H44" s="136" t="inlineStr">
        <is>
          <t>banbanac</t>
        </is>
      </c>
      <c r="I44" s="18" t="inlineStr">
        <is>
          <t>家居家装</t>
        </is>
      </c>
      <c r="J44" s="18" t="n"/>
      <c r="K44" s="18" t="n"/>
      <c r="L44" s="18" t="inlineStr">
        <is>
          <t>尾部</t>
        </is>
      </c>
      <c r="M44" s="18" t="n">
        <v>1.1</v>
      </c>
      <c r="N44" s="18" t="n">
        <v>16</v>
      </c>
      <c r="O44" s="18" t="n">
        <v>7500</v>
      </c>
      <c r="P44" s="18">
        <f>O44*1.1</f>
        <v/>
      </c>
      <c r="Q44" s="20">
        <f>P44/Z44</f>
        <v/>
      </c>
      <c r="R44" s="20">
        <f>P44/AA44</f>
        <v/>
      </c>
      <c r="S44" s="18" t="inlineStr">
        <is>
          <t>视频</t>
        </is>
      </c>
      <c r="T44" s="21" t="n">
        <v>0.89</v>
      </c>
      <c r="U44" s="21" t="n">
        <v>0.13</v>
      </c>
      <c r="V44" s="41" t="n">
        <v>0.5600000000000001</v>
      </c>
      <c r="W44" s="21" t="n">
        <v>0.21</v>
      </c>
      <c r="X44" s="21" t="n">
        <v>0.64</v>
      </c>
      <c r="Y44" s="21" t="n">
        <v>0.12</v>
      </c>
      <c r="Z44" s="22" t="n">
        <v>32818</v>
      </c>
      <c r="AA44" s="18" t="n">
        <v>3697</v>
      </c>
    </row>
    <row r="45">
      <c r="B45" s="131" t="n"/>
      <c r="C45" s="18" t="inlineStr">
        <is>
          <t>品牌</t>
        </is>
      </c>
      <c r="D45" s="19" t="inlineStr">
        <is>
          <t>近期外溢进店中位数
440</t>
        </is>
      </c>
      <c r="E45" s="18" t="inlineStr">
        <is>
          <t>atmu阿童木</t>
        </is>
      </c>
      <c r="F45" s="7" t="inlineStr">
        <is>
          <t>https://pgy.xiaohongshu.com/solar/pre-trade/blogger-detail/645a46f4000000002a00a5ce?track_id=kolSimilar_d99dd70330bb4cdaacbdedee30bb4f23&amp;source=Advertiser_Similar_Kol</t>
        </is>
      </c>
      <c r="G45" s="19" t="inlineStr">
        <is>
          <t>https://www.xiaohongshu.com/user/profile/645a46f4000000002a00a5ce</t>
        </is>
      </c>
      <c r="H45" s="136" t="n">
        <v>5508648113</v>
      </c>
      <c r="I45" s="18" t="inlineStr">
        <is>
          <t>家居家装</t>
        </is>
      </c>
      <c r="J45" s="18" t="n"/>
      <c r="K45" s="18" t="n"/>
      <c r="L45" s="18" t="inlineStr">
        <is>
          <t>尾部</t>
        </is>
      </c>
      <c r="M45" s="18" t="n">
        <v>2</v>
      </c>
      <c r="N45" s="18" t="n">
        <v>30</v>
      </c>
      <c r="O45" s="18" t="n">
        <v>7000</v>
      </c>
      <c r="P45" s="18">
        <f>O45*1.1</f>
        <v/>
      </c>
      <c r="Q45" s="20">
        <f>P45/Z45</f>
        <v/>
      </c>
      <c r="R45" s="20">
        <f>P45/AA45</f>
        <v/>
      </c>
      <c r="S45" s="18" t="inlineStr">
        <is>
          <t>视频</t>
        </is>
      </c>
      <c r="T45" s="21" t="n">
        <v>0.82</v>
      </c>
      <c r="U45" s="21" t="n">
        <v>0.15</v>
      </c>
      <c r="V45" s="41" t="n">
        <v>0.6</v>
      </c>
      <c r="W45" s="21" t="n">
        <v>0.16</v>
      </c>
      <c r="X45" s="21" t="n">
        <v>0.7</v>
      </c>
      <c r="Y45" s="21" t="n">
        <v>0.1</v>
      </c>
      <c r="Z45" s="22" t="n">
        <v>7693</v>
      </c>
      <c r="AA45" s="18" t="n">
        <v>503</v>
      </c>
    </row>
    <row r="46">
      <c r="B46" s="131" t="n"/>
      <c r="C46" s="18" t="inlineStr">
        <is>
          <t>品牌</t>
        </is>
      </c>
      <c r="D46" s="19" t="inlineStr">
        <is>
          <t xml:space="preserve">两人两猫，家里在持续改造中  </t>
        </is>
      </c>
      <c r="E46" s="18" t="inlineStr">
        <is>
          <t>sweet.星尔</t>
        </is>
      </c>
      <c r="F46" s="7" t="inlineStr">
        <is>
          <t>https://pgy.xiaohongshu.com/solar/pre-trade/blogger-detail/56bd37a75e87e75d1b0b9a98?track_id=kolSimilar_d99dd70330bb4cdaacbdedee30bb4f23&amp;source=Advertiser_Similar_Kol</t>
        </is>
      </c>
      <c r="G46" s="19" t="inlineStr">
        <is>
          <t>https://www.xiaohongshu.com/user/profile/56bd37a75e87e75d1b0b9a98</t>
        </is>
      </c>
      <c r="H46" s="136" t="n">
        <v>497460081</v>
      </c>
      <c r="I46" s="18" t="inlineStr">
        <is>
          <t>家居家装</t>
        </is>
      </c>
      <c r="J46" s="18" t="n"/>
      <c r="K46" s="18" t="n"/>
      <c r="L46" s="18" t="inlineStr">
        <is>
          <t>尾部</t>
        </is>
      </c>
      <c r="M46" s="18" t="n">
        <v>2</v>
      </c>
      <c r="N46" s="18" t="n">
        <v>69</v>
      </c>
      <c r="O46" s="18" t="n">
        <v>5500</v>
      </c>
      <c r="P46" s="18">
        <f>O46*1.1</f>
        <v/>
      </c>
      <c r="Q46" s="20">
        <f>P46/Z46</f>
        <v/>
      </c>
      <c r="R46" s="20">
        <f>P46/AA46</f>
        <v/>
      </c>
      <c r="S46" s="18" t="inlineStr">
        <is>
          <t>图文</t>
        </is>
      </c>
      <c r="T46" s="21" t="n">
        <v>0.91</v>
      </c>
      <c r="U46" s="21" t="n">
        <v>0.09</v>
      </c>
      <c r="V46" s="41" t="n">
        <v>0.59</v>
      </c>
      <c r="W46" s="21" t="n">
        <v>0.23</v>
      </c>
      <c r="X46" s="21" t="n">
        <v>0.64</v>
      </c>
      <c r="Y46" s="21" t="n">
        <v>0.13</v>
      </c>
      <c r="Z46" s="22" t="n">
        <v>15361</v>
      </c>
      <c r="AA46" s="18" t="n">
        <v>1087</v>
      </c>
    </row>
    <row r="47">
      <c r="B47" s="131" t="n"/>
      <c r="C47" s="18" t="inlineStr">
        <is>
          <t>品牌</t>
        </is>
      </c>
      <c r="D47" s="19" t="inlineStr">
        <is>
          <t>一人一狗，独立女性 家居生活日常，粉丝更多是有消费能力的女孩们</t>
        </is>
      </c>
      <c r="E47" s="18" t="inlineStr">
        <is>
          <t>杨豁达</t>
        </is>
      </c>
      <c r="F47" s="7" t="inlineStr">
        <is>
          <t>https://pgy.xiaohongshu.com/solar/pre-trade/blogger-detail/56d1b4f94775a72ad1e10784?track_id=kolSimilar_7968c4349c584d2b856f5dd0e156dbca&amp;source=Advertiser_Similar_Kol</t>
        </is>
      </c>
      <c r="G47" s="19" t="inlineStr">
        <is>
          <t>https://www.xiaohongshu.com/user/profile/56d1b4f94775a72ad1e10784</t>
        </is>
      </c>
      <c r="H47" s="136" t="n">
        <v>104473341</v>
      </c>
      <c r="I47" s="18" t="inlineStr">
        <is>
          <t>家居家装</t>
        </is>
      </c>
      <c r="J47" s="18" t="n"/>
      <c r="K47" s="18" t="n"/>
      <c r="L47" s="18" t="inlineStr">
        <is>
          <t>尾部</t>
        </is>
      </c>
      <c r="M47" s="18" t="n">
        <v>2</v>
      </c>
      <c r="N47" s="18" t="n">
        <v>31</v>
      </c>
      <c r="O47" s="18" t="n">
        <v>8000</v>
      </c>
      <c r="P47" s="18">
        <f>O47*1.1</f>
        <v/>
      </c>
      <c r="Q47" s="20">
        <f>P47/Z47</f>
        <v/>
      </c>
      <c r="R47" s="20">
        <f>P47/AA47</f>
        <v/>
      </c>
      <c r="S47" s="18" t="inlineStr">
        <is>
          <t>视频</t>
        </is>
      </c>
      <c r="T47" s="21" t="n">
        <v>0.86</v>
      </c>
      <c r="U47" s="21" t="n">
        <v>0.1</v>
      </c>
      <c r="V47" s="41" t="n">
        <v>0.61</v>
      </c>
      <c r="W47" s="21" t="n">
        <v>0.19</v>
      </c>
      <c r="X47" s="21" t="n">
        <v>0.7</v>
      </c>
      <c r="Y47" s="21" t="n">
        <v>0.11</v>
      </c>
      <c r="Z47" s="137" t="n">
        <v>36409</v>
      </c>
      <c r="AA47" s="18" t="n">
        <v>2233</v>
      </c>
    </row>
    <row r="48">
      <c r="B48" s="131" t="n"/>
      <c r="C48" s="18" t="inlineStr">
        <is>
          <t>品牌</t>
        </is>
      </c>
      <c r="D48" s="19" t="inlineStr">
        <is>
          <t>森林小屋，账号独特性强</t>
        </is>
      </c>
      <c r="E48" s="18" t="inlineStr">
        <is>
          <t>六月的静</t>
        </is>
      </c>
      <c r="F48" s="7" t="inlineStr">
        <is>
          <t>https://pgy.xiaohongshu.com/solar/pre-trade/blogger-detail/571ac39784edcd37dd312cfe?track_id=kolSimilar_7968c4349c584d2b856f5dd0e156dbca&amp;source=Advertiser_Similar_Kol</t>
        </is>
      </c>
      <c r="G48" s="19" t="inlineStr">
        <is>
          <t>https://www.xiaohongshu.com/user/profile/571ac39784edcd37dd312cfe</t>
        </is>
      </c>
      <c r="H48" s="136" t="inlineStr">
        <is>
          <t>linjing613</t>
        </is>
      </c>
      <c r="I48" s="18" t="inlineStr">
        <is>
          <t>家居家装</t>
        </is>
      </c>
      <c r="J48" s="18" t="n"/>
      <c r="K48" s="18" t="n"/>
      <c r="L48" s="18" t="inlineStr">
        <is>
          <t>尾部</t>
        </is>
      </c>
      <c r="M48" s="18" t="n">
        <v>6</v>
      </c>
      <c r="N48" s="18" t="n">
        <v>32</v>
      </c>
      <c r="O48" s="18" t="n">
        <v>11000</v>
      </c>
      <c r="P48" s="18">
        <f>O48*1.1</f>
        <v/>
      </c>
      <c r="Q48" s="20">
        <f>P48/Z48</f>
        <v/>
      </c>
      <c r="R48" s="20">
        <f>P48/AA48</f>
        <v/>
      </c>
      <c r="S48" s="18" t="inlineStr">
        <is>
          <t>视频</t>
        </is>
      </c>
      <c r="T48" s="21" t="n">
        <v>0.9</v>
      </c>
      <c r="U48" s="21" t="n">
        <v>0.17</v>
      </c>
      <c r="V48" s="21" t="n">
        <v>0.39</v>
      </c>
      <c r="W48" s="21" t="n">
        <v>0.27</v>
      </c>
      <c r="X48" s="21" t="n">
        <v>0.46</v>
      </c>
      <c r="Y48" s="21" t="n">
        <v>0.17</v>
      </c>
      <c r="Z48" s="22" t="n">
        <v>24665</v>
      </c>
      <c r="AA48" s="18" t="n">
        <v>898</v>
      </c>
    </row>
    <row r="49">
      <c r="B49" s="131" t="n"/>
      <c r="C49" s="18" t="inlineStr">
        <is>
          <t>品牌</t>
        </is>
      </c>
      <c r="D49" s="19" t="inlineStr">
        <is>
          <t>中古混搭风</t>
        </is>
      </c>
      <c r="E49" s="18" t="inlineStr">
        <is>
          <t>Oh no苏半糖</t>
        </is>
      </c>
      <c r="F49" s="7" t="inlineStr">
        <is>
          <t>https://pgy.xiaohongshu.com/solar/pre-trade/blogger-detail/62ee3af1000000001f017612?track_id=kolSimilar_3e439a41f50743b1b7f3667e037ed8b6&amp;source=Advertiser_Similar_Kol</t>
        </is>
      </c>
      <c r="G49" s="19" t="inlineStr">
        <is>
          <t>https://www.xiaohongshu.com/user/profile/62ee3af1000000001f017612</t>
        </is>
      </c>
      <c r="H49" s="136" t="inlineStr">
        <is>
          <t>subantang_</t>
        </is>
      </c>
      <c r="I49" s="18" t="inlineStr">
        <is>
          <t>家居家装</t>
        </is>
      </c>
      <c r="J49" s="18" t="n"/>
      <c r="K49" s="18" t="n"/>
      <c r="L49" s="18" t="inlineStr">
        <is>
          <t>尾部</t>
        </is>
      </c>
      <c r="M49" s="18" t="n">
        <v>7</v>
      </c>
      <c r="N49" s="18" t="n">
        <v>80</v>
      </c>
      <c r="O49" s="18" t="n">
        <v>13000</v>
      </c>
      <c r="P49" s="18">
        <f>O49*1.1</f>
        <v/>
      </c>
      <c r="Q49" s="20">
        <f>P49/Z49</f>
        <v/>
      </c>
      <c r="R49" s="20">
        <f>P49/AA49</f>
        <v/>
      </c>
      <c r="S49" s="18" t="inlineStr">
        <is>
          <t>图文</t>
        </is>
      </c>
      <c r="T49" s="21" t="n">
        <v>0.82</v>
      </c>
      <c r="U49" s="21" t="n">
        <v>0.05</v>
      </c>
      <c r="V49" s="21" t="n">
        <v>0.47</v>
      </c>
      <c r="W49" s="21" t="n">
        <v>0.33</v>
      </c>
      <c r="X49" s="21" t="n">
        <v>0.59</v>
      </c>
      <c r="Y49" s="21" t="n">
        <v>0.19</v>
      </c>
      <c r="Z49" s="22" t="n">
        <v>38171</v>
      </c>
      <c r="AA49" s="18" t="n">
        <v>2228</v>
      </c>
    </row>
    <row r="50">
      <c r="B50" s="131" t="n"/>
      <c r="C50" s="18" t="inlineStr">
        <is>
          <t>品牌</t>
        </is>
      </c>
      <c r="D50" s="19" t="inlineStr">
        <is>
          <t>收纳爱好者，适合分享厨房装修心得</t>
        </is>
      </c>
      <c r="E50" s="18" t="inlineStr">
        <is>
          <t>收纳研究员Jennie</t>
        </is>
      </c>
      <c r="F50" s="7" t="inlineStr">
        <is>
          <t>https://pgy.xiaohongshu.com/solar/pre-trade/blogger-detail/5e108fac0000000001004eb5?track_id=kolSimilar_cf83a2a7608b4555896d0b90c235f377&amp;source=Advertiser_Similar_Kol</t>
        </is>
      </c>
      <c r="G50" s="19" t="inlineStr">
        <is>
          <t>https://www.xiaohongshu.com/user/profile/5e108fac0000000001004eb5</t>
        </is>
      </c>
      <c r="H50" s="136" t="n">
        <v>797930244</v>
      </c>
      <c r="I50" s="18" t="inlineStr">
        <is>
          <t>家居家装</t>
        </is>
      </c>
      <c r="J50" s="18" t="n"/>
      <c r="K50" s="18" t="n"/>
      <c r="L50" s="18" t="inlineStr">
        <is>
          <t>尾部</t>
        </is>
      </c>
      <c r="M50" s="18" t="n">
        <v>8</v>
      </c>
      <c r="N50" s="18" t="n">
        <v>84</v>
      </c>
      <c r="O50" s="18" t="n">
        <v>17500</v>
      </c>
      <c r="P50" s="18">
        <f>O50*1.1</f>
        <v/>
      </c>
      <c r="Q50" s="20">
        <f>P50/Z50</f>
        <v/>
      </c>
      <c r="R50" s="20">
        <f>P50/AA50</f>
        <v/>
      </c>
      <c r="S50" s="18" t="inlineStr">
        <is>
          <t>视频</t>
        </is>
      </c>
      <c r="T50" s="21" t="n">
        <v>0.8</v>
      </c>
      <c r="U50" s="21" t="n">
        <v>0.04</v>
      </c>
      <c r="V50" s="21" t="n">
        <v>0.38</v>
      </c>
      <c r="W50" s="21" t="n">
        <v>0.4</v>
      </c>
      <c r="X50" s="21" t="n">
        <v>0.57</v>
      </c>
      <c r="Y50" s="21" t="n">
        <v>0.19</v>
      </c>
      <c r="Z50" s="22" t="n">
        <v>45193</v>
      </c>
      <c r="AA50" s="18" t="n">
        <v>2201</v>
      </c>
    </row>
    <row r="51">
      <c r="B51" s="131" t="n"/>
      <c r="C51" s="18" t="inlineStr">
        <is>
          <t>品牌</t>
        </is>
      </c>
      <c r="D51" s="19" t="inlineStr">
        <is>
          <t>已婚已育95后的家，购买家电人群比较集中</t>
        </is>
      </c>
      <c r="E51" s="18" t="inlineStr">
        <is>
          <t>小邹和小黄的家</t>
        </is>
      </c>
      <c r="F51" s="7" t="inlineStr">
        <is>
          <t>https://pgy.xiaohongshu.com/solar/pre-trade/blogger-detail/613f186b0000000002020a45?track_id=kolSearch_a2b8021877e7422386b3a6feec4fd0e6&amp;source=Advertiser_Kol</t>
        </is>
      </c>
      <c r="G51" s="19" t="inlineStr">
        <is>
          <t>https://www.xiaohongshu.com/user/profile/613f186b0000000002020a45</t>
        </is>
      </c>
      <c r="H51" s="136" t="n">
        <v>4937617973</v>
      </c>
      <c r="I51" s="18" t="inlineStr">
        <is>
          <t>家居家装</t>
        </is>
      </c>
      <c r="J51" s="18" t="n"/>
      <c r="K51" s="18" t="n"/>
      <c r="L51" s="18" t="inlineStr">
        <is>
          <t>尾部</t>
        </is>
      </c>
      <c r="M51" s="18" t="n">
        <v>2.5</v>
      </c>
      <c r="N51" s="18" t="n">
        <v>43</v>
      </c>
      <c r="O51" s="18" t="n">
        <v>8900</v>
      </c>
      <c r="P51" s="18">
        <f>O51*1.1</f>
        <v/>
      </c>
      <c r="Q51" s="20">
        <f>P51/Z51</f>
        <v/>
      </c>
      <c r="R51" s="20">
        <f>P51/AA51</f>
        <v/>
      </c>
      <c r="S51" s="18" t="inlineStr">
        <is>
          <t>视频</t>
        </is>
      </c>
      <c r="T51" s="21" t="n">
        <v>0.78</v>
      </c>
      <c r="U51" s="21" t="n">
        <v>0.06</v>
      </c>
      <c r="V51" s="21" t="n">
        <v>0.49</v>
      </c>
      <c r="W51" s="21" t="n">
        <v>0.3</v>
      </c>
      <c r="X51" s="21" t="n">
        <v>0.48</v>
      </c>
      <c r="Y51" s="21" t="n">
        <v>0.2</v>
      </c>
      <c r="Z51" s="137" t="n">
        <v>12257</v>
      </c>
      <c r="AA51" s="18" t="n">
        <v>630</v>
      </c>
    </row>
    <row r="52">
      <c r="A52" s="43" t="inlineStr">
        <is>
          <t>以下为3.4品牌新提报</t>
        </is>
      </c>
      <c r="B52" s="43" t="n"/>
      <c r="C52" s="38" t="n"/>
      <c r="D52" s="121" t="n"/>
      <c r="E52" s="37" t="n"/>
      <c r="F52" s="43" t="n"/>
      <c r="G52" s="121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43" t="n"/>
      <c r="AC52" s="43" t="n"/>
      <c r="AD52" s="43" t="n"/>
      <c r="AE52" s="43" t="n"/>
      <c r="AF52" s="43" t="n"/>
      <c r="AG52" s="43" t="n"/>
      <c r="AH52" s="43" t="n"/>
      <c r="AI52" s="43" t="n"/>
      <c r="AJ52" s="43" t="n"/>
      <c r="AK52" s="43" t="n"/>
      <c r="AL52" s="43" t="n"/>
      <c r="AM52" s="43" t="n"/>
      <c r="AN52" s="43" t="n"/>
      <c r="AO52" s="43" t="n"/>
      <c r="AP52" s="43" t="n"/>
      <c r="AQ52" s="43" t="n"/>
    </row>
    <row r="53">
      <c r="A53" s="7" t="inlineStr">
        <is>
          <t>受众偏单身人群，离场景比较远</t>
        </is>
      </c>
      <c r="B53" s="131" t="n"/>
      <c r="C53" s="18" t="inlineStr">
        <is>
          <t>品牌</t>
        </is>
      </c>
      <c r="D53" s="19" t="n"/>
      <c r="E53" s="18" t="inlineStr">
        <is>
          <t>李尔王的生活</t>
        </is>
      </c>
      <c r="F53" s="7" t="inlineStr">
        <is>
          <t>https://pgy.xiaohongshu.com/solar/pre-trade/blogger-detail/5be2ad66c548e1000124cf47?track_id=kolSimilar_775c8898ee3844d0bf65b4fae0758307&amp;source=Advertiser_Similar_Kol</t>
        </is>
      </c>
      <c r="G53" s="19" t="inlineStr">
        <is>
          <t>https://www.xiaohongshu.com/user/profile/5be2ad66c548e1000124cf47</t>
        </is>
      </c>
      <c r="H53" s="18" t="n"/>
      <c r="I53" s="18" t="inlineStr">
        <is>
          <t>家居家装</t>
        </is>
      </c>
      <c r="J53" s="18" t="n"/>
      <c r="K53" s="18" t="n"/>
      <c r="L53" s="18" t="n"/>
      <c r="M53" s="18" t="n"/>
      <c r="N53" s="18" t="n"/>
      <c r="O53" s="18" t="n"/>
      <c r="P53" s="18" t="n"/>
      <c r="Q53" s="20">
        <f>P53/Z53</f>
        <v/>
      </c>
      <c r="R53" s="20">
        <f>P53/AA53</f>
        <v/>
      </c>
      <c r="S53" s="18" t="n"/>
      <c r="T53" s="18" t="n"/>
      <c r="U53" s="21" t="n">
        <v>0.08</v>
      </c>
      <c r="V53" s="21" t="n">
        <v>0.38</v>
      </c>
      <c r="W53" s="21" t="n">
        <v>0.33</v>
      </c>
      <c r="X53" s="18" t="n"/>
      <c r="Y53" s="18" t="n"/>
      <c r="Z53" s="22" t="n"/>
      <c r="AA53" s="18" t="n"/>
    </row>
    <row r="54">
      <c r="A54" s="7" t="inlineStr">
        <is>
          <t>ok</t>
        </is>
      </c>
      <c r="B54" s="131" t="n"/>
      <c r="C54" s="18" t="inlineStr">
        <is>
          <t>品牌</t>
        </is>
      </c>
      <c r="D54" s="19" t="inlineStr">
        <is>
          <t>家里装修过程和diy改造，关注的粉丝对家装都是有兴趣的</t>
        </is>
      </c>
      <c r="E54" s="18" t="inlineStr">
        <is>
          <t>小陈同学装修vlog</t>
        </is>
      </c>
      <c r="F54" s="7" t="inlineStr">
        <is>
          <t>https://pgy.xiaohongshu.com/solar/pre-trade/blogger-detail/5e060da600000000010013be?track_id=kolSimilar_775c8898ee3844d0bf65b4fae0758307&amp;source=Advertiser_Similar_Kol</t>
        </is>
      </c>
      <c r="G54" s="19" t="inlineStr">
        <is>
          <t>https://www.xiaohongshu.com/user/profile/5e060da600000000010013be</t>
        </is>
      </c>
      <c r="H54" s="18" t="n">
        <v>489427039</v>
      </c>
      <c r="I54" s="18" t="inlineStr">
        <is>
          <t>家居家装</t>
        </is>
      </c>
      <c r="J54" s="18" t="n"/>
      <c r="K54" s="18" t="n"/>
      <c r="L54" s="18" t="inlineStr">
        <is>
          <t>肩部</t>
        </is>
      </c>
      <c r="M54" s="18" t="n">
        <v>36</v>
      </c>
      <c r="N54" s="18" t="n">
        <v>445</v>
      </c>
      <c r="O54" s="18" t="n">
        <v>36800</v>
      </c>
      <c r="P54" s="18">
        <f>O54*1.1</f>
        <v/>
      </c>
      <c r="Q54" s="20">
        <f>P54/Z54</f>
        <v/>
      </c>
      <c r="R54" s="20">
        <f>P54/AA54</f>
        <v/>
      </c>
      <c r="S54" s="18" t="inlineStr">
        <is>
          <t>视频</t>
        </is>
      </c>
      <c r="T54" s="21" t="n">
        <v>0.8</v>
      </c>
      <c r="U54" s="21" t="n">
        <v>0.15</v>
      </c>
      <c r="V54" s="21" t="n">
        <v>0.5</v>
      </c>
      <c r="W54" s="21" t="n">
        <v>0.23</v>
      </c>
      <c r="X54" s="21" t="n">
        <v>0.48</v>
      </c>
      <c r="Y54" s="21" t="n">
        <v>0.17</v>
      </c>
      <c r="Z54" s="22" t="n">
        <v>50723</v>
      </c>
      <c r="AA54" s="22" t="n">
        <v>1120</v>
      </c>
    </row>
    <row r="55">
      <c r="A55" s="7" t="inlineStr">
        <is>
          <t>调性不符合</t>
        </is>
      </c>
      <c r="B55" s="131" t="n"/>
      <c r="C55" s="18" t="inlineStr">
        <is>
          <t>品牌</t>
        </is>
      </c>
      <c r="D55" s="19" t="n"/>
      <c r="E55" s="18" t="inlineStr">
        <is>
          <t>陈Hello.(装修发疯版）</t>
        </is>
      </c>
      <c r="F55" s="7" t="inlineStr">
        <is>
          <t>https://pgy.xiaohongshu.com/solar/pre-trade/blogger-detail/5aa22ceb4eacab7fd1081ade?track_id=kolSimilar_775c8898ee3844d0bf65b4fae0758307&amp;source=Advertiser_Similar_Kol</t>
        </is>
      </c>
      <c r="G55" s="19" t="inlineStr">
        <is>
          <t>https://www.xiaohongshu.com/user/profile/5aa22ceb4eacab7fd1081ade</t>
        </is>
      </c>
      <c r="H55" s="18" t="n"/>
      <c r="I55" s="18" t="inlineStr">
        <is>
          <t>家居家装</t>
        </is>
      </c>
      <c r="J55" s="18" t="n"/>
      <c r="K55" s="18" t="n"/>
      <c r="L55" s="18" t="n"/>
      <c r="M55" s="18" t="n"/>
      <c r="N55" s="18" t="n"/>
      <c r="O55" s="18" t="n"/>
      <c r="P55" s="18">
        <f>O55*1.1</f>
        <v/>
      </c>
      <c r="Q55" s="20">
        <f>P55/Z55</f>
        <v/>
      </c>
      <c r="R55" s="20">
        <f>P55/AA55</f>
        <v/>
      </c>
      <c r="S55" s="18" t="n"/>
      <c r="T55" s="18" t="n"/>
      <c r="U55" s="21" t="n">
        <v>0.13</v>
      </c>
      <c r="V55" s="21" t="n">
        <v>0.44</v>
      </c>
      <c r="W55" s="21" t="n">
        <v>0.28</v>
      </c>
      <c r="X55" s="18" t="n"/>
      <c r="Y55" s="18" t="n"/>
      <c r="Z55" s="18" t="n"/>
      <c r="AA55" s="18" t="n"/>
    </row>
    <row r="56">
      <c r="A56" s="7" t="inlineStr">
        <is>
          <t>调性不符合</t>
        </is>
      </c>
      <c r="C56" s="18" t="inlineStr">
        <is>
          <t>品牌</t>
        </is>
      </c>
      <c r="D56" s="19" t="n"/>
      <c r="E56" s="18" t="inlineStr">
        <is>
          <t>路杨的日记</t>
        </is>
      </c>
      <c r="F56" s="7" t="inlineStr">
        <is>
          <t>https://pgy.xiaohongshu.com/solar/pre-trade/blogger-detail/58a531af6a6a697ce5300f79?track_id=kolSimilar_775c8898ee3844d0bf65b4fae0758307&amp;source=Advertiser_Similar_Kol</t>
        </is>
      </c>
      <c r="G56" s="19" t="inlineStr">
        <is>
          <t>https://www.xiaohongshu.com/user/profile/58a531af6a6a697ce5300f79</t>
        </is>
      </c>
      <c r="H56" s="18" t="n"/>
      <c r="I56" s="18" t="inlineStr">
        <is>
          <t>家居家装</t>
        </is>
      </c>
      <c r="J56" s="18" t="n"/>
      <c r="K56" s="18" t="n"/>
      <c r="L56" s="18" t="n"/>
      <c r="M56" s="18" t="n"/>
      <c r="N56" s="18" t="n"/>
      <c r="O56" s="18" t="n"/>
      <c r="P56" s="18">
        <f>O56*1.1</f>
        <v/>
      </c>
      <c r="Q56" s="20">
        <f>P56/Z56</f>
        <v/>
      </c>
      <c r="R56" s="20">
        <f>P56/AA56</f>
        <v/>
      </c>
      <c r="S56" s="18" t="n"/>
      <c r="T56" s="18" t="n"/>
      <c r="U56" s="21" t="n">
        <v>0.22</v>
      </c>
      <c r="V56" s="21" t="n">
        <v>0.42</v>
      </c>
      <c r="W56" s="21" t="n">
        <v>0.18</v>
      </c>
      <c r="X56" s="18" t="n"/>
      <c r="Y56" s="18" t="n"/>
      <c r="Z56" s="18" t="n"/>
      <c r="AA56" s="18" t="n"/>
    </row>
    <row r="57">
      <c r="A57" s="7" t="inlineStr">
        <is>
          <t>ok</t>
        </is>
      </c>
      <c r="C57" s="18" t="inlineStr">
        <is>
          <t>品牌</t>
        </is>
      </c>
      <c r="D57" s="19" t="inlineStr">
        <is>
          <t>DIY手工  整体调性很不错</t>
        </is>
      </c>
      <c r="E57" s="18" t="inlineStr">
        <is>
          <t>张闲人</t>
        </is>
      </c>
      <c r="F57" s="7" t="inlineStr">
        <is>
          <t>https://pgy.xiaohongshu.com/solar/pre-trade/blogger-detail/63daec1c0000000026004f03?track_id=kolSimilar_775c8898ee3844d0bf65b4fae0758307&amp;source=Advertiser_Similar_Kol</t>
        </is>
      </c>
      <c r="G57" s="19" t="inlineStr">
        <is>
          <t>https://www.xiaohongshu.com/user/profile/63daec1c0000000026004f03</t>
        </is>
      </c>
      <c r="H57" s="18" t="n">
        <v>5066953993</v>
      </c>
      <c r="I57" s="18" t="inlineStr">
        <is>
          <t>家居家装</t>
        </is>
      </c>
      <c r="J57" s="18" t="n"/>
      <c r="K57" s="18" t="n"/>
      <c r="L57" s="18" t="inlineStr">
        <is>
          <t>腰部</t>
        </is>
      </c>
      <c r="M57" s="18" t="n">
        <v>10.4</v>
      </c>
      <c r="N57" s="18" t="n">
        <v>43.8</v>
      </c>
      <c r="O57" s="22" t="n">
        <v>19500</v>
      </c>
      <c r="P57" s="18">
        <f>O57*1.1</f>
        <v/>
      </c>
      <c r="Q57" s="20">
        <f>P57/Z57</f>
        <v/>
      </c>
      <c r="R57" s="20">
        <f>P57/AA57</f>
        <v/>
      </c>
      <c r="S57" s="18" t="inlineStr">
        <is>
          <t>视频</t>
        </is>
      </c>
      <c r="T57" s="21" t="n">
        <v>0.58</v>
      </c>
      <c r="U57" s="21" t="n">
        <v>0.06</v>
      </c>
      <c r="V57" s="21" t="n">
        <v>0.31</v>
      </c>
      <c r="W57" s="21" t="n">
        <v>0.37</v>
      </c>
      <c r="X57" s="21" t="n">
        <v>0.36</v>
      </c>
      <c r="Y57" s="21" t="n">
        <v>0.22</v>
      </c>
      <c r="Z57" s="22" t="n">
        <v>51788</v>
      </c>
      <c r="AA57" s="22" t="n">
        <v>18014</v>
      </c>
    </row>
    <row r="58">
      <c r="A58" s="7" t="inlineStr">
        <is>
          <t>ok</t>
        </is>
      </c>
      <c r="C58" s="18" t="inlineStr">
        <is>
          <t>品牌</t>
        </is>
      </c>
      <c r="D58" s="19" t="inlineStr">
        <is>
          <t>野生博主 简约高级家装</t>
        </is>
      </c>
      <c r="E58" s="18" t="inlineStr">
        <is>
          <t>小刘爱自装</t>
        </is>
      </c>
      <c r="F58" s="7" t="inlineStr">
        <is>
          <t>https://pgy.xiaohongshu.com/solar/pre-trade/blogger-detail/5c13bce2000000000502a5ca?track_id=kolSimilar_6797ccb940ce449abeadd5aa23f9d5e2&amp;source=Advertiser_Similar_Kol</t>
        </is>
      </c>
      <c r="G58" s="19" t="inlineStr">
        <is>
          <t>https://www.xiaohongshu.com/user/profile/5c13bce2000000000502a5ca</t>
        </is>
      </c>
      <c r="H58" s="18" t="n">
        <v>546702513</v>
      </c>
      <c r="I58" s="18" t="inlineStr">
        <is>
          <t>家居家装</t>
        </is>
      </c>
      <c r="J58" s="18" t="n"/>
      <c r="K58" s="18" t="n"/>
      <c r="L58" s="18" t="inlineStr">
        <is>
          <t>尾部</t>
        </is>
      </c>
      <c r="M58" s="18" t="n">
        <v>2.6</v>
      </c>
      <c r="N58" s="18" t="n">
        <v>22.5</v>
      </c>
      <c r="O58" s="22" t="n">
        <v>7500</v>
      </c>
      <c r="P58" s="18">
        <f>O58*1.1</f>
        <v/>
      </c>
      <c r="Q58" s="20">
        <f>P58/Z58</f>
        <v/>
      </c>
      <c r="R58" s="20">
        <f>P58/AA58</f>
        <v/>
      </c>
      <c r="S58" s="18" t="inlineStr">
        <is>
          <t>图文</t>
        </is>
      </c>
      <c r="T58" s="21" t="n">
        <v>0.8</v>
      </c>
      <c r="U58" s="21" t="n">
        <v>0.06</v>
      </c>
      <c r="V58" s="21" t="n">
        <v>0.53</v>
      </c>
      <c r="W58" s="21" t="n">
        <v>0.29</v>
      </c>
      <c r="X58" s="21" t="n">
        <v>0.58</v>
      </c>
      <c r="Y58" s="21" t="n">
        <v>0.18</v>
      </c>
      <c r="Z58" s="22" t="n">
        <v>23611</v>
      </c>
      <c r="AA58" s="22" t="n">
        <v>1060</v>
      </c>
    </row>
    <row r="59">
      <c r="A59" s="7" t="inlineStr">
        <is>
          <t>ok</t>
        </is>
      </c>
      <c r="C59" s="18" t="inlineStr">
        <is>
          <t>品牌</t>
        </is>
      </c>
      <c r="D59" s="19" t="inlineStr">
        <is>
          <t>一家三口，是父母的角色，可以贴合产品静音的卖点</t>
        </is>
      </c>
      <c r="E59" s="18" t="inlineStr">
        <is>
          <t>🎀jasmine🎀</t>
        </is>
      </c>
      <c r="F59" s="7" t="inlineStr">
        <is>
          <t>https://pgy.xiaohongshu.com/solar/pre-trade/blogger-detail/5784ffb850c4b433370bcdec?track_id=kolSimilar_6797ccb940ce449abeadd5aa23f9d5e2&amp;source=Advertiser_Similar_Kol</t>
        </is>
      </c>
      <c r="G59" s="19" t="inlineStr">
        <is>
          <t>https://www.xiaohongshu.com/user/profile/5784ffb850c4b433370bcdec</t>
        </is>
      </c>
      <c r="H59" s="18" t="inlineStr">
        <is>
          <t>jasmine901127</t>
        </is>
      </c>
      <c r="I59" s="18" t="inlineStr">
        <is>
          <t>家居家装</t>
        </is>
      </c>
      <c r="J59" s="18" t="n"/>
      <c r="K59" s="18" t="n"/>
      <c r="L59" s="18" t="inlineStr">
        <is>
          <t>尾部</t>
        </is>
      </c>
      <c r="M59" s="18" t="n">
        <v>4.6</v>
      </c>
      <c r="N59" s="18" t="n">
        <v>47.4</v>
      </c>
      <c r="O59" s="22" t="n">
        <v>8500</v>
      </c>
      <c r="P59" s="18">
        <f>O59*1.1</f>
        <v/>
      </c>
      <c r="Q59" s="20">
        <f>P59/Z59</f>
        <v/>
      </c>
      <c r="R59" s="20">
        <f>P59/AA59</f>
        <v/>
      </c>
      <c r="S59" s="18" t="inlineStr">
        <is>
          <t>图文</t>
        </is>
      </c>
      <c r="T59" s="21" t="n">
        <v>0.8</v>
      </c>
      <c r="U59" s="21" t="n">
        <v>0.11</v>
      </c>
      <c r="V59" s="21" t="n">
        <v>0.48</v>
      </c>
      <c r="W59" s="21" t="n">
        <v>0.29</v>
      </c>
      <c r="X59" s="21" t="n">
        <v>0.53</v>
      </c>
      <c r="Y59" s="21" t="n">
        <v>0.15</v>
      </c>
      <c r="Z59" s="22" t="n">
        <v>14106</v>
      </c>
      <c r="AA59" s="18" t="n">
        <v>626</v>
      </c>
    </row>
    <row r="60">
      <c r="A60" s="7" t="inlineStr">
        <is>
          <t>ok</t>
        </is>
      </c>
      <c r="C60" s="18" t="inlineStr">
        <is>
          <t>品牌</t>
        </is>
      </c>
      <c r="D60" s="19" t="inlineStr">
        <is>
          <t>拥有一个40平的小花园</t>
        </is>
      </c>
      <c r="E60" s="138" t="inlineStr">
        <is>
          <t>June</t>
        </is>
      </c>
      <c r="F60" s="7" t="inlineStr">
        <is>
          <t>https://pgy.xiaohongshu.com/solar/pre-trade/blogger-detail/5a65ed3b11be1074e48a26be?track_id=kolSimilar_1bc940eb10344e3599eb4e99fdbd89fc&amp;source=Advertiser_Similar_Kol</t>
        </is>
      </c>
      <c r="G60" s="19" t="inlineStr">
        <is>
          <t>https://www.xiaohongshu.com/user/profile/5a65ed3b11be1074e48a26be</t>
        </is>
      </c>
      <c r="H60" s="18" t="inlineStr">
        <is>
          <t>June219922</t>
        </is>
      </c>
      <c r="I60" s="18" t="inlineStr">
        <is>
          <t>家居家装</t>
        </is>
      </c>
      <c r="J60" s="18" t="n"/>
      <c r="K60" s="18" t="n"/>
      <c r="L60" s="18" t="inlineStr">
        <is>
          <t>尾部</t>
        </is>
      </c>
      <c r="M60" s="18" t="n">
        <v>3.9</v>
      </c>
      <c r="N60" s="18" t="n">
        <v>26.5</v>
      </c>
      <c r="O60" s="22" t="n">
        <v>5600</v>
      </c>
      <c r="P60" s="18">
        <f>O60*1.1</f>
        <v/>
      </c>
      <c r="Q60" s="20">
        <f>P60/Z60</f>
        <v/>
      </c>
      <c r="R60" s="20">
        <f>P60/AA60</f>
        <v/>
      </c>
      <c r="S60" s="18" t="inlineStr">
        <is>
          <t>视频</t>
        </is>
      </c>
      <c r="T60" s="21" t="n">
        <v>0.8</v>
      </c>
      <c r="U60" s="21" t="n">
        <v>0.08</v>
      </c>
      <c r="V60" s="21" t="n">
        <v>0.3</v>
      </c>
      <c r="W60" s="21" t="n">
        <v>0.36</v>
      </c>
      <c r="X60" s="21" t="n">
        <v>0.38</v>
      </c>
      <c r="Y60" s="21" t="n">
        <v>0.25</v>
      </c>
      <c r="Z60" s="22" t="n">
        <v>11410</v>
      </c>
      <c r="AA60" s="18" t="n">
        <v>254</v>
      </c>
    </row>
    <row r="61">
      <c r="A61" s="7" t="inlineStr">
        <is>
          <t>ok</t>
        </is>
      </c>
      <c r="C61" s="18" t="inlineStr">
        <is>
          <t>品牌</t>
        </is>
      </c>
      <c r="D61" s="19" t="inlineStr">
        <is>
          <t>高级装修风格，独立少女的家居垂直账号</t>
        </is>
      </c>
      <c r="E61" s="18" t="inlineStr">
        <is>
          <t>爱折腾家的惠儿</t>
        </is>
      </c>
      <c r="F61" s="7" t="inlineStr">
        <is>
          <t>https://pgy.xiaohongshu.com/solar/pre-trade/blogger-detail/5a5a77864eacab15573f237d?track_id=kolSimilar_1bc940eb10344e3599eb4e99fdbd89fc&amp;source=Advertiser_Similar_Kol</t>
        </is>
      </c>
      <c r="G61" s="19" t="inlineStr">
        <is>
          <t>https://www.xiaohongshu.com/user/profile/5a5a77864eacab15573f237d</t>
        </is>
      </c>
      <c r="H61" s="18" t="inlineStr">
        <is>
          <t>H861871186</t>
        </is>
      </c>
      <c r="I61" s="18" t="inlineStr">
        <is>
          <t>家居家装</t>
        </is>
      </c>
      <c r="J61" s="18" t="n"/>
      <c r="K61" s="18" t="n"/>
      <c r="L61" s="18" t="inlineStr">
        <is>
          <t>尾部</t>
        </is>
      </c>
      <c r="M61" s="18" t="n">
        <v>4.4</v>
      </c>
      <c r="N61" s="18" t="n">
        <v>56</v>
      </c>
      <c r="O61" s="22" t="n">
        <v>8500</v>
      </c>
      <c r="P61" s="18">
        <f>O61*1.1</f>
        <v/>
      </c>
      <c r="Q61" s="20">
        <f>P61/Z61</f>
        <v/>
      </c>
      <c r="R61" s="20">
        <f>P61/AA61</f>
        <v/>
      </c>
      <c r="S61" s="18" t="inlineStr">
        <is>
          <t>图文</t>
        </is>
      </c>
      <c r="T61" s="21" t="n">
        <v>0.88</v>
      </c>
      <c r="U61" s="21" t="n">
        <v>0.1</v>
      </c>
      <c r="V61" s="21" t="n">
        <v>0.46</v>
      </c>
      <c r="W61" s="21" t="n">
        <v>0.29</v>
      </c>
      <c r="X61" s="21" t="n">
        <v>0.59</v>
      </c>
      <c r="Y61" s="21" t="n">
        <v>0.17</v>
      </c>
      <c r="Z61" s="22" t="n">
        <v>6874</v>
      </c>
      <c r="AA61" s="18" t="n">
        <v>427</v>
      </c>
    </row>
    <row r="62">
      <c r="A62" s="7" t="inlineStr">
        <is>
          <t>ok</t>
        </is>
      </c>
      <c r="C62" s="18" t="inlineStr">
        <is>
          <t>品牌</t>
        </is>
      </c>
      <c r="D62" s="19" t="inlineStr">
        <is>
          <t>210平江景大平层</t>
        </is>
      </c>
      <c r="E62" s="18" t="inlineStr">
        <is>
          <t>魔仙儿和嘟宝</t>
        </is>
      </c>
      <c r="F62" s="7" t="inlineStr">
        <is>
          <t>https://pgy.xiaohongshu.com/solar/pre-trade/blogger-detail/5c62610f0000000011038869?track_id=kolSimilar_1bc940eb10344e3599eb4e99fdbd89fc&amp;source=Advertiser_Similar_Kol</t>
        </is>
      </c>
      <c r="G62" s="19" t="inlineStr">
        <is>
          <t>https://www.xiaohongshu.com/user/profile/5c62610f0000000011038869</t>
        </is>
      </c>
      <c r="H62" s="18" t="n">
        <v>550080740</v>
      </c>
      <c r="I62" s="18" t="inlineStr">
        <is>
          <t>家居家装</t>
        </is>
      </c>
      <c r="J62" s="18" t="n"/>
      <c r="K62" s="18" t="n"/>
      <c r="L62" s="18" t="inlineStr">
        <is>
          <t>尾部</t>
        </is>
      </c>
      <c r="M62" s="18" t="n">
        <v>3.4</v>
      </c>
      <c r="N62" s="18" t="n">
        <v>15.6</v>
      </c>
      <c r="O62" s="22" t="n">
        <v>15800</v>
      </c>
      <c r="P62" s="18">
        <f>O62*1.1</f>
        <v/>
      </c>
      <c r="Q62" s="20">
        <f>P62/Z62</f>
        <v/>
      </c>
      <c r="R62" s="20">
        <f>P62/AA62</f>
        <v/>
      </c>
      <c r="S62" s="18" t="inlineStr">
        <is>
          <t>视频</t>
        </is>
      </c>
      <c r="T62" s="21" t="n">
        <v>0.76</v>
      </c>
      <c r="U62" s="21" t="n">
        <v>0.22</v>
      </c>
      <c r="V62" s="21" t="n">
        <v>0.36</v>
      </c>
      <c r="W62" s="21" t="n">
        <v>0.24</v>
      </c>
      <c r="X62" s="21" t="n">
        <v>0.41</v>
      </c>
      <c r="Y62" s="21" t="n">
        <v>0.18</v>
      </c>
      <c r="Z62" s="22" t="n">
        <v>29895</v>
      </c>
      <c r="AA62" s="18" t="n">
        <v>643</v>
      </c>
    </row>
    <row r="63">
      <c r="A63" s="7" t="inlineStr">
        <is>
          <t>调性差了一点，厨房也比较小</t>
        </is>
      </c>
      <c r="C63" s="18" t="inlineStr">
        <is>
          <t>品牌</t>
        </is>
      </c>
      <c r="D63" s="19" t="n"/>
      <c r="E63" s="18" t="inlineStr">
        <is>
          <t>花花在家</t>
        </is>
      </c>
      <c r="F63" s="7" t="inlineStr">
        <is>
          <t>https://pgy.xiaohongshu.com/solar/pre-trade/blogger-detail/57e4db186a6a6965c733a4ea?track_id=kolSimilar_1bc940eb10344e3599eb4e99fdbd89fc&amp;source=Advertiser_Similar_Kol</t>
        </is>
      </c>
      <c r="G63" s="19" t="inlineStr">
        <is>
          <t>https://www.xiaohongshu.com/user/profile/57e4db186a6a6965c733a4ea</t>
        </is>
      </c>
      <c r="H63" s="18" t="n"/>
      <c r="I63" s="18" t="inlineStr">
        <is>
          <t>家居家装</t>
        </is>
      </c>
      <c r="J63" s="18" t="n"/>
      <c r="K63" s="18" t="n"/>
      <c r="L63" s="18" t="n"/>
      <c r="M63" s="18" t="n"/>
      <c r="N63" s="18" t="n"/>
      <c r="O63" s="18" t="n"/>
      <c r="P63" s="18">
        <f>O63*1.1</f>
        <v/>
      </c>
      <c r="Q63" s="20">
        <f>P63/Z63</f>
        <v/>
      </c>
      <c r="R63" s="20">
        <f>P63/AA63</f>
        <v/>
      </c>
      <c r="S63" s="18" t="n"/>
      <c r="T63" s="18" t="n"/>
      <c r="U63" s="21" t="n">
        <v>0.09</v>
      </c>
      <c r="V63" s="21" t="n">
        <v>0.36</v>
      </c>
      <c r="W63" s="21" t="n">
        <v>0.37</v>
      </c>
      <c r="X63" s="18" t="n"/>
      <c r="Y63" s="18" t="n"/>
      <c r="Z63" s="18" t="n"/>
      <c r="AA63" s="18" t="n"/>
    </row>
    <row r="64">
      <c r="A64" s="7" t="inlineStr">
        <is>
          <t>ok</t>
        </is>
      </c>
      <c r="C64" s="18" t="inlineStr">
        <is>
          <t>品牌</t>
        </is>
      </c>
      <c r="D64" s="19" t="inlineStr">
        <is>
          <t>套内167平+花园150平，用户最感兴趣的内容类型为家居家装</t>
        </is>
      </c>
      <c r="E64" s="18" t="inlineStr">
        <is>
          <t>张小媛（软装中🍃）</t>
        </is>
      </c>
      <c r="F64" s="7" t="inlineStr">
        <is>
          <t>https://pgy.xiaohongshu.com/solar/pre-trade/blogger-detail/5eab78110000000001002638?track_id=kolSimilar_1bc940eb10344e3599eb4e99fdbd89fc&amp;source=Advertiser_Similar_Kol</t>
        </is>
      </c>
      <c r="G64" s="19" t="inlineStr">
        <is>
          <t>https://www.xiaohongshu.com/user/profile/5eab78110000000001002638</t>
        </is>
      </c>
      <c r="H64" s="18" t="inlineStr">
        <is>
          <t>zhangyy0515</t>
        </is>
      </c>
      <c r="I64" s="18" t="inlineStr">
        <is>
          <t>家居家装</t>
        </is>
      </c>
      <c r="J64" s="18" t="n"/>
      <c r="K64" s="18" t="n"/>
      <c r="L64" s="18" t="inlineStr">
        <is>
          <t>尾部</t>
        </is>
      </c>
      <c r="M64" s="18" t="n">
        <v>3.7</v>
      </c>
      <c r="N64" s="18" t="n">
        <v>48.4</v>
      </c>
      <c r="O64" s="22" t="n">
        <v>10000</v>
      </c>
      <c r="P64" s="18">
        <f>O64*1.1</f>
        <v/>
      </c>
      <c r="Q64" s="20">
        <f>P64/Z64</f>
        <v/>
      </c>
      <c r="R64" s="20">
        <f>P64/AA64</f>
        <v/>
      </c>
      <c r="S64" s="18" t="inlineStr">
        <is>
          <t>视频</t>
        </is>
      </c>
      <c r="T64" s="21" t="n">
        <v>0.77</v>
      </c>
      <c r="U64" s="21" t="n">
        <v>0.19</v>
      </c>
      <c r="V64" s="21" t="n">
        <v>0.36</v>
      </c>
      <c r="W64" s="21" t="n">
        <v>0.25</v>
      </c>
      <c r="X64" s="21" t="n">
        <v>0.38</v>
      </c>
      <c r="Y64" s="21" t="n">
        <v>0.22</v>
      </c>
      <c r="Z64" s="22" t="n">
        <v>45261</v>
      </c>
      <c r="AA64" s="18" t="n">
        <v>518</v>
      </c>
    </row>
    <row r="65">
      <c r="A65" s="7" t="inlineStr">
        <is>
          <t>ok</t>
        </is>
      </c>
      <c r="C65" s="18" t="inlineStr">
        <is>
          <t>品牌</t>
        </is>
      </c>
      <c r="D65" s="19" t="inlineStr">
        <is>
          <t>童话风厨房</t>
        </is>
      </c>
      <c r="E65" s="18" t="inlineStr">
        <is>
          <t>小开心没烦恼</t>
        </is>
      </c>
      <c r="F65" s="7" t="inlineStr">
        <is>
          <t>https://pgy.xiaohongshu.com/solar/pre-trade/blogger-detail/5cee3f6b0000000018030cca?track_id=kolSimilar_1bc940eb10344e3599eb4e99fdbd89fc&amp;source=Advertiser_Similar_Kol</t>
        </is>
      </c>
      <c r="G65" s="19" t="inlineStr">
        <is>
          <t>https://www.xiaohongshu.com/user/profile/5cee3f6b0000000018030cca</t>
        </is>
      </c>
      <c r="H65" s="18" t="n">
        <v>589435259</v>
      </c>
      <c r="I65" s="18" t="inlineStr">
        <is>
          <t>家居家装</t>
        </is>
      </c>
      <c r="J65" s="18" t="n"/>
      <c r="K65" s="18" t="n"/>
      <c r="L65" s="18" t="inlineStr">
        <is>
          <t>尾部</t>
        </is>
      </c>
      <c r="M65" s="18" t="n">
        <v>3.8</v>
      </c>
      <c r="N65" s="18" t="n">
        <v>40.1</v>
      </c>
      <c r="O65" s="22" t="n">
        <v>10000</v>
      </c>
      <c r="P65" s="18">
        <f>O65*1.1</f>
        <v/>
      </c>
      <c r="Q65" s="20">
        <f>P65/Z65</f>
        <v/>
      </c>
      <c r="R65" s="20">
        <f>P65/AA65</f>
        <v/>
      </c>
      <c r="S65" s="18" t="inlineStr">
        <is>
          <t>视频</t>
        </is>
      </c>
      <c r="T65" s="21" t="n">
        <v>0.92</v>
      </c>
      <c r="U65" s="21" t="n">
        <v>0.17</v>
      </c>
      <c r="V65" s="21" t="n">
        <v>0.41</v>
      </c>
      <c r="W65" s="21" t="n">
        <v>0.26</v>
      </c>
      <c r="X65" s="21" t="n">
        <v>0.44</v>
      </c>
      <c r="Y65" s="21" t="n">
        <v>0.16</v>
      </c>
      <c r="Z65" s="22" t="n">
        <v>15028</v>
      </c>
      <c r="AA65" s="22" t="n">
        <v>4585</v>
      </c>
    </row>
    <row r="66">
      <c r="A66" s="7" t="inlineStr">
        <is>
          <t>ok</t>
        </is>
      </c>
      <c r="C66" s="18" t="inlineStr">
        <is>
          <t>品牌</t>
        </is>
      </c>
      <c r="D66" s="19" t="inlineStr">
        <is>
          <t>性价比高</t>
        </is>
      </c>
      <c r="E66" s="18" t="inlineStr">
        <is>
          <t>Ling熙</t>
        </is>
      </c>
      <c r="F66" s="7" t="inlineStr">
        <is>
          <t>https://pgy.xiaohongshu.com/solar/pre-trade/blogger-detail/5c25acc2000000000700dbaf?track_id=kolSimilar_1bc940eb10344e3599eb4e99fdbd89fc&amp;source=Advertiser_Similar_Kol</t>
        </is>
      </c>
      <c r="G66" s="19" t="inlineStr">
        <is>
          <t>https://www.xiaohongshu.com/user/profile/5c25acc2000000000700dbaf</t>
        </is>
      </c>
      <c r="H66" s="18" t="inlineStr">
        <is>
          <t>Lingxixi9494</t>
        </is>
      </c>
      <c r="I66" s="18" t="inlineStr">
        <is>
          <t>家居家装</t>
        </is>
      </c>
      <c r="J66" s="18" t="n"/>
      <c r="K66" s="18" t="n"/>
      <c r="L66" s="18" t="inlineStr">
        <is>
          <t>尾部</t>
        </is>
      </c>
      <c r="M66" s="18" t="n">
        <v>2.2</v>
      </c>
      <c r="N66" s="18" t="n">
        <v>23.1</v>
      </c>
      <c r="O66" s="22" t="n">
        <v>4800</v>
      </c>
      <c r="P66" s="18">
        <f>O66*1.1</f>
        <v/>
      </c>
      <c r="Q66" s="20">
        <f>P66/Z66</f>
        <v/>
      </c>
      <c r="R66" s="20">
        <f>P66/AA66</f>
        <v/>
      </c>
      <c r="S66" s="18" t="inlineStr">
        <is>
          <t>视频</t>
        </is>
      </c>
      <c r="T66" s="21" t="n">
        <v>0.78</v>
      </c>
      <c r="U66" s="21" t="n">
        <v>0.14</v>
      </c>
      <c r="V66" s="21" t="n">
        <v>0.42</v>
      </c>
      <c r="W66" s="21" t="n">
        <v>0.28</v>
      </c>
      <c r="X66" s="21" t="n">
        <v>0.43</v>
      </c>
      <c r="Y66" s="21" t="n">
        <v>0.18</v>
      </c>
      <c r="Z66" s="22" t="n">
        <v>18958</v>
      </c>
      <c r="AA66" s="18" t="n">
        <v>569</v>
      </c>
    </row>
    <row r="67">
      <c r="A67" s="7" t="inlineStr">
        <is>
          <t>ok</t>
        </is>
      </c>
      <c r="C67" s="18" t="inlineStr">
        <is>
          <t>品牌</t>
        </is>
      </c>
      <c r="D67" s="19" t="inlineStr">
        <is>
          <t>前家居行业编导，有专业知识背书</t>
        </is>
      </c>
      <c r="E67" s="18" t="inlineStr">
        <is>
          <t>切梨几</t>
        </is>
      </c>
      <c r="F67" s="7" t="inlineStr">
        <is>
          <t>https://pgy.xiaohongshu.com/solar/pre-trade/blogger-detail/57bee2476a6a6937b03a3b68?track_id=kolSimilar_c2a66d17ee364fa285425294a5b1ccfb&amp;source=Advertiser_Similar_Kol</t>
        </is>
      </c>
      <c r="G67" s="19" t="inlineStr">
        <is>
          <t>https://www.xiaohongshu.com/user/profile/57bee2476a6a6937b03a3b68</t>
        </is>
      </c>
      <c r="H67" s="18" t="n">
        <v>109825855</v>
      </c>
      <c r="I67" s="18" t="inlineStr">
        <is>
          <t>家居家装</t>
        </is>
      </c>
      <c r="J67" s="18" t="n"/>
      <c r="K67" s="18" t="n"/>
      <c r="L67" s="18" t="inlineStr">
        <is>
          <t>尾部</t>
        </is>
      </c>
      <c r="M67" s="18" t="n">
        <v>3.4</v>
      </c>
      <c r="N67" s="18" t="n">
        <v>45.6</v>
      </c>
      <c r="O67" s="22" t="n">
        <v>11000</v>
      </c>
      <c r="P67" s="18">
        <f>O67*1.1</f>
        <v/>
      </c>
      <c r="Q67" s="20">
        <f>P67/Z67</f>
        <v/>
      </c>
      <c r="R67" s="20">
        <f>P67/AA67</f>
        <v/>
      </c>
      <c r="S67" s="18" t="inlineStr">
        <is>
          <t>视频</t>
        </is>
      </c>
      <c r="T67" s="21" t="n">
        <v>0.79</v>
      </c>
      <c r="U67" s="21" t="n">
        <v>0.11</v>
      </c>
      <c r="V67" s="21" t="n">
        <v>0.41</v>
      </c>
      <c r="W67" s="21" t="n">
        <v>0.29</v>
      </c>
      <c r="X67" s="21" t="n">
        <v>0.45</v>
      </c>
      <c r="Y67" s="21" t="n">
        <v>0.18</v>
      </c>
      <c r="Z67" s="22" t="n">
        <v>38766</v>
      </c>
      <c r="AA67" s="22" t="n">
        <v>4712</v>
      </c>
    </row>
    <row r="68">
      <c r="A68" s="7" t="inlineStr">
        <is>
          <t>厨房太拥挤</t>
        </is>
      </c>
      <c r="C68" s="18" t="inlineStr">
        <is>
          <t>品牌</t>
        </is>
      </c>
      <c r="D68" s="19" t="n"/>
      <c r="E68" s="18" t="inlineStr">
        <is>
          <t>米苏Ariel</t>
        </is>
      </c>
      <c r="F68" s="7" t="inlineStr">
        <is>
          <t>https://pgy.xiaohongshu.com/solar/pre-trade/blogger-detail/542a17fe2e1d9378fd428507?track_id=kolSimilar_c2a66d17ee364fa285425294a5b1ccfb&amp;source=Advertiser_Similar_Kol</t>
        </is>
      </c>
      <c r="G68" s="19" t="inlineStr">
        <is>
          <t>https://www.xiaohongshu.com/user/profile/542a17fe2e1d9378fd428507</t>
        </is>
      </c>
      <c r="H68" s="18" t="n"/>
      <c r="I68" s="18" t="inlineStr">
        <is>
          <t>家居家装</t>
        </is>
      </c>
      <c r="J68" s="18" t="n"/>
      <c r="K68" s="18" t="n"/>
      <c r="L68" s="18" t="n"/>
      <c r="M68" s="18" t="n"/>
      <c r="N68" s="18" t="n"/>
      <c r="O68" s="18" t="n"/>
      <c r="P68" s="18">
        <f>O68*1.1</f>
        <v/>
      </c>
      <c r="Q68" s="20">
        <f>P68/Z68</f>
        <v/>
      </c>
      <c r="R68" s="20">
        <f>P68/AA68</f>
        <v/>
      </c>
      <c r="S68" s="18" t="n"/>
      <c r="T68" s="18" t="n"/>
      <c r="U68" s="21" t="n">
        <v>0.05</v>
      </c>
      <c r="V68" s="21" t="n">
        <v>0.34</v>
      </c>
      <c r="W68" s="21" t="n">
        <v>0.37</v>
      </c>
      <c r="X68" s="18" t="n"/>
      <c r="Y68" s="18" t="n"/>
      <c r="Z68" s="18" t="n"/>
      <c r="AA68" s="18" t="n"/>
    </row>
    <row r="69">
      <c r="A69" s="7" t="inlineStr">
        <is>
          <t>ok</t>
        </is>
      </c>
      <c r="C69" s="18" t="inlineStr">
        <is>
          <t>品牌</t>
        </is>
      </c>
      <c r="D69" s="19" t="inlineStr">
        <is>
          <t>30+两娃宝妈 适合产品卖点学生静音</t>
        </is>
      </c>
      <c r="E69" s="18" t="inlineStr">
        <is>
          <t>角落阳光</t>
        </is>
      </c>
      <c r="F69" s="7" t="inlineStr">
        <is>
          <t>https://pgy.xiaohongshu.com/solar/pre-trade/blogger-detail/66c0a6b0000000001d033e39?track_id=kolSimilar_c2a66d17ee364fa285425294a5b1ccfb&amp;source=Advertiser_Similar_Kol</t>
        </is>
      </c>
      <c r="G69" s="19" t="inlineStr">
        <is>
          <t>https://www.xiaohongshu.com/user/profile/66c0a6b0000000001d033e39</t>
        </is>
      </c>
      <c r="H69" s="18" t="n">
        <v>42950780034</v>
      </c>
      <c r="I69" s="18" t="inlineStr">
        <is>
          <t>家居家装</t>
        </is>
      </c>
      <c r="J69" s="18" t="n"/>
      <c r="K69" s="18" t="n"/>
      <c r="L69" s="18" t="inlineStr">
        <is>
          <t>尾部</t>
        </is>
      </c>
      <c r="M69" s="18" t="n">
        <v>2</v>
      </c>
      <c r="N69" s="18" t="n">
        <v>20.7</v>
      </c>
      <c r="O69" s="22" t="n">
        <v>6600</v>
      </c>
      <c r="P69" s="18">
        <f>O69*1.1</f>
        <v/>
      </c>
      <c r="Q69" s="20">
        <f>P69/Z69</f>
        <v/>
      </c>
      <c r="R69" s="20">
        <f>P69/AA69</f>
        <v/>
      </c>
      <c r="S69" s="18" t="inlineStr">
        <is>
          <t>图文</t>
        </is>
      </c>
      <c r="T69" s="21" t="n">
        <v>0.8100000000000001</v>
      </c>
      <c r="U69" s="35" t="n">
        <v>0.055</v>
      </c>
      <c r="V69" s="21" t="n">
        <v>0.34</v>
      </c>
      <c r="W69" s="21" t="n">
        <v>0.43</v>
      </c>
      <c r="X69" s="21" t="n">
        <v>0.51</v>
      </c>
      <c r="Y69" s="21" t="n">
        <v>0.24</v>
      </c>
      <c r="Z69" s="22" t="n">
        <v>15246</v>
      </c>
      <c r="AA69" s="18" t="n">
        <v>595</v>
      </c>
    </row>
    <row r="70">
      <c r="A70" s="7" t="inlineStr">
        <is>
          <t>数据不稳定</t>
        </is>
      </c>
      <c r="C70" s="18" t="inlineStr">
        <is>
          <t>品牌</t>
        </is>
      </c>
      <c r="D70" s="19" t="n"/>
      <c r="E70" s="18" t="inlineStr">
        <is>
          <t>小念念住在原木风</t>
        </is>
      </c>
      <c r="F70" s="7" t="inlineStr">
        <is>
          <t>https://pgy.xiaohongshu.com/solar/pre-trade/blogger-detail/5fbb6bdf000000000100882d?track_id=kolSimilar_c2a66d17ee364fa285425294a5b1ccfb&amp;source=Advertiser_Similar_Kol</t>
        </is>
      </c>
      <c r="G70" s="19" t="inlineStr">
        <is>
          <t>https://www.xiaohongshu.com/user/profile/5fbb6bdf000000000100882d</t>
        </is>
      </c>
      <c r="H70" s="18" t="n"/>
      <c r="I70" s="18" t="inlineStr">
        <is>
          <t>家居家装</t>
        </is>
      </c>
      <c r="J70" s="18" t="n"/>
      <c r="K70" s="18" t="n"/>
      <c r="L70" s="18" t="n"/>
      <c r="M70" s="18" t="n"/>
      <c r="N70" s="18" t="n"/>
      <c r="O70" s="18" t="n"/>
      <c r="P70" s="18">
        <f>O70*1.1</f>
        <v/>
      </c>
      <c r="Q70" s="20">
        <f>P70/Z70</f>
        <v/>
      </c>
      <c r="R70" s="20">
        <f>P70/AA70</f>
        <v/>
      </c>
      <c r="S70" s="18" t="n"/>
      <c r="T70" s="18" t="n"/>
      <c r="U70" s="21" t="n">
        <v>0.09</v>
      </c>
      <c r="V70" s="21" t="n">
        <v>0.44</v>
      </c>
      <c r="W70" s="21" t="n">
        <v>0.26</v>
      </c>
      <c r="X70" s="18" t="n"/>
      <c r="Y70" s="18" t="n"/>
      <c r="Z70" s="18" t="n"/>
      <c r="AA70" s="18" t="n"/>
    </row>
    <row r="71">
      <c r="A71" s="7" t="inlineStr">
        <is>
          <t>没有活人感</t>
        </is>
      </c>
      <c r="C71" s="18" t="inlineStr">
        <is>
          <t>品牌</t>
        </is>
      </c>
      <c r="D71" s="19" t="n"/>
      <c r="E71" s="18" t="inlineStr">
        <is>
          <t>婷玉李李</t>
        </is>
      </c>
      <c r="F71" s="7" t="inlineStr">
        <is>
          <t>https://pgy.xiaohongshu.com/solar/pre-trade/blogger-detail/6372dc46000000001f01d5e5?track_id=kolSimilar_c2a66d17ee364fa285425294a5b1ccfb&amp;source=Advertiser_Similar_Kol</t>
        </is>
      </c>
      <c r="G71" s="19" t="inlineStr">
        <is>
          <t>https://www.xiaohongshu.com/user/profile/6372dc46000000001f01d5e5</t>
        </is>
      </c>
      <c r="H71" s="18" t="n"/>
      <c r="I71" s="18" t="inlineStr">
        <is>
          <t>家居家装</t>
        </is>
      </c>
      <c r="J71" s="18" t="n"/>
      <c r="K71" s="18" t="n"/>
      <c r="L71" s="18" t="n"/>
      <c r="M71" s="18" t="n"/>
      <c r="N71" s="18" t="n"/>
      <c r="O71" s="18" t="n"/>
      <c r="P71" s="18">
        <f>O71*1.1</f>
        <v/>
      </c>
      <c r="Q71" s="20">
        <f>P71/Z71</f>
        <v/>
      </c>
      <c r="R71" s="20">
        <f>P71/AA71</f>
        <v/>
      </c>
      <c r="S71" s="18" t="n"/>
      <c r="T71" s="18" t="n"/>
      <c r="U71" s="21" t="n">
        <v>0.18</v>
      </c>
      <c r="V71" s="21" t="n">
        <v>0.36</v>
      </c>
      <c r="W71" s="21" t="n">
        <v>0.26</v>
      </c>
      <c r="X71" s="18" t="n"/>
      <c r="Y71" s="18" t="n"/>
      <c r="Z71" s="18" t="n"/>
      <c r="AA71" s="18" t="n"/>
    </row>
    <row r="72">
      <c r="A72" s="7" t="inlineStr">
        <is>
          <t>ok</t>
        </is>
      </c>
      <c r="C72" s="18" t="inlineStr">
        <is>
          <t>品牌</t>
        </is>
      </c>
      <c r="D72" s="19" t="inlineStr">
        <is>
          <t>可结合亲子相关卖点内容</t>
        </is>
      </c>
      <c r="E72" s="18" t="inlineStr">
        <is>
          <t>豆豆酱的家</t>
        </is>
      </c>
      <c r="F72" s="7" t="inlineStr">
        <is>
          <t>https://pgy.xiaohongshu.com/solar/pre-trade/blogger-detail/6125ad1a000000000100029e?track_id=kolSimilar_a18d1e180db8486fab6bc8c94513c45d&amp;source=Advertiser_Similar_Kol</t>
        </is>
      </c>
      <c r="G72" s="19" t="inlineStr">
        <is>
          <t>https://www.xiaohongshu.com/user/profile/6125ad1a000000000100029e</t>
        </is>
      </c>
      <c r="H72" s="18" t="n">
        <v>4901794582</v>
      </c>
      <c r="I72" s="18" t="inlineStr">
        <is>
          <t>家居家装</t>
        </is>
      </c>
      <c r="J72" s="18" t="n"/>
      <c r="K72" s="18" t="n"/>
      <c r="L72" s="18" t="inlineStr">
        <is>
          <t>尾部</t>
        </is>
      </c>
      <c r="M72" s="18" t="n">
        <v>1.4</v>
      </c>
      <c r="N72" s="18" t="n">
        <v>19.8</v>
      </c>
      <c r="O72" s="22" t="n">
        <v>4800</v>
      </c>
      <c r="P72" s="18">
        <f>O72*1.1</f>
        <v/>
      </c>
      <c r="Q72" s="20">
        <f>P72/Z72</f>
        <v/>
      </c>
      <c r="R72" s="20">
        <f>P72/AA72</f>
        <v/>
      </c>
      <c r="S72" s="18" t="inlineStr">
        <is>
          <t>图文</t>
        </is>
      </c>
      <c r="T72" s="21" t="n">
        <v>0.92</v>
      </c>
      <c r="U72" s="21" t="n">
        <v>0.04</v>
      </c>
      <c r="V72" s="21" t="n">
        <v>0.55</v>
      </c>
      <c r="W72" s="21" t="n">
        <v>0.35</v>
      </c>
      <c r="X72" s="21" t="n">
        <v>0.64</v>
      </c>
      <c r="Y72" s="21" t="n">
        <v>0.17</v>
      </c>
      <c r="Z72" s="22" t="n">
        <v>6247</v>
      </c>
      <c r="AA72" s="18" t="n">
        <v>576</v>
      </c>
    </row>
    <row r="73">
      <c r="A73" s="7" t="inlineStr">
        <is>
          <t>偏美妆</t>
        </is>
      </c>
      <c r="C73" s="18" t="inlineStr">
        <is>
          <t>品牌</t>
        </is>
      </c>
      <c r="D73" s="19" t="n"/>
      <c r="E73" s="18" t="inlineStr">
        <is>
          <t>你滴葡萄🍇</t>
        </is>
      </c>
      <c r="F73" s="7" t="inlineStr">
        <is>
          <t>https://pgy.xiaohongshu.com/solar/pre-trade/blogger-detail/5407117eb4c4d67090536215?track_id=kolSimilar_a18d1e180db8486fab6bc8c94513c45d&amp;source=Advertiser_Similar_Kol</t>
        </is>
      </c>
      <c r="G73" s="19" t="inlineStr">
        <is>
          <t>https://www.xiaohongshu.com/user/profile/5407117eb4c4d67090536215</t>
        </is>
      </c>
      <c r="H73" s="18" t="n"/>
      <c r="I73" s="18" t="inlineStr">
        <is>
          <t>家居家装</t>
        </is>
      </c>
      <c r="J73" s="18" t="n"/>
      <c r="K73" s="18" t="n"/>
      <c r="L73" s="18" t="n"/>
      <c r="M73" s="18" t="n"/>
      <c r="N73" s="18" t="n"/>
      <c r="O73" s="18" t="n"/>
      <c r="P73" s="18">
        <f>O73*1.1</f>
        <v/>
      </c>
      <c r="Q73" s="20">
        <f>P73/Z73</f>
        <v/>
      </c>
      <c r="R73" s="20">
        <f>P73/AA73</f>
        <v/>
      </c>
      <c r="S73" s="18" t="n"/>
      <c r="T73" s="18" t="n"/>
      <c r="U73" s="21" t="n">
        <v>0.12</v>
      </c>
      <c r="V73" s="21" t="n">
        <v>0.42</v>
      </c>
      <c r="W73" s="21" t="n">
        <v>0.31</v>
      </c>
      <c r="X73" s="18" t="n"/>
      <c r="Y73" s="18" t="n"/>
      <c r="Z73" s="18" t="n"/>
      <c r="AA73" s="18" t="n"/>
    </row>
    <row r="74">
      <c r="A74" s="7" t="inlineStr">
        <is>
          <t>调性不符合，且35+ 粉丝占比太低</t>
        </is>
      </c>
      <c r="C74" s="18" t="inlineStr">
        <is>
          <t>品牌</t>
        </is>
      </c>
      <c r="D74" s="19" t="n"/>
      <c r="E74" s="18" t="inlineStr">
        <is>
          <t>葵葵呀</t>
        </is>
      </c>
      <c r="F74" s="7" t="inlineStr">
        <is>
          <t>https://pgy.xiaohongshu.com/solar/pre-trade/blogger-detail/5bdfd3ca989f580001b8d86d?track_id=kolSimilar_a18d1e180db8486fab6bc8c94513c45d&amp;source=Advertiser_Similar_Kol</t>
        </is>
      </c>
      <c r="G74" s="19" t="inlineStr">
        <is>
          <t>https://www.xiaohongshu.com/user/profile/5bdfd3ca989f580001b8d86d</t>
        </is>
      </c>
      <c r="H74" s="18" t="n"/>
      <c r="I74" s="18" t="inlineStr">
        <is>
          <t>家居家装</t>
        </is>
      </c>
      <c r="J74" s="18" t="n"/>
      <c r="K74" s="18" t="n"/>
      <c r="L74" s="18" t="n"/>
      <c r="M74" s="18" t="n"/>
      <c r="N74" s="18" t="n"/>
      <c r="O74" s="18" t="n"/>
      <c r="P74" s="18">
        <f>O74*1.1</f>
        <v/>
      </c>
      <c r="Q74" s="20">
        <f>P74/Z74</f>
        <v/>
      </c>
      <c r="R74" s="20">
        <f>P74/AA74</f>
        <v/>
      </c>
      <c r="S74" s="18" t="n"/>
      <c r="T74" s="18" t="n"/>
      <c r="U74" s="21" t="n">
        <v>0.06</v>
      </c>
      <c r="V74" s="21" t="n">
        <v>0.68</v>
      </c>
      <c r="W74" s="21" t="n">
        <v>0.35</v>
      </c>
      <c r="X74" s="18" t="n"/>
      <c r="Y74" s="18" t="n"/>
      <c r="Z74" s="18" t="n"/>
      <c r="AA74" s="18" t="n"/>
    </row>
    <row r="75" ht="19" customHeight="1" s="151">
      <c r="A75" s="43" t="inlineStr">
        <is>
          <t>以下为品牌新提报</t>
        </is>
      </c>
      <c r="C75" s="18" t="n"/>
      <c r="D75" s="19" t="n"/>
      <c r="E75" s="18" t="n"/>
      <c r="F75" s="7" t="n"/>
      <c r="G75" s="19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20" t="n"/>
      <c r="R75" s="20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</row>
    <row r="76">
      <c r="A76" s="7" t="inlineStr">
        <is>
          <t>ok</t>
        </is>
      </c>
      <c r="C76" s="18" t="inlineStr">
        <is>
          <t>品牌</t>
        </is>
      </c>
      <c r="D76" s="19" t="inlineStr">
        <is>
          <t>35-44年龄群体占第一</t>
        </is>
      </c>
      <c r="E76" s="18" t="inlineStr">
        <is>
          <t>谢兰兰</t>
        </is>
      </c>
      <c r="F76" s="7" t="inlineStr">
        <is>
          <t>https://pgy.xiaohongshu.com/solar/pre-trade/blogger-detail/58ae66f6a9b2ed16238bcb68?track_id=kolSimilar_8111d80f8e414c91afeccbffa135a4f5&amp;source=Advertiser_Similar_Kol</t>
        </is>
      </c>
      <c r="G76" s="19" t="inlineStr">
        <is>
          <t>https://www.xiaohongshu.com/user/profile/58ae66f6a9b2ed16238bcb68</t>
        </is>
      </c>
      <c r="H76" s="118" t="n">
        <v>295095000</v>
      </c>
      <c r="I76" s="18" t="inlineStr">
        <is>
          <t>家居家装</t>
        </is>
      </c>
      <c r="J76" s="18" t="n"/>
      <c r="K76" s="18" t="n"/>
      <c r="L76" s="18" t="inlineStr">
        <is>
          <t>腰部</t>
        </is>
      </c>
      <c r="M76" s="18" t="n">
        <v>10</v>
      </c>
      <c r="N76" s="18" t="n">
        <v>74.40000000000001</v>
      </c>
      <c r="O76" s="18" t="n">
        <v>29000</v>
      </c>
      <c r="P76" s="18">
        <f>O76*1.1</f>
        <v/>
      </c>
      <c r="Q76" s="20">
        <f>P76/Z76</f>
        <v/>
      </c>
      <c r="R76" s="20">
        <f>P76/AA76</f>
        <v/>
      </c>
      <c r="S76" s="18" t="inlineStr">
        <is>
          <t>视频</t>
        </is>
      </c>
      <c r="T76" s="21" t="n">
        <v>0.87</v>
      </c>
      <c r="U76" s="21" t="n">
        <v>0.03</v>
      </c>
      <c r="V76" s="21" t="n">
        <v>0.28</v>
      </c>
      <c r="W76" s="21" t="n">
        <v>0.4</v>
      </c>
      <c r="X76" s="21" t="n">
        <v>0.5600000000000001</v>
      </c>
      <c r="Y76" s="21" t="n">
        <v>0.2</v>
      </c>
      <c r="Z76" s="18" t="n">
        <v>63879</v>
      </c>
      <c r="AA76" s="18" t="n">
        <v>6390</v>
      </c>
    </row>
    <row r="77">
      <c r="A77" s="139" t="inlineStr">
        <is>
          <t>厨房太拥挤</t>
        </is>
      </c>
      <c r="C77" s="18" t="inlineStr">
        <is>
          <t>品牌</t>
        </is>
      </c>
      <c r="D77" s="19" t="n"/>
      <c r="E77" s="18" t="inlineStr">
        <is>
          <t>丁丁当的家啊</t>
        </is>
      </c>
      <c r="F77" s="7" t="inlineStr">
        <is>
          <t>https://pgy.xiaohongshu.com/solar/pre-trade/blogger-detail/5b3b05cbe8ac2b5e7f0c3cf0?track_id=kolSimilar_8111d80f8e414c91afeccbffa135a4f5&amp;source=Advertiser_Similar_Kol</t>
        </is>
      </c>
      <c r="G77" s="19" t="inlineStr">
        <is>
          <t>https://www.xiaohongshu.com/user/profile/5b3b05cbe8ac2b5e7f0c3cf0</t>
        </is>
      </c>
      <c r="H77" s="18" t="n"/>
      <c r="I77" s="18" t="inlineStr">
        <is>
          <t>家居家装</t>
        </is>
      </c>
      <c r="J77" s="18" t="n"/>
      <c r="K77" s="18" t="n"/>
      <c r="L77" s="18" t="n"/>
      <c r="M77" s="18" t="n"/>
      <c r="N77" s="18" t="n"/>
      <c r="O77" s="18" t="n"/>
      <c r="P77" s="18">
        <f>O77*1.1</f>
        <v/>
      </c>
      <c r="Q77" s="20">
        <f>P77/Z77</f>
        <v/>
      </c>
      <c r="R77" s="20">
        <f>P77/AA77</f>
        <v/>
      </c>
      <c r="S77" s="18" t="n"/>
      <c r="T77" s="18" t="n"/>
      <c r="U77" s="21" t="n">
        <v>0.03</v>
      </c>
      <c r="V77" s="21" t="n">
        <v>0.3</v>
      </c>
      <c r="W77" s="21" t="n">
        <v>0.41</v>
      </c>
      <c r="X77" s="18" t="n"/>
      <c r="Y77" s="18" t="n"/>
      <c r="Z77" s="18" t="n"/>
      <c r="AA77" s="18" t="n"/>
    </row>
    <row r="78">
      <c r="A78" s="7" t="inlineStr">
        <is>
          <t>ok</t>
        </is>
      </c>
      <c r="C78" s="18" t="inlineStr">
        <is>
          <t>品牌</t>
        </is>
      </c>
      <c r="D78" s="19" t="inlineStr">
        <is>
          <t>内容基本拍摄的都是厨房相关的</t>
        </is>
      </c>
      <c r="E78" s="18" t="inlineStr">
        <is>
          <t>卡卡卡师傅</t>
        </is>
      </c>
      <c r="F78" s="7" t="inlineStr">
        <is>
          <t>https://pgy.xiaohongshu.com/solar/pre-trade/blogger-detail/5e63c2f400000000010031b4?track_id=kolSimilar_6313be65406b49cfb3959f5afa60978c&amp;source=Advertiser_Similar_Kol</t>
        </is>
      </c>
      <c r="G78" s="19" t="inlineStr">
        <is>
          <t>https://www.xiaohongshu.com/user/profile/5e63c2f400000000010031b4</t>
        </is>
      </c>
      <c r="H78" s="118" t="n">
        <v>837251606</v>
      </c>
      <c r="I78" s="18" t="inlineStr">
        <is>
          <t>家居家装</t>
        </is>
      </c>
      <c r="J78" s="18" t="n"/>
      <c r="K78" s="18" t="n"/>
      <c r="L78" s="18" t="inlineStr">
        <is>
          <t>尾部</t>
        </is>
      </c>
      <c r="M78" s="18" t="n">
        <v>6.1</v>
      </c>
      <c r="N78" s="18" t="n">
        <v>46.9</v>
      </c>
      <c r="O78" s="18" t="n">
        <v>13000</v>
      </c>
      <c r="P78" s="18">
        <f>O78*1.1</f>
        <v/>
      </c>
      <c r="Q78" s="20">
        <f>P78/Z78</f>
        <v/>
      </c>
      <c r="R78" s="20">
        <f>P78/AA78</f>
        <v/>
      </c>
      <c r="S78" s="18" t="inlineStr">
        <is>
          <t>视频</t>
        </is>
      </c>
      <c r="T78" s="21" t="n">
        <v>0.9</v>
      </c>
      <c r="U78" s="21" t="n">
        <v>0.04</v>
      </c>
      <c r="V78" s="21" t="n">
        <v>0.37</v>
      </c>
      <c r="W78" s="21" t="n">
        <v>0.38</v>
      </c>
      <c r="X78" s="21" t="n">
        <v>0.63</v>
      </c>
      <c r="Y78" s="21" t="n">
        <v>0.16</v>
      </c>
      <c r="Z78" s="18" t="n">
        <v>2562</v>
      </c>
      <c r="AA78" s="18" t="n">
        <v>501</v>
      </c>
    </row>
    <row r="79">
      <c r="A79" s="7" t="inlineStr">
        <is>
          <t>ok</t>
        </is>
      </c>
      <c r="C79" s="18" t="inlineStr">
        <is>
          <t>品牌</t>
        </is>
      </c>
      <c r="D79" s="19" t="inlineStr">
        <is>
          <t>有厨房场景，过往合作高客单家电</t>
        </is>
      </c>
      <c r="E79" s="18" t="inlineStr">
        <is>
          <t>S.E Chen</t>
        </is>
      </c>
      <c r="F79" s="7" t="inlineStr">
        <is>
          <t>https://pgy.xiaohongshu.com/solar/pre-trade/blogger-detail/5dafb9a00000000001009617?track_id=kolSimilar_6313be65406b49cfb3959f5afa60978c&amp;source=Advertiser_Similar_Kol</t>
        </is>
      </c>
      <c r="G79" s="19" t="inlineStr">
        <is>
          <t>https://www.xiaohongshu.com/user/profile/5dafb9a00000000001009617</t>
        </is>
      </c>
      <c r="H79" s="118" t="n">
        <v>457093617</v>
      </c>
      <c r="I79" s="18" t="inlineStr">
        <is>
          <t>家居家装</t>
        </is>
      </c>
      <c r="J79" s="18" t="n"/>
      <c r="K79" s="18" t="n"/>
      <c r="L79" s="18" t="inlineStr">
        <is>
          <t>腰部</t>
        </is>
      </c>
      <c r="M79" s="18" t="n">
        <v>11.2</v>
      </c>
      <c r="N79" s="18" t="n">
        <v>97.40000000000001</v>
      </c>
      <c r="O79" s="18" t="n">
        <v>16000</v>
      </c>
      <c r="P79" s="18">
        <f>O79*1.1</f>
        <v/>
      </c>
      <c r="Q79" s="20">
        <f>P79/Z79</f>
        <v/>
      </c>
      <c r="R79" s="20">
        <f>P79/AA79</f>
        <v/>
      </c>
      <c r="S79" s="18" t="inlineStr">
        <is>
          <t xml:space="preserve">图文 </t>
        </is>
      </c>
      <c r="T79" s="21" t="n">
        <v>0.88</v>
      </c>
      <c r="U79" s="21" t="n">
        <v>0.04</v>
      </c>
      <c r="V79" s="21" t="n">
        <v>0.36</v>
      </c>
      <c r="W79" s="21" t="n">
        <v>0.42</v>
      </c>
      <c r="X79" s="21" t="n">
        <v>0.62</v>
      </c>
      <c r="Y79" s="21" t="n">
        <v>0.19</v>
      </c>
      <c r="Z79" s="18" t="n">
        <v>25802</v>
      </c>
      <c r="AA79" s="18" t="n">
        <v>1853</v>
      </c>
    </row>
    <row r="80">
      <c r="A80" s="7" t="inlineStr">
        <is>
          <t>ok</t>
        </is>
      </c>
      <c r="C80" s="18" t="inlineStr">
        <is>
          <t>品牌</t>
        </is>
      </c>
      <c r="D80" s="19" t="inlineStr">
        <is>
          <t xml:space="preserve">极简风厨房 探索新生活方式 </t>
        </is>
      </c>
      <c r="E80" s="18" t="inlineStr">
        <is>
          <t>陈八顿</t>
        </is>
      </c>
      <c r="F80" s="7" t="inlineStr">
        <is>
          <t>https://pgy.xiaohongshu.com/solar/pre-trade/blogger-detail/55d1e3dc3397db11c7edf7e4?track_id=kolSimilar_6313be65406b49cfb3959f5afa60978c&amp;source=Advertiser_Similar_Kol</t>
        </is>
      </c>
      <c r="G80" s="19" t="inlineStr">
        <is>
          <t>https://www.xiaohongshu.com/user/profile/55d1e3dc3397db11c7edf7e4</t>
        </is>
      </c>
      <c r="H80" s="118" t="n">
        <v>267372233</v>
      </c>
      <c r="I80" s="18" t="inlineStr">
        <is>
          <t>家居家装</t>
        </is>
      </c>
      <c r="J80" s="18" t="n"/>
      <c r="K80" s="18" t="n"/>
      <c r="L80" s="18" t="inlineStr">
        <is>
          <t>腰部</t>
        </is>
      </c>
      <c r="M80" s="18" t="n">
        <v>16.8</v>
      </c>
      <c r="N80" s="18" t="n">
        <v>106</v>
      </c>
      <c r="O80" s="18" t="n">
        <v>18000</v>
      </c>
      <c r="P80" s="18">
        <f>O80*1.1</f>
        <v/>
      </c>
      <c r="Q80" s="20">
        <f>P80/Z80</f>
        <v/>
      </c>
      <c r="R80" s="20">
        <f>P80/AA80</f>
        <v/>
      </c>
      <c r="S80" s="18" t="inlineStr">
        <is>
          <t>视频</t>
        </is>
      </c>
      <c r="T80" s="21" t="n">
        <v>0.83</v>
      </c>
      <c r="U80" s="21" t="n">
        <v>0.05</v>
      </c>
      <c r="V80" s="21" t="n">
        <v>0.37</v>
      </c>
      <c r="W80" s="21" t="n">
        <v>0.41</v>
      </c>
      <c r="X80" s="21" t="n">
        <v>0.62</v>
      </c>
      <c r="Y80" s="21" t="n">
        <v>0.13</v>
      </c>
      <c r="Z80" s="18" t="n">
        <v>67205</v>
      </c>
      <c r="AA80" s="18" t="n">
        <v>2697</v>
      </c>
    </row>
    <row r="81">
      <c r="A81" s="7" t="inlineStr">
        <is>
          <t>ok</t>
        </is>
      </c>
      <c r="C81" s="18" t="inlineStr">
        <is>
          <t>品牌</t>
        </is>
      </c>
      <c r="D81" s="19" t="inlineStr">
        <is>
          <t>厨房科技化家电 年轻有娃家庭</t>
        </is>
      </c>
      <c r="E81" s="18" t="inlineStr">
        <is>
          <t>大琪小熙的家</t>
        </is>
      </c>
      <c r="F81" s="7" t="inlineStr">
        <is>
          <t>https://pgy.xiaohongshu.com/solar/pre-trade/blogger-detail/5844219350c4b42934dc0b95?track_id=kolSimilar_6313be65406b49cfb3959f5afa60978c&amp;source=Advertiser_Similar_Kol</t>
        </is>
      </c>
      <c r="G81" s="19" t="inlineStr">
        <is>
          <t>https://www.xiaohongshu.com/user/profile/5844219350c4b42934dc0b95</t>
        </is>
      </c>
      <c r="H81" s="118" t="n">
        <v>495210139</v>
      </c>
      <c r="I81" s="18" t="inlineStr">
        <is>
          <t>家居家装</t>
        </is>
      </c>
      <c r="J81" s="18" t="n"/>
      <c r="K81" s="18" t="n"/>
      <c r="L81" s="18" t="inlineStr">
        <is>
          <t>尾部</t>
        </is>
      </c>
      <c r="M81" s="18" t="n">
        <v>9</v>
      </c>
      <c r="N81" s="18" t="n">
        <v>74</v>
      </c>
      <c r="O81" s="18" t="n">
        <v>16800</v>
      </c>
      <c r="P81" s="18">
        <f>O81*1.1</f>
        <v/>
      </c>
      <c r="Q81" s="20">
        <f>P81/Z81</f>
        <v/>
      </c>
      <c r="R81" s="20">
        <f>P81/AA81</f>
        <v/>
      </c>
      <c r="S81" s="18" t="inlineStr">
        <is>
          <t>视频</t>
        </is>
      </c>
      <c r="T81" s="21" t="n">
        <v>0.89</v>
      </c>
      <c r="U81" s="21" t="n">
        <v>0.08</v>
      </c>
      <c r="V81" s="21" t="n">
        <v>0.33</v>
      </c>
      <c r="W81" s="21" t="n">
        <v>0.37</v>
      </c>
      <c r="X81" s="21" t="n">
        <v>0.44</v>
      </c>
      <c r="Y81" s="21" t="n">
        <v>0.24</v>
      </c>
      <c r="Z81" s="18" t="n">
        <v>27795</v>
      </c>
      <c r="AA81" s="18" t="n">
        <v>1475</v>
      </c>
    </row>
    <row r="82">
      <c r="A82" s="7" t="inlineStr">
        <is>
          <t>有点下沉</t>
        </is>
      </c>
      <c r="C82" s="18" t="inlineStr">
        <is>
          <t>品牌</t>
        </is>
      </c>
      <c r="D82" s="19" t="n"/>
      <c r="E82" s="18" t="inlineStr">
        <is>
          <t>冤种大迪</t>
        </is>
      </c>
      <c r="F82" s="7" t="inlineStr">
        <is>
          <t>https://pgy.xiaohongshu.com/solar/pre-trade/blogger-detail/58fa1bf182ec3930cdb2ddfd?track_id=kolSimilar_6313be65406b49cfb3959f5afa60978c&amp;source=Advertiser_Similar_Kol</t>
        </is>
      </c>
      <c r="G82" s="19" t="inlineStr">
        <is>
          <t>https://www.xiaohongshu.com/user/profile/58fa1bf182ec3930cdb2ddfd</t>
        </is>
      </c>
      <c r="H82" s="18" t="n"/>
      <c r="I82" s="18" t="inlineStr">
        <is>
          <t>家居家装</t>
        </is>
      </c>
      <c r="J82" s="18" t="n"/>
      <c r="K82" s="18" t="n"/>
      <c r="L82" s="18" t="n"/>
      <c r="M82" s="18" t="n"/>
      <c r="N82" s="18" t="n"/>
      <c r="O82" s="18" t="n"/>
      <c r="P82" s="18">
        <f>O82*1.1</f>
        <v/>
      </c>
      <c r="Q82" s="20">
        <f>P82/Z82</f>
        <v/>
      </c>
      <c r="R82" s="20">
        <f>P82/AA82</f>
        <v/>
      </c>
      <c r="S82" s="18" t="n"/>
      <c r="T82" s="18" t="n"/>
      <c r="U82" s="21" t="n">
        <v>0.05</v>
      </c>
      <c r="V82" s="21" t="n">
        <v>0.21</v>
      </c>
      <c r="W82" s="21" t="n">
        <v>0.4</v>
      </c>
      <c r="X82" s="18" t="n"/>
      <c r="Y82" s="18" t="n"/>
      <c r="Z82" s="18" t="n"/>
      <c r="AA82" s="18" t="n"/>
    </row>
    <row r="83">
      <c r="A83" s="7" t="inlineStr">
        <is>
          <t>ok</t>
        </is>
      </c>
      <c r="C83" s="18" t="inlineStr">
        <is>
          <t>品牌</t>
        </is>
      </c>
      <c r="D83" s="19" t="inlineStr">
        <is>
          <t>明亮厨房场景 宅家能量来源</t>
        </is>
      </c>
      <c r="E83" s="18" t="inlineStr">
        <is>
          <t>Sisyphus_</t>
        </is>
      </c>
      <c r="F83" s="7" t="inlineStr">
        <is>
          <t>https://pgy.xiaohongshu.com/solar/pre-trade/blogger-detail/5f439ffe00000000010074f9?track_id=kolSimilar_75cc37d546944a9cafd5edda2e992284&amp;source=Advertiser_Similar_Kol</t>
        </is>
      </c>
      <c r="G83" s="19" t="inlineStr">
        <is>
          <t>https://www.xiaohongshu.com/user/profile/5f439ffe00000000010074f9</t>
        </is>
      </c>
      <c r="H83" s="118" t="inlineStr">
        <is>
          <t>miafxy</t>
        </is>
      </c>
      <c r="I83" s="18" t="inlineStr">
        <is>
          <t>家居家装</t>
        </is>
      </c>
      <c r="J83" s="18" t="n"/>
      <c r="K83" s="18" t="n"/>
      <c r="L83" s="18" t="inlineStr">
        <is>
          <t>尾部</t>
        </is>
      </c>
      <c r="M83" s="18" t="n">
        <v>1.9</v>
      </c>
      <c r="N83" s="18" t="n">
        <v>11.4</v>
      </c>
      <c r="O83" s="18" t="n">
        <v>8800</v>
      </c>
      <c r="P83" s="18">
        <f>O83*1.1</f>
        <v/>
      </c>
      <c r="Q83" s="20">
        <f>P83/Z83</f>
        <v/>
      </c>
      <c r="R83" s="20">
        <f>P83/AA83</f>
        <v/>
      </c>
      <c r="S83" s="18" t="inlineStr">
        <is>
          <t>视频</t>
        </is>
      </c>
      <c r="T83" s="21" t="n">
        <v>0.84</v>
      </c>
      <c r="U83" s="21" t="n">
        <v>0.04</v>
      </c>
      <c r="V83" s="21" t="n">
        <v>0.33</v>
      </c>
      <c r="W83" s="21" t="n">
        <v>0.38</v>
      </c>
      <c r="X83" s="21" t="n">
        <v>0.57</v>
      </c>
      <c r="Y83" s="21" t="n">
        <v>0.2</v>
      </c>
      <c r="Z83" s="18" t="n">
        <v>8827</v>
      </c>
      <c r="AA83" s="18" t="n">
        <v>428</v>
      </c>
    </row>
    <row r="84">
      <c r="A84" s="7" t="inlineStr">
        <is>
          <t>ok - 但这个被电商毙了，你蛮提把</t>
        </is>
      </c>
      <c r="C84" s="18" t="inlineStr">
        <is>
          <t>品牌</t>
        </is>
      </c>
      <c r="D84" s="19" t="inlineStr">
        <is>
          <t xml:space="preserve">自建房改造 智能化宅家人群吸引 </t>
        </is>
      </c>
      <c r="E84" s="18" t="inlineStr">
        <is>
          <t>提提的装修日记</t>
        </is>
      </c>
      <c r="F84" s="7" t="inlineStr">
        <is>
          <t>https://pgy.xiaohongshu.com/solar/pre-trade/blogger-detail/5f571186000000000100ab3d?track_id=kolSimilar_75cc37d546944a9cafd5edda2e992284&amp;source=Advertiser_Similar_Kol</t>
        </is>
      </c>
      <c r="G84" s="19" t="inlineStr">
        <is>
          <t>https://www.xiaohongshu.com/user/profile/5f571186000000000100ab3d</t>
        </is>
      </c>
      <c r="H84" s="118" t="n">
        <v>887687323</v>
      </c>
      <c r="I84" s="18" t="inlineStr">
        <is>
          <t>家居家装</t>
        </is>
      </c>
      <c r="J84" s="18" t="n"/>
      <c r="K84" s="18" t="n"/>
      <c r="L84" s="18" t="inlineStr">
        <is>
          <t>尾部</t>
        </is>
      </c>
      <c r="M84" s="18" t="n">
        <v>3.9</v>
      </c>
      <c r="N84" s="18" t="n">
        <v>36.6</v>
      </c>
      <c r="O84" s="18" t="n">
        <v>8500</v>
      </c>
      <c r="P84" s="18">
        <f>O84*1.1</f>
        <v/>
      </c>
      <c r="Q84" s="20">
        <f>P84/Z84</f>
        <v/>
      </c>
      <c r="R84" s="20">
        <f>P84/AA84</f>
        <v/>
      </c>
      <c r="S84" s="18" t="inlineStr">
        <is>
          <t>视频</t>
        </is>
      </c>
      <c r="T84" s="21" t="n">
        <v>0.62</v>
      </c>
      <c r="U84" s="21" t="n">
        <v>0.08</v>
      </c>
      <c r="V84" s="21" t="n">
        <v>0.35</v>
      </c>
      <c r="W84" s="21" t="n">
        <v>0.36</v>
      </c>
      <c r="X84" s="21" t="n">
        <v>0.35</v>
      </c>
      <c r="Y84" s="21" t="n">
        <v>0.21</v>
      </c>
      <c r="Z84" s="18" t="n">
        <v>28728</v>
      </c>
      <c r="AA84" s="18" t="n">
        <v>2296</v>
      </c>
    </row>
    <row r="85">
      <c r="A85" s="7" t="inlineStr">
        <is>
          <t>数据不太稳定</t>
        </is>
      </c>
      <c r="C85" s="18" t="inlineStr">
        <is>
          <t>品牌</t>
        </is>
      </c>
      <c r="E85" s="18" t="inlineStr">
        <is>
          <t>一口南瓜饼</t>
        </is>
      </c>
      <c r="F85" s="7" t="inlineStr">
        <is>
          <t>https://pgy.xiaohongshu.com/solar/pre-trade/blogger-detail/5b6fc11938a98000011e750e?track_id=kolSimilar_258eaaa5cb8e4139b28f2bd383863f60&amp;source=Advertiser_Similar_Kol</t>
        </is>
      </c>
      <c r="G85" s="19" t="inlineStr">
        <is>
          <t>https://www.xiaohongshu.com/user/profile/5b6fc11938a98000011e750e</t>
        </is>
      </c>
      <c r="H85" s="18" t="n"/>
      <c r="I85" s="18" t="inlineStr">
        <is>
          <t>家居家装</t>
        </is>
      </c>
      <c r="J85" s="18" t="n"/>
      <c r="K85" s="18" t="n"/>
      <c r="L85" s="18" t="n"/>
      <c r="M85" s="18" t="n"/>
      <c r="N85" s="18" t="n"/>
      <c r="O85" s="18" t="n"/>
      <c r="P85" s="18">
        <f>O85*1.1</f>
        <v/>
      </c>
      <c r="Q85" s="20">
        <f>P85/Z85</f>
        <v/>
      </c>
      <c r="R85" s="20">
        <f>P85/AA85</f>
        <v/>
      </c>
      <c r="S85" s="18" t="n"/>
      <c r="T85" s="18" t="n"/>
      <c r="U85" s="21" t="n">
        <v>0.07000000000000001</v>
      </c>
      <c r="V85" s="21" t="n">
        <v>0.53</v>
      </c>
      <c r="W85" s="21" t="n">
        <v>0.29</v>
      </c>
      <c r="X85" s="18" t="n"/>
      <c r="Y85" s="18" t="n"/>
      <c r="Z85" s="18" t="n"/>
      <c r="AA85" s="18" t="n"/>
    </row>
    <row r="86">
      <c r="A86" s="7" t="inlineStr">
        <is>
          <t>ok</t>
        </is>
      </c>
      <c r="C86" s="18" t="inlineStr">
        <is>
          <t>品牌</t>
        </is>
      </c>
      <c r="D86" s="19" t="inlineStr">
        <is>
          <t>过往高客单厨电合作 有厨房场景露出</t>
        </is>
      </c>
      <c r="E86" s="18" t="inlineStr">
        <is>
          <t>萌萌哒呦呦</t>
        </is>
      </c>
      <c r="F86" s="7" t="inlineStr">
        <is>
          <t>https://pgy.xiaohongshu.com/solar/pre-trade/blogger-detail/5c20f13f000000000702d477?track_id=kolSimilar_258eaaa5cb8e4139b28f2bd383863f60&amp;source=Advertiser_Similar_Kol</t>
        </is>
      </c>
      <c r="G86" s="19" t="inlineStr">
        <is>
          <t>https://www.xiaohongshu.com/user/profile/5c20f13f000000000702d477</t>
        </is>
      </c>
      <c r="H86" s="118" t="inlineStr">
        <is>
          <t>Yxlu_2018</t>
        </is>
      </c>
      <c r="I86" s="18" t="inlineStr">
        <is>
          <t>家居家装</t>
        </is>
      </c>
      <c r="J86" s="18" t="n"/>
      <c r="K86" s="18" t="n"/>
      <c r="L86" s="18" t="inlineStr">
        <is>
          <t>尾部</t>
        </is>
      </c>
      <c r="M86" s="18" t="n">
        <v>2.1</v>
      </c>
      <c r="N86" s="18" t="n">
        <v>19</v>
      </c>
      <c r="O86" s="18" t="n">
        <v>5000</v>
      </c>
      <c r="P86" s="18">
        <f>O86*1.1</f>
        <v/>
      </c>
      <c r="Q86" s="20">
        <f>P86/Z86</f>
        <v/>
      </c>
      <c r="R86" s="20">
        <f>P86/AA86</f>
        <v/>
      </c>
      <c r="S86" s="18" t="inlineStr">
        <is>
          <t xml:space="preserve">图文 </t>
        </is>
      </c>
      <c r="T86" s="21" t="n">
        <v>0.8</v>
      </c>
      <c r="U86" s="21" t="n">
        <v>0.1</v>
      </c>
      <c r="V86" s="21" t="n">
        <v>0.43</v>
      </c>
      <c r="W86" s="21" t="n">
        <v>0.32</v>
      </c>
      <c r="X86" s="21" t="n">
        <v>0.52</v>
      </c>
      <c r="Y86" s="21" t="n">
        <v>0.17</v>
      </c>
      <c r="Z86" s="18" t="n">
        <v>14891</v>
      </c>
      <c r="AA86" s="18" t="n">
        <v>1140</v>
      </c>
    </row>
    <row r="87" ht="19" customHeight="1" s="151">
      <c r="A87" s="7" t="inlineStr">
        <is>
          <t>ok</t>
        </is>
      </c>
      <c r="C87" s="18" t="inlineStr">
        <is>
          <t>品牌</t>
        </is>
      </c>
      <c r="D87" s="19" t="inlineStr">
        <is>
          <t>有厨房场景 高质感家居产品</t>
        </is>
      </c>
      <c r="E87" s="18" t="inlineStr">
        <is>
          <t>dq</t>
        </is>
      </c>
      <c r="F87" s="7" t="inlineStr">
        <is>
          <t>https://pgy.xiaohongshu.com/solar/pre-trade/blogger-detail/5a522dd9e8ac2b3230f67abb?track_id=kolSimilar_258eaaa5cb8e4139b28f2bd383863f60&amp;source=Advertiser_Similar_Kol</t>
        </is>
      </c>
      <c r="G87" s="19" t="inlineStr">
        <is>
          <t>https://www.xiaohongshu.com/user/profile/5a522dd9e8ac2b3230f67abb</t>
        </is>
      </c>
      <c r="H87" s="118" t="n">
        <v>565492771</v>
      </c>
      <c r="I87" s="18" t="inlineStr">
        <is>
          <t>家居家装</t>
        </is>
      </c>
      <c r="J87" s="18" t="n"/>
      <c r="K87" s="18" t="n"/>
      <c r="L87" s="18" t="inlineStr">
        <is>
          <t>尾部</t>
        </is>
      </c>
      <c r="M87" s="18" t="n">
        <v>4</v>
      </c>
      <c r="N87" s="18" t="n">
        <v>64.2</v>
      </c>
      <c r="O87" s="18" t="n">
        <v>7000</v>
      </c>
      <c r="P87" s="18">
        <f>O87*1.1</f>
        <v/>
      </c>
      <c r="Q87" s="20">
        <f>P87/Z87</f>
        <v/>
      </c>
      <c r="R87" s="20">
        <f>P87/AA87</f>
        <v/>
      </c>
      <c r="S87" s="18" t="inlineStr">
        <is>
          <t>图文</t>
        </is>
      </c>
      <c r="T87" s="21" t="n">
        <v>0.77</v>
      </c>
      <c r="U87" s="21" t="n">
        <v>0.05</v>
      </c>
      <c r="V87" s="21" t="n">
        <v>0.5</v>
      </c>
      <c r="W87" s="21" t="n">
        <v>0.31</v>
      </c>
      <c r="X87" s="21" t="n">
        <v>0.63</v>
      </c>
      <c r="Y87" s="21" t="n">
        <v>0.16</v>
      </c>
      <c r="Z87" s="18" t="n">
        <v>24557</v>
      </c>
      <c r="AA87" s="18" t="n">
        <v>491</v>
      </c>
    </row>
    <row r="88">
      <c r="A88" s="7" t="inlineStr">
        <is>
          <t>ok</t>
        </is>
      </c>
      <c r="C88" s="18" t="inlineStr">
        <is>
          <t>品牌</t>
        </is>
      </c>
      <c r="D88" s="19" t="inlineStr">
        <is>
          <t xml:space="preserve">智能生活场景 </t>
        </is>
      </c>
      <c r="E88" s="18" t="inlineStr">
        <is>
          <t>Bofe</t>
        </is>
      </c>
      <c r="F88" s="7" t="inlineStr">
        <is>
          <t>https://pgy.xiaohongshu.com/solar/pre-trade/blogger-detail/5bb352cb414ee700012948a3?track_id=kolSimilar_82d3d19c7ece41f5bb5ea42b119c7e72&amp;source=Advertiser_Similar_Kol</t>
        </is>
      </c>
      <c r="G88" s="19" t="inlineStr">
        <is>
          <t>https://www.xiaohongshu.com/user/profile/5bb352cb414ee700012948a3</t>
        </is>
      </c>
      <c r="H88" s="118" t="inlineStr">
        <is>
          <t>bofe567484370</t>
        </is>
      </c>
      <c r="I88" s="18" t="inlineStr">
        <is>
          <t>家居家装</t>
        </is>
      </c>
      <c r="J88" s="18" t="n"/>
      <c r="K88" s="18" t="n"/>
      <c r="L88" s="18" t="inlineStr">
        <is>
          <t>尾部</t>
        </is>
      </c>
      <c r="M88" s="18" t="n">
        <v>3.1</v>
      </c>
      <c r="N88" s="18" t="n">
        <v>31.1</v>
      </c>
      <c r="O88" s="18" t="n">
        <v>14800</v>
      </c>
      <c r="P88" s="18">
        <f>O88*1.1</f>
        <v/>
      </c>
      <c r="Q88" s="20">
        <f>P88/Z88</f>
        <v/>
      </c>
      <c r="R88" s="20">
        <f>P88/AA88</f>
        <v/>
      </c>
      <c r="S88" s="18" t="inlineStr">
        <is>
          <t>视频</t>
        </is>
      </c>
      <c r="T88" s="21" t="n">
        <v>0.76</v>
      </c>
      <c r="U88" s="21" t="n">
        <v>0.09</v>
      </c>
      <c r="V88" s="21" t="n">
        <v>0.4</v>
      </c>
      <c r="W88" s="21" t="n">
        <v>0.32</v>
      </c>
      <c r="X88" s="21" t="n">
        <v>0.5600000000000001</v>
      </c>
      <c r="Y88" s="21" t="n">
        <v>0.18</v>
      </c>
      <c r="Z88" s="18" t="n">
        <v>43424</v>
      </c>
      <c r="AA88" s="18" t="n">
        <v>978</v>
      </c>
    </row>
    <row r="89">
      <c r="A89" s="7" t="inlineStr">
        <is>
          <t>ok</t>
        </is>
      </c>
      <c r="C89" s="18" t="inlineStr">
        <is>
          <t>品牌</t>
        </is>
      </c>
      <c r="D89" s="19" t="inlineStr">
        <is>
          <t xml:space="preserve">温馨感家居 ，有做饭场景 </t>
        </is>
      </c>
      <c r="E89" s="18" t="inlineStr">
        <is>
          <t>光荣属于天行者</t>
        </is>
      </c>
      <c r="F89" s="7" t="inlineStr">
        <is>
          <t>https://pgy.xiaohongshu.com/solar/pre-trade/blogger-detail/5ef5c137000000000101d95e?track_id=kolSimilar_82d3d19c7ece41f5bb5ea42b119c7e72&amp;source=Advertiser_Similar_Kol</t>
        </is>
      </c>
      <c r="G89" s="19" t="inlineStr">
        <is>
          <t>https://www.xiaohongshu.com/user/profile/5ef5c137000000000101d95e</t>
        </is>
      </c>
      <c r="H89" s="118" t="n">
        <v>717124169</v>
      </c>
      <c r="I89" s="18" t="inlineStr">
        <is>
          <t>家居家装</t>
        </is>
      </c>
      <c r="J89" s="18" t="n"/>
      <c r="K89" s="18" t="n"/>
      <c r="L89" s="18" t="inlineStr">
        <is>
          <t>尾部</t>
        </is>
      </c>
      <c r="M89" s="18" t="n">
        <v>7.6</v>
      </c>
      <c r="N89" s="18" t="n">
        <v>92</v>
      </c>
      <c r="O89" s="18" t="n">
        <v>12500</v>
      </c>
      <c r="P89" s="18">
        <f>O89*1.1</f>
        <v/>
      </c>
      <c r="Q89" s="20">
        <f>P89/Z89</f>
        <v/>
      </c>
      <c r="R89" s="20">
        <f>P89/AA89</f>
        <v/>
      </c>
      <c r="S89" s="18" t="inlineStr">
        <is>
          <t xml:space="preserve">图文 </t>
        </is>
      </c>
      <c r="T89" s="21" t="n">
        <v>0.73</v>
      </c>
      <c r="U89" s="21" t="n">
        <v>0.12</v>
      </c>
      <c r="V89" s="21" t="n">
        <v>0.4</v>
      </c>
      <c r="W89" s="21" t="n">
        <v>0.32</v>
      </c>
      <c r="X89" s="21" t="n">
        <v>0.58</v>
      </c>
      <c r="Y89" s="21" t="n">
        <v>0.17</v>
      </c>
      <c r="Z89" s="18" t="n">
        <v>31220</v>
      </c>
      <c r="AA89" s="18" t="n">
        <v>2045</v>
      </c>
    </row>
    <row r="90">
      <c r="A90" s="7" t="inlineStr">
        <is>
          <t>ok</t>
        </is>
      </c>
      <c r="C90" s="18" t="inlineStr">
        <is>
          <t>品牌</t>
        </is>
      </c>
      <c r="D90" s="19" t="inlineStr">
        <is>
          <t>家居人群，客单价符合</t>
        </is>
      </c>
      <c r="E90" s="18" t="inlineStr">
        <is>
          <t>优一妈咪</t>
        </is>
      </c>
      <c r="F90" s="7" t="inlineStr">
        <is>
          <t>https://pgy.xiaohongshu.com/solar/pre-trade/blogger-detail/55050be52e1d9359054f4dca?track_id=kolMatch_7794a23a4b764c948cf43c5fc29e5d22&amp;source=Advertiser_Kol</t>
        </is>
      </c>
      <c r="G90" s="19" t="inlineStr">
        <is>
          <t>https://www.xiaohongshu.com/user/profile/55050be52e1d9359054f4dca</t>
        </is>
      </c>
      <c r="H90" s="118" t="n">
        <v>492464364</v>
      </c>
      <c r="I90" s="18" t="inlineStr">
        <is>
          <t>家居家装</t>
        </is>
      </c>
      <c r="J90" s="18" t="n"/>
      <c r="K90" s="18" t="n"/>
      <c r="L90" s="18" t="inlineStr">
        <is>
          <t>尾部</t>
        </is>
      </c>
      <c r="M90" s="18" t="n">
        <v>3</v>
      </c>
      <c r="N90" s="18" t="n">
        <v>48.5</v>
      </c>
      <c r="O90" s="18" t="n">
        <v>8600</v>
      </c>
      <c r="P90" s="18">
        <f>O90*1.1</f>
        <v/>
      </c>
      <c r="Q90" s="20">
        <f>P90/Z90</f>
        <v/>
      </c>
      <c r="R90" s="20">
        <f>P90/AA90</f>
        <v/>
      </c>
      <c r="S90" s="18" t="inlineStr">
        <is>
          <t>视频</t>
        </is>
      </c>
      <c r="T90" s="21" t="n">
        <v>0.89</v>
      </c>
      <c r="U90" s="21" t="n">
        <v>0.04</v>
      </c>
      <c r="V90" s="21" t="n">
        <v>0.41</v>
      </c>
      <c r="W90" s="21" t="n">
        <v>0.42</v>
      </c>
      <c r="X90" s="21" t="n">
        <v>0.58</v>
      </c>
      <c r="Y90" s="21" t="n">
        <v>0.18</v>
      </c>
      <c r="Z90" s="18" t="n">
        <v>14221</v>
      </c>
      <c r="AA90" s="18" t="n">
        <v>404</v>
      </c>
    </row>
    <row r="91">
      <c r="A91" s="7" t="inlineStr">
        <is>
          <t>ok</t>
        </is>
      </c>
      <c r="C91" s="18" t="inlineStr">
        <is>
          <t>品牌</t>
        </is>
      </c>
      <c r="D91" s="19" t="inlineStr">
        <is>
          <t>理想生活方式，过往电器合作多</t>
        </is>
      </c>
      <c r="E91" s="18" t="inlineStr">
        <is>
          <t>元气满满的小曼</t>
        </is>
      </c>
      <c r="F91" s="7" t="inlineStr">
        <is>
          <t>https://pgy.xiaohongshu.com/solar/pre-trade/blogger-detail/60bf41660000000020029525?track_id=kolMatch_7794a23a4b764c948cf43c5fc29e5d22&amp;source=Advertiser_Kol</t>
        </is>
      </c>
      <c r="G91" s="19" t="inlineStr">
        <is>
          <t>https://www.xiaohongshu.com/user/profile/60bf41660000000020029525</t>
        </is>
      </c>
      <c r="H91" s="118" t="n">
        <v>9538053685</v>
      </c>
      <c r="I91" s="18" t="inlineStr">
        <is>
          <t>家居家装</t>
        </is>
      </c>
      <c r="J91" s="18" t="n"/>
      <c r="K91" s="18" t="n"/>
      <c r="L91" s="18" t="inlineStr">
        <is>
          <t>尾部</t>
        </is>
      </c>
      <c r="M91" s="18" t="n">
        <v>2.4</v>
      </c>
      <c r="N91" s="18" t="n">
        <v>28.8</v>
      </c>
      <c r="O91" s="18" t="n">
        <v>8500</v>
      </c>
      <c r="P91" s="18">
        <f>O91*1.1</f>
        <v/>
      </c>
      <c r="Q91" s="20">
        <f>P91/Z91</f>
        <v/>
      </c>
      <c r="R91" s="20">
        <f>P91/AA91</f>
        <v/>
      </c>
      <c r="S91" s="18" t="inlineStr">
        <is>
          <t xml:space="preserve">图文 </t>
        </is>
      </c>
      <c r="T91" s="21" t="n">
        <v>0.83</v>
      </c>
      <c r="U91" s="21" t="n">
        <v>0.04</v>
      </c>
      <c r="V91" s="21" t="n">
        <v>0.35</v>
      </c>
      <c r="W91" s="21" t="n">
        <v>0.46</v>
      </c>
      <c r="X91" s="21" t="n">
        <v>0.53</v>
      </c>
      <c r="Y91" s="21" t="n">
        <v>0.24</v>
      </c>
      <c r="Z91" s="18" t="n">
        <v>27141</v>
      </c>
      <c r="AA91" s="18" t="n">
        <v>1431</v>
      </c>
    </row>
    <row r="92">
      <c r="A92" s="7" t="inlineStr">
        <is>
          <t>ok</t>
        </is>
      </c>
      <c r="C92" s="18" t="inlineStr">
        <is>
          <t>品牌</t>
        </is>
      </c>
      <c r="D92" s="19" t="inlineStr">
        <is>
          <t>有厨房场景 人群相对符合</t>
        </is>
      </c>
      <c r="E92" s="18" t="inlineStr">
        <is>
          <t>Nora秋秋✨</t>
        </is>
      </c>
      <c r="F92" s="7" t="inlineStr">
        <is>
          <t>https://pgy.xiaohongshu.com/solar/pre-trade/blogger-detail/5c94b9300000000012018638?track_id=kolMatch_4c05e5ef58964c39a6418794f6a5d4d7&amp;source=Advertiser_Kol</t>
        </is>
      </c>
      <c r="G92" s="19" t="inlineStr">
        <is>
          <t>https://www.xiaohongshu.com/user/profile/5c94b9300000000012018638</t>
        </is>
      </c>
      <c r="H92" s="118" t="n">
        <v>434980858</v>
      </c>
      <c r="I92" s="18" t="inlineStr">
        <is>
          <t>家居家装</t>
        </is>
      </c>
      <c r="J92" s="18" t="n"/>
      <c r="K92" s="18" t="n"/>
      <c r="L92" s="18" t="inlineStr">
        <is>
          <t>尾部</t>
        </is>
      </c>
      <c r="M92" s="18" t="n">
        <v>3</v>
      </c>
      <c r="N92" s="18" t="n">
        <v>15</v>
      </c>
      <c r="O92" s="18" t="n">
        <v>4800</v>
      </c>
      <c r="P92" s="18">
        <f>O92*1.1</f>
        <v/>
      </c>
      <c r="Q92" s="20">
        <f>P92/Z92</f>
        <v/>
      </c>
      <c r="R92" s="20">
        <f>P92/AA92</f>
        <v/>
      </c>
      <c r="S92" s="18" t="inlineStr">
        <is>
          <t>视频</t>
        </is>
      </c>
      <c r="T92" s="21" t="n">
        <v>0.87</v>
      </c>
      <c r="U92" s="21" t="n">
        <v>0.07000000000000001</v>
      </c>
      <c r="V92" s="21" t="n">
        <v>0.32</v>
      </c>
      <c r="W92" s="21" t="n">
        <v>0.43</v>
      </c>
      <c r="X92" s="21" t="n">
        <v>0.33</v>
      </c>
      <c r="Y92" s="21" t="n">
        <v>0.21</v>
      </c>
      <c r="Z92" s="18" t="n">
        <v>13930</v>
      </c>
      <c r="AA92" s="18" t="n">
        <v>639</v>
      </c>
    </row>
    <row r="93">
      <c r="A93" s="7" t="inlineStr">
        <is>
          <t>ok</t>
        </is>
      </c>
      <c r="C93" s="18" t="inlineStr">
        <is>
          <t>品牌</t>
        </is>
      </c>
      <c r="D93" s="19" t="inlineStr">
        <is>
          <t>厨房改造场景 整体明亮大方</t>
        </is>
      </c>
      <c r="E93" s="18" t="inlineStr">
        <is>
          <t>哼哈的小窝</t>
        </is>
      </c>
      <c r="F93" s="7" t="inlineStr">
        <is>
          <t>https://pgy.xiaohongshu.com/solar/pre-trade/blogger-detail/5bd5da7e6b58b737f827ea92?track_id=kolMatch_7cf9b93a44b44a6cb5cae99c838dc678&amp;source=Advertiser_Kol</t>
        </is>
      </c>
      <c r="G93" s="19" t="inlineStr">
        <is>
          <t>https://www.xiaohongshu.com/user/profile/5bd5da7e6b58b737f827ea92</t>
        </is>
      </c>
      <c r="H93" s="118" t="n">
        <v>564794901</v>
      </c>
      <c r="I93" s="18" t="inlineStr">
        <is>
          <t>家居家装</t>
        </is>
      </c>
      <c r="J93" s="18" t="n"/>
      <c r="K93" s="18" t="n"/>
      <c r="L93" s="18" t="inlineStr">
        <is>
          <t>腰部</t>
        </is>
      </c>
      <c r="M93" s="18" t="n">
        <v>18.7</v>
      </c>
      <c r="N93" s="18" t="n">
        <v>177</v>
      </c>
      <c r="O93" s="18" t="n">
        <v>23888</v>
      </c>
      <c r="P93" s="18">
        <f>O93*1.1</f>
        <v/>
      </c>
      <c r="Q93" s="20">
        <f>P93/Z93</f>
        <v/>
      </c>
      <c r="R93" s="20">
        <f>P93/AA93</f>
        <v/>
      </c>
      <c r="S93" s="18" t="inlineStr">
        <is>
          <t>视频</t>
        </is>
      </c>
      <c r="T93" s="21" t="n">
        <v>0.87</v>
      </c>
      <c r="U93" s="21" t="n">
        <v>0.05</v>
      </c>
      <c r="V93" s="21" t="n">
        <v>0.36</v>
      </c>
      <c r="W93" s="21" t="n">
        <v>0.38</v>
      </c>
      <c r="X93" s="21" t="n">
        <v>0.43</v>
      </c>
      <c r="Y93" s="21" t="n">
        <v>0.23</v>
      </c>
      <c r="Z93" s="18" t="n">
        <v>17860</v>
      </c>
      <c r="AA93" s="18" t="n">
        <v>2100</v>
      </c>
    </row>
    <row r="94">
      <c r="A94" s="7" t="inlineStr">
        <is>
          <t>ok</t>
        </is>
      </c>
      <c r="C94" s="18" t="inlineStr">
        <is>
          <t>品牌</t>
        </is>
      </c>
      <c r="D94" s="19" t="inlineStr">
        <is>
          <t xml:space="preserve">科技博主，有宅家智能场景 </t>
        </is>
      </c>
      <c r="E94" s="18" t="inlineStr">
        <is>
          <t>拓海智能宇宙</t>
        </is>
      </c>
      <c r="F94" s="7" t="inlineStr">
        <is>
          <t>https://pgy.xiaohongshu.com/solar/pre-trade/blogger-detail/639eb62e0000000026013332?track_id=kolMatch_564352da8b82463bb4f360b20d173faf&amp;source=Advertiser_Kol</t>
        </is>
      </c>
      <c r="G94" s="19" t="inlineStr">
        <is>
          <t>https://www.xiaohongshu.com/user/profile/639eb62e0000000026013332</t>
        </is>
      </c>
      <c r="H94" s="118" t="n">
        <v>5320369812</v>
      </c>
      <c r="I94" s="18" t="inlineStr">
        <is>
          <t>家居家装</t>
        </is>
      </c>
      <c r="J94" s="18" t="n"/>
      <c r="K94" s="18" t="n"/>
      <c r="L94" s="18" t="inlineStr">
        <is>
          <t>腰部</t>
        </is>
      </c>
      <c r="M94" s="18" t="n">
        <v>16.5</v>
      </c>
      <c r="N94" s="18" t="n">
        <v>91.7</v>
      </c>
      <c r="O94" s="18" t="n">
        <v>19800</v>
      </c>
      <c r="P94" s="18">
        <f>O94*1.1</f>
        <v/>
      </c>
      <c r="Q94" s="20">
        <f>P94/Z94</f>
        <v/>
      </c>
      <c r="R94" s="20">
        <f>P94/AA94</f>
        <v/>
      </c>
      <c r="S94" s="18" t="inlineStr">
        <is>
          <t>视频</t>
        </is>
      </c>
      <c r="T94" s="21" t="n">
        <v>0.57</v>
      </c>
      <c r="U94" s="21" t="n">
        <v>0.09</v>
      </c>
      <c r="V94" s="21" t="n">
        <v>0.28</v>
      </c>
      <c r="W94" s="21" t="n">
        <v>0.34</v>
      </c>
      <c r="X94" s="21" t="n">
        <v>0.46</v>
      </c>
      <c r="Y94" s="21" t="n">
        <v>0.17</v>
      </c>
      <c r="Z94" s="18" t="n">
        <v>98121</v>
      </c>
      <c r="AA94" s="18" t="n">
        <v>11207</v>
      </c>
    </row>
    <row r="95">
      <c r="A95" s="7" t="inlineStr">
        <is>
          <t>ok</t>
        </is>
      </c>
      <c r="C95" s="18" t="inlineStr">
        <is>
          <t>品牌</t>
        </is>
      </c>
      <c r="D95" s="19" t="inlineStr">
        <is>
          <t xml:space="preserve">极简风厨房，新生活方式 </t>
        </is>
      </c>
      <c r="E95" s="18" t="inlineStr">
        <is>
          <t>米大米</t>
        </is>
      </c>
      <c r="F95" s="7" t="inlineStr">
        <is>
          <t>https://pgy.xiaohongshu.com/solar/pre-trade/blogger-detail/5bb184257d87110001e0c1dc?track_id=kolMatch_564352da8b82463bb4f360b20d173faf&amp;source=Advertiser_Kol</t>
        </is>
      </c>
      <c r="G95" s="19" t="inlineStr">
        <is>
          <t>https://www.xiaohongshu.com/user/profile/5bb184257d87110001e0c1dc</t>
        </is>
      </c>
      <c r="H95" s="118" t="inlineStr">
        <is>
          <t>milan1020666</t>
        </is>
      </c>
      <c r="I95" s="18" t="inlineStr">
        <is>
          <t>家居家装</t>
        </is>
      </c>
      <c r="J95" s="18" t="n"/>
      <c r="K95" s="18" t="n"/>
      <c r="L95" s="18" t="inlineStr">
        <is>
          <t>尾部</t>
        </is>
      </c>
      <c r="M95" s="18" t="n">
        <v>3.2</v>
      </c>
      <c r="N95" s="18" t="n">
        <v>38.4</v>
      </c>
      <c r="O95" s="18" t="n">
        <v>11000</v>
      </c>
      <c r="P95" s="18">
        <f>O95*1.1</f>
        <v/>
      </c>
      <c r="Q95" s="20">
        <f>P95/Z95</f>
        <v/>
      </c>
      <c r="R95" s="20">
        <f>P95/AA95</f>
        <v/>
      </c>
      <c r="S95" s="18" t="inlineStr">
        <is>
          <t>视频</t>
        </is>
      </c>
      <c r="T95" s="21" t="n">
        <v>0.79</v>
      </c>
      <c r="U95" s="21" t="n">
        <v>0.05</v>
      </c>
      <c r="V95" s="21" t="n">
        <v>0.36</v>
      </c>
      <c r="W95" s="21" t="n">
        <v>0.39</v>
      </c>
      <c r="X95" s="21" t="n">
        <v>0.63</v>
      </c>
      <c r="Y95" s="21" t="n">
        <v>0.17</v>
      </c>
      <c r="Z95" s="18" t="n">
        <v>18799</v>
      </c>
      <c r="AA95" s="18" t="n">
        <v>330</v>
      </c>
    </row>
    <row r="96">
      <c r="A96" s="7" t="inlineStr">
        <is>
          <t>ok</t>
        </is>
      </c>
      <c r="C96" s="18" t="inlineStr">
        <is>
          <t>品牌</t>
        </is>
      </c>
      <c r="D96" s="19" t="inlineStr">
        <is>
          <t>独居慢生活方式 ，自带高客单价流量</t>
        </is>
      </c>
      <c r="E96" s="18" t="inlineStr">
        <is>
          <t>植男Jerry</t>
        </is>
      </c>
      <c r="F96" s="7" t="inlineStr">
        <is>
          <t>https://pgy.xiaohongshu.com/solar/pre-trade/blogger-detail/5dcd13c9000000000100572a?track_id=kolMatch_0f8dbf46b3f5463da17b109b7f2f5253&amp;source=Advertiser_Kol</t>
        </is>
      </c>
      <c r="G96" s="19" t="inlineStr">
        <is>
          <t>https://www.xiaohongshu.com/user/profile/5dcd13c9000000000100572a</t>
        </is>
      </c>
      <c r="H96" s="118" t="n">
        <v>988219077</v>
      </c>
      <c r="I96" s="18" t="inlineStr">
        <is>
          <t>家居家装</t>
        </is>
      </c>
      <c r="J96" s="18" t="n"/>
      <c r="K96" s="18" t="n"/>
      <c r="L96" s="18" t="inlineStr">
        <is>
          <t>尾部</t>
        </is>
      </c>
      <c r="M96" s="18" t="n">
        <v>3.4</v>
      </c>
      <c r="N96" s="18" t="n">
        <v>16.8</v>
      </c>
      <c r="O96" s="18" t="n">
        <v>10800</v>
      </c>
      <c r="P96" s="18">
        <f>O96*1.1</f>
        <v/>
      </c>
      <c r="Q96" s="20">
        <f>P96/Z96</f>
        <v/>
      </c>
      <c r="R96" s="20">
        <f>P96/AA96</f>
        <v/>
      </c>
      <c r="S96" s="18" t="inlineStr">
        <is>
          <t>视频</t>
        </is>
      </c>
      <c r="T96" s="21" t="n">
        <v>0.7</v>
      </c>
      <c r="U96" s="21" t="n">
        <v>0.05</v>
      </c>
      <c r="V96" s="21" t="n">
        <v>0.29</v>
      </c>
      <c r="W96" s="21" t="n">
        <v>0.34</v>
      </c>
      <c r="X96" s="21" t="n">
        <v>0.42</v>
      </c>
      <c r="Y96" s="21" t="n">
        <v>0.23</v>
      </c>
      <c r="Z96" s="18" t="n">
        <v>15033</v>
      </c>
      <c r="AA96" s="18" t="n">
        <v>649</v>
      </c>
    </row>
    <row r="97">
      <c r="A97" s="7" t="inlineStr">
        <is>
          <t>年轻粉丝太多</t>
        </is>
      </c>
      <c r="C97" s="18" t="inlineStr">
        <is>
          <t>品牌</t>
        </is>
      </c>
      <c r="D97" s="19" t="n"/>
      <c r="E97" s="18" t="inlineStr">
        <is>
          <t>点点的理想家</t>
        </is>
      </c>
      <c r="F97" s="7" t="inlineStr">
        <is>
          <t>https://pgy.xiaohongshu.com/solar/pre-trade/blogger-detail/68022ea8000000000e02cd1b?track_id=kolMatch_0f8dbf46b3f5463da17b109b7f2f5253&amp;source=Advertiser_Kol</t>
        </is>
      </c>
      <c r="G97" s="19" t="inlineStr">
        <is>
          <t>https://www.xiaohongshu.com/user/profile/68022ea8000000000e02cd1b</t>
        </is>
      </c>
      <c r="H97" s="118" t="n">
        <v>26242601811</v>
      </c>
      <c r="I97" s="18" t="inlineStr">
        <is>
          <t>家居家装</t>
        </is>
      </c>
      <c r="J97" s="18" t="n"/>
      <c r="K97" s="18" t="n"/>
      <c r="L97" s="18" t="inlineStr">
        <is>
          <t>尾部</t>
        </is>
      </c>
      <c r="M97" s="18" t="n">
        <v>6.3</v>
      </c>
      <c r="N97" s="18" t="n">
        <v>43.4</v>
      </c>
      <c r="O97" s="18" t="n">
        <v>5000</v>
      </c>
      <c r="P97" s="18">
        <f>O97*1.1</f>
        <v/>
      </c>
      <c r="Q97" s="20">
        <f>P97/Z97</f>
        <v/>
      </c>
      <c r="R97" s="20">
        <f>P97/AA97</f>
        <v/>
      </c>
      <c r="S97" s="18" t="inlineStr">
        <is>
          <t>视频</t>
        </is>
      </c>
      <c r="T97" s="21" t="n">
        <v>0.71</v>
      </c>
      <c r="U97" s="21" t="n">
        <v>0.16</v>
      </c>
      <c r="V97" s="21" t="n">
        <v>0.21</v>
      </c>
      <c r="W97" s="21" t="n">
        <v>0.23</v>
      </c>
      <c r="X97" s="21" t="n">
        <v>0.22</v>
      </c>
      <c r="Y97" s="21" t="n">
        <v>0.24</v>
      </c>
      <c r="Z97" s="18" t="n">
        <v>17896</v>
      </c>
      <c r="AA97" s="18" t="n">
        <v>758</v>
      </c>
    </row>
    <row r="98">
      <c r="A98" s="43" t="inlineStr">
        <is>
          <t>以下为品牌新提报</t>
        </is>
      </c>
      <c r="C98" s="32" t="n"/>
      <c r="D98" s="19" t="n"/>
      <c r="E98" s="18" t="n"/>
      <c r="F98" s="7" t="n"/>
      <c r="G98" s="19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20" t="n"/>
      <c r="R98" s="20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</row>
    <row r="99">
      <c r="A99" s="7" t="inlineStr">
        <is>
          <t>ok</t>
        </is>
      </c>
      <c r="C99" s="18" t="inlineStr">
        <is>
          <t>品牌</t>
        </is>
      </c>
      <c r="D99" s="19" t="inlineStr">
        <is>
          <t xml:space="preserve">口播 主打测评，有厨房场景 有家电爆文 </t>
        </is>
      </c>
      <c r="E99" s="140" t="inlineStr">
        <is>
          <t>蕊蕊当家</t>
        </is>
      </c>
      <c r="F99" s="7" t="inlineStr">
        <is>
          <t>https://pgy.xiaohongshu.com/solar/pre-trade/blogger-detail/67453e99000000001d02faf0?track_id=kolMatch_a2b0a43926eb41e2806e38dbb4c8e19b&amp;source=Advertiser_Kol</t>
        </is>
      </c>
      <c r="G99" s="19" t="inlineStr">
        <is>
          <t>https://www.xiaohongshu.com/user/profile/67453e99000000001d02faf0</t>
        </is>
      </c>
      <c r="H99" s="118" t="n">
        <v>11547764142</v>
      </c>
      <c r="I99" s="18" t="inlineStr">
        <is>
          <t>家居家装</t>
        </is>
      </c>
      <c r="J99" s="18" t="n"/>
      <c r="K99" s="18" t="n"/>
      <c r="L99" s="18" t="inlineStr">
        <is>
          <t>腰部</t>
        </is>
      </c>
      <c r="M99" s="18" t="n">
        <v>11.9</v>
      </c>
      <c r="N99" s="18" t="n">
        <v>24.7</v>
      </c>
      <c r="O99" s="18" t="n">
        <v>9800</v>
      </c>
      <c r="P99" s="18">
        <f>O99*1.1</f>
        <v/>
      </c>
      <c r="Q99" s="20">
        <f>P99/Z99</f>
        <v/>
      </c>
      <c r="R99" s="20">
        <f>P99/AA99</f>
        <v/>
      </c>
      <c r="S99" s="18" t="inlineStr">
        <is>
          <t>视频</t>
        </is>
      </c>
      <c r="T99" s="21" t="n">
        <v>0.83</v>
      </c>
      <c r="U99" s="21" t="n">
        <v>0.05</v>
      </c>
      <c r="V99" s="21" t="n">
        <v>0.3</v>
      </c>
      <c r="W99" s="21" t="n">
        <v>0.4</v>
      </c>
      <c r="X99" s="21" t="n">
        <v>0.28</v>
      </c>
      <c r="Y99" s="21" t="n">
        <v>0.23</v>
      </c>
      <c r="Z99" s="18" t="n">
        <v>28788</v>
      </c>
      <c r="AA99" s="18" t="n">
        <v>2547</v>
      </c>
    </row>
    <row r="100">
      <c r="A100" s="7" t="inlineStr">
        <is>
          <t>ok</t>
        </is>
      </c>
      <c r="C100" s="18" t="inlineStr">
        <is>
          <t>品牌</t>
        </is>
      </c>
      <c r="D100" s="19" t="inlineStr">
        <is>
          <t>年轻人慢生活方式 乡下小院靠近美食</t>
        </is>
      </c>
      <c r="E100" s="18" t="inlineStr">
        <is>
          <t>不若如初</t>
        </is>
      </c>
      <c r="F100" s="7" t="inlineStr">
        <is>
          <t>https://pgy.xiaohongshu.com/solar/pre-trade/blogger-detail/56c5b898aed7582d8a9b5f23?track_id=kolMatch_a2b0a43926eb41e2806e38dbb4c8e19b&amp;source=Advertiser_Kol</t>
        </is>
      </c>
      <c r="G100" s="19" t="inlineStr">
        <is>
          <t>https://www.xiaohongshu.com/user/profile/56c5b898aed7582d8a9b5f23</t>
        </is>
      </c>
      <c r="H100" s="118" t="n">
        <v>108265004</v>
      </c>
      <c r="I100" s="18" t="inlineStr">
        <is>
          <t>家居家装</t>
        </is>
      </c>
      <c r="J100" s="18" t="n"/>
      <c r="K100" s="18" t="n"/>
      <c r="L100" s="18" t="inlineStr">
        <is>
          <t>腰部</t>
        </is>
      </c>
      <c r="M100" s="18" t="n">
        <v>11.5</v>
      </c>
      <c r="N100" s="18" t="n">
        <v>86.7</v>
      </c>
      <c r="O100" s="18" t="n">
        <v>14800</v>
      </c>
      <c r="P100" s="18">
        <f>O100*1.1</f>
        <v/>
      </c>
      <c r="Q100" s="20">
        <f>P100/Z100</f>
        <v/>
      </c>
      <c r="R100" s="20">
        <f>P100/AA100</f>
        <v/>
      </c>
      <c r="S100" s="18" t="inlineStr">
        <is>
          <t>视频</t>
        </is>
      </c>
      <c r="T100" s="21" t="n">
        <v>0.84</v>
      </c>
      <c r="U100" s="21" t="n">
        <v>0.03</v>
      </c>
      <c r="V100" s="21" t="n">
        <v>0.33</v>
      </c>
      <c r="W100" s="21" t="n">
        <v>0.43</v>
      </c>
      <c r="X100" s="21" t="n">
        <v>0.49</v>
      </c>
      <c r="Y100" s="21" t="n">
        <v>0.21</v>
      </c>
      <c r="Z100" s="18" t="n">
        <v>26997</v>
      </c>
      <c r="AA100" s="18" t="n">
        <v>2227</v>
      </c>
    </row>
    <row r="101">
      <c r="A101" s="7" t="inlineStr">
        <is>
          <t>ok</t>
        </is>
      </c>
      <c r="C101" s="18" t="inlineStr">
        <is>
          <t>品牌</t>
        </is>
      </c>
      <c r="D101" s="19" t="inlineStr">
        <is>
          <t>爆文多，情绪化高品质家居调性</t>
        </is>
      </c>
      <c r="E101" s="18" t="inlineStr">
        <is>
          <t>Lili大大</t>
        </is>
      </c>
      <c r="F101" s="7" t="inlineStr">
        <is>
          <t>https://pgy.xiaohongshu.com/solar/pre-trade/blogger-detail/5b6ba011a001f6000129fb20?track_id=kolMatch_c18e4a9bd67149e5aeccd0cecbabfcb0&amp;source=Advertiser_Kol</t>
        </is>
      </c>
      <c r="G101" s="19" t="inlineStr">
        <is>
          <t>https://www.xiaohongshu.com/user/profile/5b6ba011a001f6000129fb20</t>
        </is>
      </c>
      <c r="H101" s="118" t="inlineStr">
        <is>
          <t>mibaofushi</t>
        </is>
      </c>
      <c r="I101" s="18" t="inlineStr">
        <is>
          <t>家居家装</t>
        </is>
      </c>
      <c r="J101" s="18" t="n"/>
      <c r="K101" s="18" t="n"/>
      <c r="L101" s="18" t="inlineStr">
        <is>
          <t>腰部</t>
        </is>
      </c>
      <c r="M101" s="18" t="n">
        <v>14.7</v>
      </c>
      <c r="N101" s="18" t="n">
        <v>82.8</v>
      </c>
      <c r="O101" s="18" t="n">
        <v>17000</v>
      </c>
      <c r="P101" s="18">
        <f>O101*1.1</f>
        <v/>
      </c>
      <c r="Q101" s="20">
        <f>P101/Z101</f>
        <v/>
      </c>
      <c r="R101" s="20">
        <f>P101/AA101</f>
        <v/>
      </c>
      <c r="S101" s="18" t="inlineStr">
        <is>
          <t>视频</t>
        </is>
      </c>
      <c r="T101" s="21" t="n">
        <v>0.92</v>
      </c>
      <c r="U101" s="21" t="n">
        <v>0.02</v>
      </c>
      <c r="V101" s="21" t="n">
        <v>0.34</v>
      </c>
      <c r="W101" s="21" t="n">
        <v>0.46</v>
      </c>
      <c r="X101" s="21" t="n">
        <v>0.33</v>
      </c>
      <c r="Y101" s="21" t="n">
        <v>0.24</v>
      </c>
      <c r="Z101" s="18" t="n">
        <v>33751</v>
      </c>
      <c r="AA101" s="18" t="n">
        <v>5402</v>
      </c>
    </row>
    <row r="102">
      <c r="C102" s="18" t="inlineStr">
        <is>
          <t>品牌</t>
        </is>
      </c>
      <c r="D102" s="19" t="inlineStr">
        <is>
          <t>电器有爆文 客单价人群匹配</t>
        </is>
      </c>
      <c r="E102" s="18" t="inlineStr">
        <is>
          <t>北北理想家</t>
        </is>
      </c>
      <c r="F102" s="7" t="inlineStr">
        <is>
          <t>https://pgy.xiaohongshu.com/solar/pre-trade/blogger-detail/60374f8e0000000001006fa5?track_id=kolMatch_3898bd6c9cde420fb952dbc1bb44389a&amp;source=Advertiser_Kol</t>
        </is>
      </c>
      <c r="G102" s="19" t="inlineStr">
        <is>
          <t>https://www.xiaohongshu.com/user/profile/60374f8e0000000001006fa5</t>
        </is>
      </c>
      <c r="H102" s="118" t="n">
        <v>2639117927</v>
      </c>
      <c r="I102" s="18" t="inlineStr">
        <is>
          <t>家居家装</t>
        </is>
      </c>
      <c r="J102" s="18" t="n"/>
      <c r="K102" s="18" t="n"/>
      <c r="L102" s="18" t="inlineStr">
        <is>
          <t>腰部</t>
        </is>
      </c>
      <c r="M102" s="18" t="n">
        <v>12</v>
      </c>
      <c r="N102" s="18" t="n">
        <v>25.7</v>
      </c>
      <c r="O102" s="18" t="n">
        <v>10000</v>
      </c>
      <c r="P102" s="18">
        <f>O102*1.1</f>
        <v/>
      </c>
      <c r="Q102" s="20">
        <f>P102/Z102</f>
        <v/>
      </c>
      <c r="R102" s="20">
        <f>P102/AA102</f>
        <v/>
      </c>
      <c r="S102" s="18" t="inlineStr">
        <is>
          <t>图文</t>
        </is>
      </c>
      <c r="T102" s="21" t="n">
        <v>0.59</v>
      </c>
      <c r="U102" s="21" t="n">
        <v>0.04</v>
      </c>
      <c r="V102" s="21" t="n">
        <v>0.21</v>
      </c>
      <c r="W102" s="21" t="n">
        <v>0.38</v>
      </c>
      <c r="X102" s="21" t="n">
        <v>0.27</v>
      </c>
      <c r="Y102" s="21" t="n">
        <v>0.32</v>
      </c>
      <c r="Z102" s="18" t="n">
        <v>27959</v>
      </c>
      <c r="AA102" s="18" t="n">
        <v>2773</v>
      </c>
    </row>
    <row r="103">
      <c r="A103" s="7" t="inlineStr">
        <is>
          <t>ok</t>
        </is>
      </c>
      <c r="C103" s="18" t="inlineStr">
        <is>
          <t>品牌</t>
        </is>
      </c>
      <c r="D103" s="19" t="inlineStr">
        <is>
          <t xml:space="preserve">意式开放式餐厨 内容有质感 </t>
        </is>
      </c>
      <c r="E103" s="18" t="inlineStr">
        <is>
          <t>小男的家ing</t>
        </is>
      </c>
      <c r="F103" s="7" t="inlineStr">
        <is>
          <t>https://pgy.xiaohongshu.com/solar/pre-trade/blogger-detail/594fba4982ec397bde1c9998?track_id=kolSimilar_345da337c4b94c33a6eb3a8d76e80a06&amp;source=Advertiser_Similar_Kol</t>
        </is>
      </c>
      <c r="G103" s="19" t="inlineStr">
        <is>
          <t>https://www.xiaohongshu.com/user/profile/594fba4982ec397bde1c9998</t>
        </is>
      </c>
      <c r="H103" s="118" t="n">
        <v>260928218</v>
      </c>
      <c r="I103" s="18" t="inlineStr">
        <is>
          <t>家居家装</t>
        </is>
      </c>
      <c r="J103" s="18" t="n"/>
      <c r="K103" s="18" t="n"/>
      <c r="L103" s="18" t="inlineStr">
        <is>
          <t>尾部</t>
        </is>
      </c>
      <c r="M103" s="18" t="n">
        <v>2.3</v>
      </c>
      <c r="N103" s="18" t="n">
        <v>27</v>
      </c>
      <c r="O103" s="18" t="n">
        <v>6200</v>
      </c>
      <c r="P103" s="18">
        <f>O103*1.1</f>
        <v/>
      </c>
      <c r="Q103" s="20">
        <f>P103/Z103</f>
        <v/>
      </c>
      <c r="R103" s="20">
        <f>P103/AA103</f>
        <v/>
      </c>
      <c r="S103" s="18" t="inlineStr">
        <is>
          <t>视频</t>
        </is>
      </c>
      <c r="T103" s="21" t="n">
        <v>0.77</v>
      </c>
      <c r="U103" s="21" t="n">
        <v>0.06</v>
      </c>
      <c r="V103" s="21" t="n">
        <v>0.48</v>
      </c>
      <c r="W103" s="21" t="n">
        <v>0.33</v>
      </c>
      <c r="X103" s="21" t="n">
        <v>0.63</v>
      </c>
      <c r="Y103" s="21" t="n">
        <v>0.17</v>
      </c>
      <c r="Z103" s="22" t="n">
        <v>7364</v>
      </c>
      <c r="AA103" s="18" t="n">
        <v>694</v>
      </c>
    </row>
    <row r="104">
      <c r="A104" s="7" t="inlineStr">
        <is>
          <t>ok</t>
        </is>
      </c>
      <c r="C104" s="18" t="inlineStr">
        <is>
          <t>品牌</t>
        </is>
      </c>
      <c r="D104" s="19" t="inlineStr">
        <is>
          <t>过往客单价匹配 家庭聚餐场景 人群符</t>
        </is>
      </c>
      <c r="E104" s="18" t="inlineStr">
        <is>
          <t>PPK</t>
        </is>
      </c>
      <c r="F104" s="7" t="inlineStr">
        <is>
          <t>https://pgy.xiaohongshu.com/solar/pre-trade/blogger-detail/64d8936b00000000010101df?track_id=kolSimilar_345da337c4b94c33a6eb3a8d76e80a06&amp;source=Advertiser_Similar_Kol</t>
        </is>
      </c>
      <c r="G104" s="19" t="inlineStr">
        <is>
          <t>https://www.xiaohongshu.com/user/profile/64d8936b00000000010101df</t>
        </is>
      </c>
      <c r="H104" s="118" t="inlineStr">
        <is>
          <t>zxa7722</t>
        </is>
      </c>
      <c r="I104" s="18" t="inlineStr">
        <is>
          <t>家居家装</t>
        </is>
      </c>
      <c r="J104" s="18" t="n"/>
      <c r="K104" s="18" t="n"/>
      <c r="L104" s="18" t="inlineStr">
        <is>
          <t>尾部</t>
        </is>
      </c>
      <c r="M104" s="18" t="n">
        <v>2.6</v>
      </c>
      <c r="N104" s="18" t="n">
        <v>51</v>
      </c>
      <c r="O104" s="18" t="n">
        <v>9800</v>
      </c>
      <c r="P104" s="18">
        <f>O104*1.1</f>
        <v/>
      </c>
      <c r="Q104" s="20">
        <f>P104/Z104</f>
        <v/>
      </c>
      <c r="R104" s="20">
        <f>P104/AA104</f>
        <v/>
      </c>
      <c r="S104" s="18" t="inlineStr">
        <is>
          <t>图文</t>
        </is>
      </c>
      <c r="T104" s="21" t="n">
        <v>0.7</v>
      </c>
      <c r="U104" s="21" t="n">
        <v>0.13</v>
      </c>
      <c r="V104" s="21" t="n">
        <v>0.49</v>
      </c>
      <c r="W104" s="21" t="n">
        <v>0.26</v>
      </c>
      <c r="X104" s="21" t="n">
        <v>0.68</v>
      </c>
      <c r="Y104" s="21" t="n">
        <v>0.14</v>
      </c>
      <c r="Z104" s="22" t="n">
        <v>22244</v>
      </c>
      <c r="AA104" s="18" t="n">
        <v>1785</v>
      </c>
    </row>
    <row r="105">
      <c r="A105" s="7" t="inlineStr">
        <is>
          <t>ok</t>
        </is>
      </c>
      <c r="C105" s="18" t="inlineStr">
        <is>
          <t>品牌</t>
        </is>
      </c>
      <c r="D105" s="19" t="inlineStr">
        <is>
          <t xml:space="preserve">白色极简风 家电爆文 </t>
        </is>
      </c>
      <c r="E105" s="18" t="inlineStr">
        <is>
          <t>不鱼</t>
        </is>
      </c>
      <c r="F105" s="7" t="inlineStr">
        <is>
          <t>https://pgy.xiaohongshu.com/solar/pre-trade/blogger-detail/65f161a0000000000500a702?track_id=kolSimilar_01891343d6464fce89686f8cfa133b71&amp;source=Advertiser_Similar_Kol</t>
        </is>
      </c>
      <c r="G105" s="19" t="inlineStr">
        <is>
          <t>https://www.xiaohongshu.com/user/profile/65f161a0000000000500a702</t>
        </is>
      </c>
      <c r="H105" s="118" t="n">
        <v>42792899224</v>
      </c>
      <c r="I105" s="18" t="inlineStr">
        <is>
          <t>家居家装</t>
        </is>
      </c>
      <c r="J105" s="18" t="n"/>
      <c r="K105" s="18" t="n"/>
      <c r="L105" s="18" t="inlineStr">
        <is>
          <t>尾部</t>
        </is>
      </c>
      <c r="M105" s="18" t="n">
        <v>1.7</v>
      </c>
      <c r="N105" s="18" t="n">
        <v>29</v>
      </c>
      <c r="O105" s="18" t="n">
        <v>4800</v>
      </c>
      <c r="P105" s="18">
        <f>O105*1.1</f>
        <v/>
      </c>
      <c r="Q105" s="20">
        <f>P105/Z105</f>
        <v/>
      </c>
      <c r="R105" s="20">
        <f>P105/AA105</f>
        <v/>
      </c>
      <c r="S105" s="18" t="inlineStr">
        <is>
          <t>图文</t>
        </is>
      </c>
      <c r="T105" s="21" t="n">
        <v>0.82</v>
      </c>
      <c r="U105" s="21" t="n">
        <v>0.1</v>
      </c>
      <c r="V105" s="21" t="n">
        <v>0.47</v>
      </c>
      <c r="W105" s="21" t="n">
        <v>0.27</v>
      </c>
      <c r="X105" s="21" t="n">
        <v>0.52</v>
      </c>
      <c r="Y105" s="21" t="n">
        <v>0.15</v>
      </c>
      <c r="Z105" s="22" t="n">
        <v>10542</v>
      </c>
      <c r="AA105" s="18" t="n">
        <v>773</v>
      </c>
    </row>
    <row r="106">
      <c r="A106" s="7" t="inlineStr">
        <is>
          <t>ok</t>
        </is>
      </c>
      <c r="C106" s="18" t="inlineStr">
        <is>
          <t>品牌</t>
        </is>
      </c>
      <c r="D106" s="19" t="inlineStr">
        <is>
          <t xml:space="preserve">有娃家庭 智能化生活方式 </t>
        </is>
      </c>
      <c r="E106" s="18" t="inlineStr">
        <is>
          <t>小红姐姐的家🏠</t>
        </is>
      </c>
      <c r="F106" s="7" t="inlineStr">
        <is>
          <t>https://pgy.xiaohongshu.com/solar/pre-trade/blogger-detail/5a1bb60a4eacab252da41bd8?track_id=kolSimilar_5f73b095e529472bad1372d932c1f860&amp;source=Advertiser_Similar_Kol</t>
        </is>
      </c>
      <c r="G106" s="19" t="inlineStr">
        <is>
          <t>https://www.xiaohongshu.com/user/profile/5a1bb60a4eacab252da41bd8</t>
        </is>
      </c>
      <c r="H106" s="118" t="inlineStr">
        <is>
          <t>HANWANHONG</t>
        </is>
      </c>
      <c r="I106" s="18" t="inlineStr">
        <is>
          <t>家居家装</t>
        </is>
      </c>
      <c r="J106" s="18" t="n"/>
      <c r="K106" s="18" t="n"/>
      <c r="L106" s="18" t="inlineStr">
        <is>
          <t>尾部</t>
        </is>
      </c>
      <c r="M106" s="18" t="n">
        <v>2.8</v>
      </c>
      <c r="N106" s="18" t="n">
        <v>38</v>
      </c>
      <c r="O106" s="18" t="n">
        <v>6000</v>
      </c>
      <c r="P106" s="18">
        <f>O106*1.1</f>
        <v/>
      </c>
      <c r="Q106" s="20">
        <f>P106/Z106</f>
        <v/>
      </c>
      <c r="R106" s="20">
        <f>P106/AA106</f>
        <v/>
      </c>
      <c r="S106" s="18" t="inlineStr">
        <is>
          <t>图文</t>
        </is>
      </c>
      <c r="T106" s="21" t="n">
        <v>0.72</v>
      </c>
      <c r="U106" s="21" t="n">
        <v>0.09</v>
      </c>
      <c r="V106" s="21" t="n">
        <v>0.49</v>
      </c>
      <c r="W106" s="21" t="n">
        <v>0.25</v>
      </c>
      <c r="X106" s="21" t="n">
        <v>0.48</v>
      </c>
      <c r="Y106" s="21" t="n">
        <v>0.16</v>
      </c>
      <c r="Z106" s="22" t="n">
        <v>10016</v>
      </c>
      <c r="AA106" s="18" t="n">
        <v>437</v>
      </c>
    </row>
    <row r="107">
      <c r="A107" s="7" t="inlineStr">
        <is>
          <t>ok</t>
        </is>
      </c>
      <c r="C107" s="18" t="inlineStr">
        <is>
          <t>品牌</t>
        </is>
      </c>
      <c r="D107" s="19" t="inlineStr">
        <is>
          <t>精致理想家 爆文多</t>
        </is>
      </c>
      <c r="E107" s="18" t="inlineStr">
        <is>
          <t>奶油卤蛋</t>
        </is>
      </c>
      <c r="F107" s="7" t="inlineStr">
        <is>
          <t>https://pgy.xiaohongshu.com/solar/pre-trade/blogger-detail/5b6471b7c5fd3c0001487e14?track_id=kolSimilar_5f73b095e529472bad1372d932c1f860&amp;source=Advertiser_Similar_Kol</t>
        </is>
      </c>
      <c r="G107" s="19" t="inlineStr">
        <is>
          <t>https://www.xiaohongshu.com/user/profile/5b6471b7c5fd3c0001487e14</t>
        </is>
      </c>
      <c r="H107" s="118" t="n">
        <v>600083976</v>
      </c>
      <c r="I107" s="18" t="inlineStr">
        <is>
          <t>家居家装</t>
        </is>
      </c>
      <c r="J107" s="18" t="n"/>
      <c r="K107" s="18" t="n"/>
      <c r="L107" s="18" t="inlineStr">
        <is>
          <t>尾部</t>
        </is>
      </c>
      <c r="M107" s="18" t="n">
        <v>1.6</v>
      </c>
      <c r="N107" s="18" t="n">
        <v>41</v>
      </c>
      <c r="O107" s="18" t="n">
        <v>4800</v>
      </c>
      <c r="P107" s="18">
        <f>O107*1.1</f>
        <v/>
      </c>
      <c r="Q107" s="20">
        <f>P107/Z107</f>
        <v/>
      </c>
      <c r="R107" s="20">
        <f>P107/AA107</f>
        <v/>
      </c>
      <c r="S107" s="18" t="inlineStr">
        <is>
          <t>图文</t>
        </is>
      </c>
      <c r="T107" s="21" t="n">
        <v>0.86</v>
      </c>
      <c r="U107" s="21" t="n">
        <v>0.05</v>
      </c>
      <c r="V107" s="21" t="n">
        <v>0.42</v>
      </c>
      <c r="W107" s="21" t="n">
        <v>0.35</v>
      </c>
      <c r="X107" s="21" t="n">
        <v>0.54</v>
      </c>
      <c r="Y107" s="21" t="n">
        <v>0.2</v>
      </c>
      <c r="Z107" s="22" t="n">
        <v>14296</v>
      </c>
      <c r="AA107" s="18" t="n">
        <v>997</v>
      </c>
    </row>
    <row r="108">
      <c r="A108" s="7" t="inlineStr">
        <is>
          <t>ok</t>
        </is>
      </c>
      <c r="C108" s="18" t="inlineStr">
        <is>
          <t>品牌</t>
        </is>
      </c>
      <c r="D108" s="19" t="inlineStr">
        <is>
          <t>近期外溢进店中位数
2,115</t>
        </is>
      </c>
      <c r="E108" s="18" t="inlineStr">
        <is>
          <t>小粥同学🏠</t>
        </is>
      </c>
      <c r="F108" s="7" t="inlineStr">
        <is>
          <t>https://pgy.xiaohongshu.com/solar/pre-trade/blogger-detail/5a97f06f11be102313679d97?track_id=kolSimilar_5f73b095e529472bad1372d932c1f860&amp;source=Advertiser_Similar_Kol</t>
        </is>
      </c>
      <c r="G108" s="19" t="inlineStr">
        <is>
          <t>https://www.xiaohongshu.com/user/profile/5a97f06f11be102313679d97</t>
        </is>
      </c>
      <c r="H108" s="118" t="n">
        <v>630144003</v>
      </c>
      <c r="I108" s="18" t="inlineStr">
        <is>
          <t>家居家装</t>
        </is>
      </c>
      <c r="J108" s="18" t="n"/>
      <c r="K108" s="18" t="n"/>
      <c r="L108" s="18" t="inlineStr">
        <is>
          <t>尾部</t>
        </is>
      </c>
      <c r="M108" s="18" t="n">
        <v>3</v>
      </c>
      <c r="N108" s="18" t="n">
        <v>48</v>
      </c>
      <c r="O108" s="18" t="n">
        <v>9200</v>
      </c>
      <c r="P108" s="18">
        <f>O108*1.1</f>
        <v/>
      </c>
      <c r="Q108" s="20">
        <f>P108/Z108</f>
        <v/>
      </c>
      <c r="R108" s="20">
        <f>P108/AA108</f>
        <v/>
      </c>
      <c r="S108" s="18" t="inlineStr">
        <is>
          <t>图文</t>
        </is>
      </c>
      <c r="T108" s="21" t="n">
        <v>0.71</v>
      </c>
      <c r="U108" s="21" t="n">
        <v>0.06</v>
      </c>
      <c r="V108" s="21" t="n">
        <v>0.49</v>
      </c>
      <c r="W108" s="21" t="n">
        <v>0.29</v>
      </c>
      <c r="X108" s="21" t="n">
        <v>0.55</v>
      </c>
      <c r="Y108" s="21" t="n">
        <v>0.18</v>
      </c>
      <c r="Z108" s="22" t="n">
        <v>47156</v>
      </c>
      <c r="AA108" s="18" t="n">
        <v>2311</v>
      </c>
    </row>
    <row r="109">
      <c r="A109" s="7" t="inlineStr">
        <is>
          <t>ok</t>
        </is>
      </c>
      <c r="C109" s="18" t="inlineStr">
        <is>
          <t>品牌</t>
        </is>
      </c>
      <c r="D109" s="19" t="inlineStr">
        <is>
          <t>厨房场景 互动率高</t>
        </is>
      </c>
      <c r="E109" s="18" t="inlineStr">
        <is>
          <t>乖宝儿的家</t>
        </is>
      </c>
      <c r="F109" s="7" t="inlineStr">
        <is>
          <t>https://pgy.xiaohongshu.com/solar/pre-trade/blogger-detail/63a5266b000000002601349b?track_id=kolSimilar_5f73b095e529472bad1372d932c1f860&amp;source=Advertiser_Similar_Kol</t>
        </is>
      </c>
      <c r="G109" s="19" t="inlineStr">
        <is>
          <t>https://www.xiaohongshu.com/user/profile/63a5266b000000002601349b</t>
        </is>
      </c>
      <c r="H109" s="118" t="n">
        <v>5377940995</v>
      </c>
      <c r="I109" s="18" t="inlineStr">
        <is>
          <t>家居家装</t>
        </is>
      </c>
      <c r="J109" s="18" t="n"/>
      <c r="K109" s="18" t="n"/>
      <c r="L109" s="18" t="inlineStr">
        <is>
          <t>尾部</t>
        </is>
      </c>
      <c r="M109" s="18" t="n">
        <v>5.1</v>
      </c>
      <c r="N109" s="18" t="n">
        <v>36</v>
      </c>
      <c r="O109" s="18" t="n">
        <v>10000</v>
      </c>
      <c r="P109" s="18">
        <f>O109*1.1</f>
        <v/>
      </c>
      <c r="Q109" s="20">
        <f>P109/Z109</f>
        <v/>
      </c>
      <c r="R109" s="20">
        <f>P109/AA109</f>
        <v/>
      </c>
      <c r="S109" s="18" t="inlineStr">
        <is>
          <t>图文</t>
        </is>
      </c>
      <c r="T109" s="21" t="n">
        <v>0.77</v>
      </c>
      <c r="U109" s="21" t="n">
        <v>0.11</v>
      </c>
      <c r="V109" s="21" t="n">
        <v>0.46</v>
      </c>
      <c r="W109" s="21" t="n">
        <v>0.28</v>
      </c>
      <c r="X109" s="21" t="n">
        <v>0.5</v>
      </c>
      <c r="Y109" s="21" t="n">
        <v>0.16</v>
      </c>
      <c r="Z109" s="22" t="n">
        <v>15169</v>
      </c>
      <c r="AA109" s="18" t="n">
        <v>1029</v>
      </c>
    </row>
    <row r="110">
      <c r="A110" s="7" t="inlineStr">
        <is>
          <t>ok</t>
        </is>
      </c>
      <c r="C110" s="18" t="inlineStr">
        <is>
          <t>品牌</t>
        </is>
      </c>
      <c r="D110" s="19" t="inlineStr">
        <is>
          <t>意式极简厨房，合作的场景化不错</t>
        </is>
      </c>
      <c r="E110" s="18" t="inlineStr">
        <is>
          <t>阿妍</t>
        </is>
      </c>
      <c r="F110" s="7" t="inlineStr">
        <is>
          <t>https://pgy.xiaohongshu.com/solar/pre-trade/blogger-detail/5bd6770701fd9e0001e98fe9?track_id=kolSimilar_5f73b095e529472bad1372d932c1f860&amp;source=Advertiser_Similar_Kol</t>
        </is>
      </c>
      <c r="G110" s="19" t="inlineStr">
        <is>
          <t>https://www.xiaohongshu.com/user/profile/5bd6770701fd9e0001e98fe9</t>
        </is>
      </c>
      <c r="H110" s="118" t="n">
        <v>564738466</v>
      </c>
      <c r="I110" s="18" t="inlineStr">
        <is>
          <t>家居家装</t>
        </is>
      </c>
      <c r="J110" s="18" t="n"/>
      <c r="K110" s="18" t="n"/>
      <c r="L110" s="18" t="inlineStr">
        <is>
          <t>尾部</t>
        </is>
      </c>
      <c r="M110" s="18" t="n">
        <v>2.2</v>
      </c>
      <c r="N110" s="18" t="n">
        <v>47</v>
      </c>
      <c r="O110" s="18" t="n">
        <v>6500</v>
      </c>
      <c r="P110" s="18">
        <f>O110*1.1</f>
        <v/>
      </c>
      <c r="Q110" s="20">
        <f>P110/Z110</f>
        <v/>
      </c>
      <c r="R110" s="20">
        <f>P110/AA110</f>
        <v/>
      </c>
      <c r="S110" s="18" t="inlineStr">
        <is>
          <t>图文</t>
        </is>
      </c>
      <c r="T110" s="21" t="n">
        <v>0.79</v>
      </c>
      <c r="U110" s="21" t="n">
        <v>0.12</v>
      </c>
      <c r="V110" s="21" t="n">
        <v>0.49</v>
      </c>
      <c r="W110" s="21" t="n">
        <v>0.25</v>
      </c>
      <c r="X110" s="21" t="n">
        <v>0.64</v>
      </c>
      <c r="Y110" s="21" t="n">
        <v>0.13</v>
      </c>
      <c r="Z110" s="22" t="n">
        <v>18961</v>
      </c>
      <c r="AA110" s="18" t="n">
        <v>989</v>
      </c>
    </row>
    <row r="111">
      <c r="A111" s="7" t="inlineStr">
        <is>
          <t>ok</t>
        </is>
      </c>
      <c r="C111" s="18" t="inlineStr">
        <is>
          <t>品牌</t>
        </is>
      </c>
      <c r="D111" s="19" t="inlineStr">
        <is>
          <t>同类带货品匹配 客单价符合 互动率高</t>
        </is>
      </c>
      <c r="E111" s="18" t="inlineStr">
        <is>
          <t>弹牙牙</t>
        </is>
      </c>
      <c r="F111" s="7" t="inlineStr">
        <is>
          <t>https://pgy.xiaohongshu.com/solar/pre-trade/blogger-detail/655229a5000000000403a7b6?track_id=kolSimilar_db54877342d74e699a23d291c229f810&amp;source=Advertiser_Similar_Kol</t>
        </is>
      </c>
      <c r="G111" s="19" t="inlineStr">
        <is>
          <t>https://www.xiaohongshu.com/user/profile/655229a5000000000403a7b6</t>
        </is>
      </c>
      <c r="H111" s="118" t="inlineStr">
        <is>
          <t>Tanyasung_</t>
        </is>
      </c>
      <c r="I111" s="18" t="inlineStr">
        <is>
          <t>家居家装</t>
        </is>
      </c>
      <c r="J111" s="18" t="n"/>
      <c r="K111" s="18" t="n"/>
      <c r="L111" s="18" t="inlineStr">
        <is>
          <t>尾部</t>
        </is>
      </c>
      <c r="M111" s="18" t="n">
        <v>3.9</v>
      </c>
      <c r="N111" s="18" t="n">
        <v>27</v>
      </c>
      <c r="O111" s="18" t="n">
        <v>7500</v>
      </c>
      <c r="P111" s="18">
        <f>O111*1.1</f>
        <v/>
      </c>
      <c r="Q111" s="20">
        <f>P111/Z111</f>
        <v/>
      </c>
      <c r="R111" s="20">
        <f>P111/AA111</f>
        <v/>
      </c>
      <c r="S111" s="18" t="inlineStr">
        <is>
          <t>图文</t>
        </is>
      </c>
      <c r="T111" s="21" t="n">
        <v>0.67</v>
      </c>
      <c r="U111" s="21" t="n">
        <v>0.08</v>
      </c>
      <c r="V111" s="21" t="n">
        <v>0.41</v>
      </c>
      <c r="W111" s="21" t="n">
        <v>0.33</v>
      </c>
      <c r="X111" s="21" t="n">
        <v>0.51</v>
      </c>
      <c r="Y111" s="21" t="n">
        <v>0.18</v>
      </c>
      <c r="Z111" s="22" t="n">
        <v>15339</v>
      </c>
      <c r="AA111" s="18" t="n">
        <v>846</v>
      </c>
    </row>
    <row r="112">
      <c r="A112" s="7" t="inlineStr">
        <is>
          <t>ok</t>
        </is>
      </c>
      <c r="C112" s="18" t="inlineStr">
        <is>
          <t>品牌</t>
        </is>
      </c>
      <c r="D112" s="19" t="inlineStr">
        <is>
          <t>装修设计主题  有餐厨设计理念可融合</t>
        </is>
      </c>
      <c r="E112" s="18" t="inlineStr">
        <is>
          <t>这个设计有点贵</t>
        </is>
      </c>
      <c r="F112" s="7" t="inlineStr">
        <is>
          <t>https://pgy.xiaohongshu.com/solar/pre-trade/blogger-detail/5fb8d8a90000000001007718?track_id=kolSimilar_a21ce1a79fc34d5bbee44b8ec8b39dbc&amp;source=Advertiser_Similar_Kol</t>
        </is>
      </c>
      <c r="G112" s="19" t="inlineStr">
        <is>
          <t>https://www.xiaohongshu.com/user/profile/5fb8d8a90000000001007718</t>
        </is>
      </c>
      <c r="H112" s="118" t="inlineStr">
        <is>
          <t>y469087024</t>
        </is>
      </c>
      <c r="I112" s="18" t="inlineStr">
        <is>
          <t>家居家装</t>
        </is>
      </c>
      <c r="J112" s="18" t="n"/>
      <c r="K112" s="18" t="n"/>
      <c r="L112" s="18" t="inlineStr">
        <is>
          <t>腰部</t>
        </is>
      </c>
      <c r="M112" s="18" t="n">
        <v>27.7</v>
      </c>
      <c r="N112" s="18" t="n">
        <v>223</v>
      </c>
      <c r="O112" s="18" t="n">
        <v>20000</v>
      </c>
      <c r="P112" s="18">
        <f>O112*1.1</f>
        <v/>
      </c>
      <c r="Q112" s="20">
        <f>P112/Z112</f>
        <v/>
      </c>
      <c r="R112" s="20">
        <f>P112/AA112</f>
        <v/>
      </c>
      <c r="S112" s="18" t="inlineStr">
        <is>
          <t>视频</t>
        </is>
      </c>
      <c r="T112" s="21" t="n">
        <v>0.52</v>
      </c>
      <c r="U112" s="21" t="n">
        <v>0.1</v>
      </c>
      <c r="V112" s="21" t="n">
        <v>0.37</v>
      </c>
      <c r="W112" s="21" t="n">
        <v>0.34</v>
      </c>
      <c r="X112" s="21" t="n">
        <v>0.54</v>
      </c>
      <c r="Y112" s="21" t="n">
        <v>0.18</v>
      </c>
      <c r="Z112" s="22" t="n">
        <v>47667</v>
      </c>
      <c r="AA112" s="18" t="n">
        <v>4426</v>
      </c>
    </row>
    <row r="113">
      <c r="A113" s="7" t="inlineStr">
        <is>
          <t>ok</t>
        </is>
      </c>
      <c r="C113" s="18" t="inlineStr">
        <is>
          <t>品牌</t>
        </is>
      </c>
      <c r="D113" s="19" t="inlineStr">
        <is>
          <t xml:space="preserve">独居理想家 慢生活用餐场景 近期爆文 </t>
        </is>
      </c>
      <c r="E113" s="18" t="inlineStr">
        <is>
          <t>Lilysecret</t>
        </is>
      </c>
      <c r="F113" s="7" t="inlineStr">
        <is>
          <t>https://pgy.xiaohongshu.com/solar/pre-trade/blogger-detail/61bf0e0a0000000002024788?track_id=kolSimilar_a21ce1a79fc34d5bbee44b8ec8b39dbc&amp;source=Advertiser_Similar_Kol</t>
        </is>
      </c>
      <c r="G113" s="19" t="inlineStr">
        <is>
          <t>https://www.xiaohongshu.com/user/profile/61bf0e0a0000000002024788</t>
        </is>
      </c>
      <c r="H113" s="118" t="n">
        <v>5275213397</v>
      </c>
      <c r="I113" s="18" t="inlineStr">
        <is>
          <t>家居家装</t>
        </is>
      </c>
      <c r="J113" s="18" t="n"/>
      <c r="K113" s="18" t="n"/>
      <c r="L113" s="18" t="inlineStr">
        <is>
          <t>腰部</t>
        </is>
      </c>
      <c r="M113" s="18" t="n">
        <v>11.2</v>
      </c>
      <c r="N113" s="18" t="n">
        <v>115</v>
      </c>
      <c r="O113" s="18" t="n">
        <v>24000</v>
      </c>
      <c r="P113" s="18">
        <f>O113*1.1</f>
        <v/>
      </c>
      <c r="Q113" s="20">
        <f>P113/Z113</f>
        <v/>
      </c>
      <c r="R113" s="20">
        <f>P113/AA113</f>
        <v/>
      </c>
      <c r="S113" s="18" t="inlineStr">
        <is>
          <t>视频</t>
        </is>
      </c>
      <c r="T113" s="21" t="n">
        <v>0.78</v>
      </c>
      <c r="U113" s="21" t="n">
        <v>0.09</v>
      </c>
      <c r="V113" s="21" t="n">
        <v>0.43</v>
      </c>
      <c r="W113" s="21" t="n">
        <v>0.31</v>
      </c>
      <c r="X113" s="21" t="n">
        <v>0.64</v>
      </c>
      <c r="Y113" s="21" t="n">
        <v>0.14</v>
      </c>
      <c r="Z113" s="22" t="n">
        <v>24609</v>
      </c>
      <c r="AA113" s="18" t="n">
        <v>1992</v>
      </c>
    </row>
    <row r="114">
      <c r="A114" s="7" t="inlineStr">
        <is>
          <t>ok</t>
        </is>
      </c>
      <c r="C114" s="18" t="inlineStr">
        <is>
          <t>品牌</t>
        </is>
      </c>
      <c r="D114" s="19" t="inlineStr">
        <is>
          <t>主打智能化懒人理想家 爆文多</t>
        </is>
      </c>
      <c r="E114" s="18" t="inlineStr">
        <is>
          <t>小松丸子</t>
        </is>
      </c>
      <c r="F114" s="7" t="inlineStr">
        <is>
          <t>https://pgy.xiaohongshu.com/solar/pre-trade/blogger-detail/5b062cfe11be1027b2dba76b?track_id=kolSimilar_a21ce1a79fc34d5bbee44b8ec8b39dbc&amp;source=Advertiser_Similar_Kol</t>
        </is>
      </c>
      <c r="G114" s="19" t="inlineStr">
        <is>
          <t>https://www.xiaohongshu.com/user/profile/5b062cfe11be1027b2dba76b</t>
        </is>
      </c>
      <c r="H114" s="118" t="n">
        <v>183177671</v>
      </c>
      <c r="I114" s="18" t="inlineStr">
        <is>
          <t>家居家装</t>
        </is>
      </c>
      <c r="J114" s="18" t="n"/>
      <c r="K114" s="18" t="n"/>
      <c r="L114" s="18" t="inlineStr">
        <is>
          <t>腰部</t>
        </is>
      </c>
      <c r="M114" s="18" t="n">
        <v>11.1</v>
      </c>
      <c r="N114" s="18" t="n">
        <v>220</v>
      </c>
      <c r="O114" s="18" t="n">
        <v>18000</v>
      </c>
      <c r="P114" s="18">
        <f>O114*1.1</f>
        <v/>
      </c>
      <c r="Q114" s="20">
        <f>P114/Z114</f>
        <v/>
      </c>
      <c r="R114" s="20">
        <f>P114/AA114</f>
        <v/>
      </c>
      <c r="S114" s="18" t="inlineStr">
        <is>
          <t>视频</t>
        </is>
      </c>
      <c r="T114" s="21" t="n">
        <v>0.82</v>
      </c>
      <c r="U114" s="21" t="n">
        <v>0.08</v>
      </c>
      <c r="V114" s="21" t="n">
        <v>0.45</v>
      </c>
      <c r="W114" s="21" t="n">
        <v>0.28</v>
      </c>
      <c r="X114" s="21" t="n">
        <v>0.48</v>
      </c>
      <c r="Y114" s="21" t="n">
        <v>0.19</v>
      </c>
      <c r="Z114" s="22" t="n">
        <v>29583</v>
      </c>
      <c r="AA114" s="18" t="n">
        <v>2999</v>
      </c>
    </row>
    <row r="115">
      <c r="A115" s="7" t="inlineStr">
        <is>
          <t>ok</t>
        </is>
      </c>
      <c r="C115" s="18" t="inlineStr">
        <is>
          <t>品牌</t>
        </is>
      </c>
      <c r="D115" s="19" t="inlineStr">
        <is>
          <t xml:space="preserve">有装修测评类粉丝 互动率高 </t>
        </is>
      </c>
      <c r="E115" s="18" t="inlineStr">
        <is>
          <t>冬至</t>
        </is>
      </c>
      <c r="F115" s="7" t="inlineStr">
        <is>
          <t>https://pgy.xiaohongshu.com/solar/pre-trade/blogger-detail/56d10bdeaed75804d84ebc10?track_id=kolSimilar_7e31c84d39844f4fb81f0b37dda2441e&amp;source=Advertiser_Similar_Kol</t>
        </is>
      </c>
      <c r="G115" s="19" t="inlineStr">
        <is>
          <t>https://www.xiaohongshu.com/user/profile/56d10bdeaed75804d84ebc10</t>
        </is>
      </c>
      <c r="H115" s="118" t="n">
        <v>101129870</v>
      </c>
      <c r="I115" s="18" t="inlineStr">
        <is>
          <t>家居家装</t>
        </is>
      </c>
      <c r="J115" s="18" t="n"/>
      <c r="K115" s="18" t="n"/>
      <c r="L115" s="18" t="inlineStr">
        <is>
          <t>尾部</t>
        </is>
      </c>
      <c r="M115" s="18" t="n">
        <v>7.3</v>
      </c>
      <c r="N115" s="18" t="n">
        <v>79</v>
      </c>
      <c r="O115" s="18" t="n">
        <v>14000</v>
      </c>
      <c r="P115" s="18">
        <f>O115*1.1</f>
        <v/>
      </c>
      <c r="Q115" s="20">
        <f>P115/Z115</f>
        <v/>
      </c>
      <c r="R115" s="20">
        <f>P115/AA115</f>
        <v/>
      </c>
      <c r="S115" s="18" t="inlineStr">
        <is>
          <t>视频</t>
        </is>
      </c>
      <c r="T115" s="21" t="n">
        <v>0.85</v>
      </c>
      <c r="U115" s="21" t="n">
        <v>0.14</v>
      </c>
      <c r="V115" s="21" t="n">
        <v>0.4</v>
      </c>
      <c r="W115" s="21" t="n">
        <v>0.22</v>
      </c>
      <c r="X115" s="21" t="n">
        <v>0.46</v>
      </c>
      <c r="Y115" s="21" t="n">
        <v>0.17</v>
      </c>
      <c r="Z115" s="22" t="n">
        <v>14700</v>
      </c>
      <c r="AA115" s="18" t="n">
        <v>1339</v>
      </c>
    </row>
    <row r="116">
      <c r="A116" s="7" t="inlineStr">
        <is>
          <t>ok</t>
        </is>
      </c>
      <c r="C116" s="18" t="inlineStr">
        <is>
          <t>品牌</t>
        </is>
      </c>
      <c r="D116" s="19" t="inlineStr">
        <is>
          <t xml:space="preserve">场景化植入测评 ，整体数据不错 </t>
        </is>
      </c>
      <c r="E116" s="18" t="inlineStr">
        <is>
          <t>一颗小豆丁</t>
        </is>
      </c>
      <c r="F116" s="7" t="inlineStr">
        <is>
          <t>https://pgy.xiaohongshu.com/solar/pre-trade/blogger-detail/59e05a1044363b7c408a7561?track_id=kolSimilar_7e31c84d39844f4fb81f0b37dda2441e&amp;source=Advertiser_Similar_Kol</t>
        </is>
      </c>
      <c r="G116" s="19" t="inlineStr">
        <is>
          <t>https://www.xiaohongshu.com/user/profile/59e05a1044363b7c408a7561</t>
        </is>
      </c>
      <c r="H116" s="118" t="n">
        <v>950518959</v>
      </c>
      <c r="I116" s="18" t="inlineStr">
        <is>
          <t>家居家装</t>
        </is>
      </c>
      <c r="J116" s="18" t="n"/>
      <c r="K116" s="18" t="n"/>
      <c r="L116" s="18" t="inlineStr">
        <is>
          <t>腰部</t>
        </is>
      </c>
      <c r="M116" s="18" t="n">
        <v>14</v>
      </c>
      <c r="N116" s="18" t="n">
        <v>190</v>
      </c>
      <c r="O116" s="18" t="n">
        <v>18000</v>
      </c>
      <c r="P116" s="18">
        <f>O116*1.1</f>
        <v/>
      </c>
      <c r="Q116" s="20">
        <f>P116/Z116</f>
        <v/>
      </c>
      <c r="R116" s="20">
        <f>P116/AA116</f>
        <v/>
      </c>
      <c r="S116" s="18" t="inlineStr">
        <is>
          <t>图文</t>
        </is>
      </c>
      <c r="T116" s="21" t="n">
        <v>0.86</v>
      </c>
      <c r="U116" s="21" t="n">
        <v>0.07000000000000001</v>
      </c>
      <c r="V116" s="21" t="n">
        <v>0.47</v>
      </c>
      <c r="W116" s="21" t="n">
        <v>0.33</v>
      </c>
      <c r="X116" s="21" t="n">
        <v>0.67</v>
      </c>
      <c r="Y116" s="21" t="n">
        <v>0.17</v>
      </c>
      <c r="Z116" s="22" t="n">
        <v>30949</v>
      </c>
      <c r="AA116" s="18" t="n">
        <v>1518</v>
      </c>
    </row>
    <row r="117">
      <c r="A117" s="7" t="inlineStr">
        <is>
          <t>ok</t>
        </is>
      </c>
      <c r="C117" s="18" t="inlineStr">
        <is>
          <t>品牌</t>
        </is>
      </c>
      <c r="D117" s="19" t="inlineStr">
        <is>
          <t xml:space="preserve">家电高匹配 近期爆文 </t>
        </is>
      </c>
      <c r="E117" s="18" t="inlineStr">
        <is>
          <t>丰口广一</t>
        </is>
      </c>
      <c r="F117" s="7" t="inlineStr">
        <is>
          <t>https://pgy.xiaohongshu.com/solar/pre-trade/blogger-detail/5d2a7794000000001200f429?track_id=kolSimilar_7e31c84d39844f4fb81f0b37dda2441e&amp;source=Advertiser_Similar_Kol</t>
        </is>
      </c>
      <c r="G117" s="19" t="inlineStr">
        <is>
          <t>https://www.xiaohongshu.com/user/profile/5d2a7794000000001200f429</t>
        </is>
      </c>
      <c r="H117" s="118" t="n">
        <v>849649243</v>
      </c>
      <c r="I117" s="18" t="inlineStr">
        <is>
          <t>家居家装</t>
        </is>
      </c>
      <c r="J117" s="18" t="n"/>
      <c r="K117" s="18" t="n"/>
      <c r="L117" s="18" t="inlineStr">
        <is>
          <t>尾部</t>
        </is>
      </c>
      <c r="M117" s="18" t="n">
        <v>7.4</v>
      </c>
      <c r="N117" s="18" t="n">
        <v>93</v>
      </c>
      <c r="O117" s="18" t="n">
        <v>30000</v>
      </c>
      <c r="P117" s="18">
        <f>O117*1.1</f>
        <v/>
      </c>
      <c r="Q117" s="20">
        <f>P117/Z117</f>
        <v/>
      </c>
      <c r="R117" s="20">
        <f>P117/AA117</f>
        <v/>
      </c>
      <c r="S117" s="18" t="inlineStr">
        <is>
          <t>视频</t>
        </is>
      </c>
      <c r="T117" s="21" t="n">
        <v>0.71</v>
      </c>
      <c r="U117" s="21" t="n">
        <v>0.16</v>
      </c>
      <c r="V117" s="21" t="n">
        <v>0.49</v>
      </c>
      <c r="W117" s="21" t="n">
        <v>0.22</v>
      </c>
      <c r="X117" s="21" t="n">
        <v>0.6</v>
      </c>
      <c r="Y117" s="21" t="n">
        <v>0.13</v>
      </c>
      <c r="Z117" s="22" t="n">
        <v>28451</v>
      </c>
      <c r="AA117" s="18" t="n">
        <v>2573</v>
      </c>
    </row>
    <row r="118">
      <c r="A118" s="7" t="inlineStr">
        <is>
          <t>ok</t>
        </is>
      </c>
      <c r="C118" s="18" t="inlineStr">
        <is>
          <t>品牌</t>
        </is>
      </c>
      <c r="D118" s="19" t="inlineStr">
        <is>
          <t>独居理想家 人群匹配</t>
        </is>
      </c>
      <c r="E118" s="18" t="inlineStr">
        <is>
          <t>宅宅Pikachuuu</t>
        </is>
      </c>
      <c r="F118" s="7" t="inlineStr">
        <is>
          <t>https://pgy.xiaohongshu.com/solar/pre-trade/blogger-detail/6090d83800000000010085ed?track_id=kolSimilar_fb821e2580bf4d049cbb04b2487b45bc&amp;source=Advertiser_Similar_Kol</t>
        </is>
      </c>
      <c r="G118" s="19" t="inlineStr">
        <is>
          <t>https://www.xiaohongshu.com/user/profile/6090d83800000000010085ed</t>
        </is>
      </c>
      <c r="H118" s="118" t="n">
        <v>2690330804</v>
      </c>
      <c r="I118" s="18" t="inlineStr">
        <is>
          <t>家居家装</t>
        </is>
      </c>
      <c r="J118" s="18" t="n"/>
      <c r="K118" s="18" t="n"/>
      <c r="L118" s="18" t="inlineStr">
        <is>
          <t>尾部</t>
        </is>
      </c>
      <c r="M118" s="18" t="n">
        <v>1.1</v>
      </c>
      <c r="N118" s="18" t="n">
        <v>9.699999999999999</v>
      </c>
      <c r="O118" s="18" t="n">
        <v>4000</v>
      </c>
      <c r="P118" s="18">
        <f>O118*1.1</f>
        <v/>
      </c>
      <c r="Q118" s="20">
        <f>P118/Z118</f>
        <v/>
      </c>
      <c r="R118" s="20">
        <f>P118/AA118</f>
        <v/>
      </c>
      <c r="S118" s="18" t="inlineStr">
        <is>
          <t>图文</t>
        </is>
      </c>
      <c r="T118" s="21" t="n">
        <v>0.89</v>
      </c>
      <c r="U118" s="21" t="n">
        <v>0.11</v>
      </c>
      <c r="V118" s="21" t="n">
        <v>0.49</v>
      </c>
      <c r="W118" s="21" t="n">
        <v>0.24</v>
      </c>
      <c r="X118" s="21" t="n">
        <v>0.62</v>
      </c>
      <c r="Y118" s="21" t="n">
        <v>0.13</v>
      </c>
      <c r="Z118" s="22" t="n">
        <v>10682</v>
      </c>
      <c r="AA118" s="18" t="n">
        <v>565</v>
      </c>
    </row>
    <row r="119">
      <c r="A119" s="7" t="inlineStr">
        <is>
          <t>ok</t>
        </is>
      </c>
      <c r="C119" s="18" t="inlineStr">
        <is>
          <t>品牌</t>
        </is>
      </c>
      <c r="D119" s="19" t="inlineStr">
        <is>
          <t>极简风厨房 家电合作数据可</t>
        </is>
      </c>
      <c r="E119" s="18" t="inlineStr">
        <is>
          <t>一只小可爱呀</t>
        </is>
      </c>
      <c r="F119" s="7" t="inlineStr">
        <is>
          <t>https://pgy.xiaohongshu.com/solar/pre-trade/blogger-detail/5a000df74eacab6929f24ce4?track_id=kolSimilar_345da337c4b94c33a6eb3a8d76e80a06&amp;source=Advertiser_Similar_Kol</t>
        </is>
      </c>
      <c r="G119" s="19" t="inlineStr">
        <is>
          <t>https://www.xiaohongshu.com/user/profile/5a000df74eacab6929f24ce4</t>
        </is>
      </c>
      <c r="H119" s="118" t="n">
        <v>497463018</v>
      </c>
      <c r="I119" s="18" t="inlineStr">
        <is>
          <t>家居家装</t>
        </is>
      </c>
      <c r="J119" s="18" t="n"/>
      <c r="K119" s="18" t="n"/>
      <c r="L119" s="18" t="inlineStr">
        <is>
          <t>尾部</t>
        </is>
      </c>
      <c r="M119" s="18" t="n">
        <v>4.8</v>
      </c>
      <c r="N119" s="18" t="n">
        <v>117</v>
      </c>
      <c r="O119" s="18" t="n">
        <v>7800</v>
      </c>
      <c r="P119" s="18">
        <f>O119*1.1</f>
        <v/>
      </c>
      <c r="Q119" s="20">
        <f>P119/Z119</f>
        <v/>
      </c>
      <c r="R119" s="20">
        <f>P119/AA119</f>
        <v/>
      </c>
      <c r="S119" s="18" t="inlineStr">
        <is>
          <t>图文</t>
        </is>
      </c>
      <c r="T119" s="21" t="n">
        <v>0.92</v>
      </c>
      <c r="U119" s="21" t="n">
        <v>0.05</v>
      </c>
      <c r="V119" s="21" t="n">
        <v>0.49</v>
      </c>
      <c r="W119" s="21" t="n">
        <v>0.32</v>
      </c>
      <c r="X119" s="21" t="n">
        <v>0.5</v>
      </c>
      <c r="Y119" s="21" t="n">
        <v>0.19</v>
      </c>
      <c r="Z119" s="22" t="n">
        <v>12219</v>
      </c>
      <c r="AA119" s="18" t="n">
        <v>791</v>
      </c>
    </row>
    <row r="120">
      <c r="A120" s="7" t="inlineStr">
        <is>
          <t>ok</t>
        </is>
      </c>
      <c r="C120" s="18" t="inlineStr">
        <is>
          <t>品牌</t>
        </is>
      </c>
      <c r="D120" s="19" t="inlineStr">
        <is>
          <t>过往有合作 品类匹配</t>
        </is>
      </c>
      <c r="E120" s="18" t="inlineStr">
        <is>
          <t>慢白菜misu</t>
        </is>
      </c>
      <c r="F120" s="7" t="inlineStr">
        <is>
          <t>https://pgy.xiaohongshu.com/solar/pre-trade/blogger-detail/5b8f622e55c23100010c3184?track_id=kolSimilar_345da337c4b94c33a6eb3a8d76e80a06&amp;source=Advertiser_Similar_Kol</t>
        </is>
      </c>
      <c r="G120" s="19" t="inlineStr">
        <is>
          <t>https://www.xiaohongshu.com/user/profile/5b8f622e55c23100010c3184</t>
        </is>
      </c>
      <c r="H120" s="118" t="n">
        <v>294428055</v>
      </c>
      <c r="I120" s="18" t="inlineStr">
        <is>
          <t>家居家装</t>
        </is>
      </c>
      <c r="J120" s="18" t="n"/>
      <c r="K120" s="18" t="n"/>
      <c r="L120" s="18" t="inlineStr">
        <is>
          <t>尾部</t>
        </is>
      </c>
      <c r="M120" s="18" t="n">
        <v>1.1</v>
      </c>
      <c r="N120" s="18" t="n">
        <v>13</v>
      </c>
      <c r="O120" s="18" t="n">
        <v>3500</v>
      </c>
      <c r="P120" s="18">
        <f>O120*1.1</f>
        <v/>
      </c>
      <c r="Q120" s="20">
        <f>P120/Z120</f>
        <v/>
      </c>
      <c r="R120" s="20">
        <f>P120/AA120</f>
        <v/>
      </c>
      <c r="S120" s="18" t="inlineStr">
        <is>
          <t>图文</t>
        </is>
      </c>
      <c r="T120" s="21" t="n">
        <v>0.83</v>
      </c>
      <c r="U120" s="21" t="n">
        <v>0.07000000000000001</v>
      </c>
      <c r="V120" s="21" t="n">
        <v>0.49</v>
      </c>
      <c r="W120" s="21" t="n">
        <v>0.32</v>
      </c>
      <c r="X120" s="21" t="n">
        <v>0.68</v>
      </c>
      <c r="Y120" s="21" t="n">
        <v>0.15</v>
      </c>
      <c r="Z120" s="22" t="n">
        <v>13489</v>
      </c>
      <c r="AA120" s="18" t="n">
        <v>758</v>
      </c>
    </row>
    <row r="121">
      <c r="A121" s="7" t="inlineStr">
        <is>
          <t>ok</t>
        </is>
      </c>
      <c r="C121" s="18" t="inlineStr">
        <is>
          <t>品牌</t>
        </is>
      </c>
      <c r="D121" s="19" t="inlineStr">
        <is>
          <t>人群符合</t>
        </is>
      </c>
      <c r="E121" s="18" t="inlineStr">
        <is>
          <t>小麦的家</t>
        </is>
      </c>
      <c r="F121" s="7" t="inlineStr">
        <is>
          <t>https://pgy.xiaohongshu.com/solar/pre-trade/blogger-detail/548256612e1d9320b11eb7c4?track_id=kolSimilar_01891343d6464fce89686f8cfa133b71&amp;source=Advertiser_Similar_Kol</t>
        </is>
      </c>
      <c r="G121" s="19" t="inlineStr">
        <is>
          <t>https://www.xiaohongshu.com/user/profile/548256612e1d9320b11eb7c4</t>
        </is>
      </c>
      <c r="H121" s="118" t="n">
        <v>108941981</v>
      </c>
      <c r="I121" s="18" t="inlineStr">
        <is>
          <t>家居家装</t>
        </is>
      </c>
      <c r="J121" s="18" t="n"/>
      <c r="K121" s="18" t="n"/>
      <c r="L121" s="18" t="inlineStr">
        <is>
          <t>尾部</t>
        </is>
      </c>
      <c r="M121" s="18" t="n">
        <v>0.8</v>
      </c>
      <c r="N121" s="18" t="n">
        <v>22.4</v>
      </c>
      <c r="O121" s="18" t="n">
        <v>2000</v>
      </c>
      <c r="P121" s="18">
        <f>O121*1.1</f>
        <v/>
      </c>
      <c r="Q121" s="20">
        <f>P121/Z121</f>
        <v/>
      </c>
      <c r="R121" s="20">
        <f>P121/AA121</f>
        <v/>
      </c>
      <c r="S121" s="18" t="inlineStr">
        <is>
          <t>图文</t>
        </is>
      </c>
      <c r="T121" s="21" t="n">
        <v>0.78</v>
      </c>
      <c r="U121" s="21" t="n">
        <v>0.18</v>
      </c>
      <c r="V121" s="21" t="n">
        <v>0.46</v>
      </c>
      <c r="W121" s="21" t="n">
        <v>0.32</v>
      </c>
      <c r="X121" s="21" t="n">
        <v>0.5600000000000001</v>
      </c>
      <c r="Y121" s="21" t="n">
        <v>0.13</v>
      </c>
      <c r="Z121" s="22" t="n">
        <v>29218</v>
      </c>
      <c r="AA121" s="18" t="n">
        <v>1678</v>
      </c>
    </row>
    <row r="122">
      <c r="A122" s="43" t="inlineStr">
        <is>
          <t>以下为品牌3.9提报</t>
        </is>
      </c>
      <c r="B122" s="43" t="n"/>
      <c r="C122" s="121" t="n"/>
      <c r="D122" s="121" t="n"/>
      <c r="E122" s="37" t="n"/>
      <c r="F122" s="43" t="n"/>
      <c r="G122" s="121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40" t="n"/>
      <c r="R122" s="40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43" t="n"/>
      <c r="AC122" s="43" t="n"/>
      <c r="AD122" s="43" t="n"/>
      <c r="AE122" s="43" t="n"/>
      <c r="AF122" s="43" t="n"/>
      <c r="AG122" s="43" t="n"/>
      <c r="AH122" s="43" t="n"/>
      <c r="AI122" s="43" t="n"/>
      <c r="AJ122" s="43" t="n"/>
      <c r="AK122" s="43" t="n"/>
      <c r="AL122" s="43" t="n"/>
      <c r="AM122" s="43" t="n"/>
      <c r="AN122" s="43" t="n"/>
      <c r="AO122" s="43" t="n"/>
      <c r="AP122" s="43" t="n"/>
      <c r="AQ122" s="43" t="n"/>
    </row>
    <row r="123">
      <c r="A123" s="7" t="inlineStr">
        <is>
          <t>ok</t>
        </is>
      </c>
      <c r="C123" s="18" t="inlineStr">
        <is>
          <t>品牌</t>
        </is>
      </c>
      <c r="D123" s="19" t="inlineStr">
        <is>
          <t xml:space="preserve">婚后居家场景 高品质家居 </t>
        </is>
      </c>
      <c r="E123" s="18" t="inlineStr">
        <is>
          <t>Hello小叶</t>
        </is>
      </c>
      <c r="F123" s="7" t="inlineStr">
        <is>
          <t>https://pgy.xiaohongshu.com/solar/pre-trade/blogger-detail/59f7c9734eacab1f46d7e41b?track_id=kolMatch_dd81364721dc437dacbeab67bc7a18f7&amp;source=Advertiser_Kol</t>
        </is>
      </c>
      <c r="G123" s="19" t="inlineStr">
        <is>
          <t>https://www.xiaohongshu.com/user/profile/59f7c9734eacab1f46d7e41b</t>
        </is>
      </c>
      <c r="H123" s="118" t="inlineStr">
        <is>
          <t>iamyeege</t>
        </is>
      </c>
      <c r="I123" s="18" t="inlineStr">
        <is>
          <t>家居家装</t>
        </is>
      </c>
      <c r="J123" s="18" t="n"/>
      <c r="K123" s="18" t="n"/>
      <c r="L123" s="18" t="inlineStr">
        <is>
          <t>腰部</t>
        </is>
      </c>
      <c r="M123" s="18" t="n">
        <v>12.5</v>
      </c>
      <c r="N123" s="18" t="n">
        <v>66</v>
      </c>
      <c r="O123" s="18" t="n">
        <v>23000</v>
      </c>
      <c r="P123" s="18">
        <f>O123*1.1</f>
        <v/>
      </c>
      <c r="Q123" s="20">
        <f>P123/Z123</f>
        <v/>
      </c>
      <c r="R123" s="20">
        <f>P123/AA123</f>
        <v/>
      </c>
      <c r="S123" s="18" t="inlineStr">
        <is>
          <t>视频</t>
        </is>
      </c>
      <c r="T123" s="21" t="n">
        <v>0.88</v>
      </c>
      <c r="U123" s="21" t="n">
        <v>0.12</v>
      </c>
      <c r="V123" s="21" t="n">
        <v>0.59</v>
      </c>
      <c r="W123" s="21" t="n">
        <v>0.21</v>
      </c>
      <c r="X123" s="21" t="n">
        <v>0.6899999999999999</v>
      </c>
      <c r="Y123" s="21" t="n">
        <v>0.09</v>
      </c>
      <c r="Z123" s="22" t="n">
        <v>20437</v>
      </c>
      <c r="AA123" s="18" t="n">
        <v>1534</v>
      </c>
    </row>
    <row r="124">
      <c r="A124" s="7" t="inlineStr">
        <is>
          <t>ok</t>
        </is>
      </c>
      <c r="C124" s="18" t="inlineStr">
        <is>
          <t>品牌</t>
        </is>
      </c>
      <c r="D124" s="19" t="inlineStr">
        <is>
          <t xml:space="preserve">独居温馨厨房场景 电器有爆文 </t>
        </is>
      </c>
      <c r="E124" s="18" t="inlineStr">
        <is>
          <t>肥美本美</t>
        </is>
      </c>
      <c r="F124" s="7" t="inlineStr">
        <is>
          <t>https://pgy.xiaohongshu.com/solar/pre-trade/blogger-detail/5cbc0702000000001102c42d?track_id=kolMatch_dfbd61a4df554795baa378b4a3ae964e&amp;source=Advertiser_Kol</t>
        </is>
      </c>
      <c r="G124" s="19" t="inlineStr">
        <is>
          <t>https://www.xiaohongshu.com/user/profile/5cbc0702000000001102c42d</t>
        </is>
      </c>
      <c r="H124" s="118" t="n">
        <v>209751394</v>
      </c>
      <c r="I124" s="18" t="inlineStr">
        <is>
          <t>家居家装</t>
        </is>
      </c>
      <c r="J124" s="18" t="n"/>
      <c r="K124" s="18" t="n"/>
      <c r="L124" s="18" t="inlineStr">
        <is>
          <t>肩部</t>
        </is>
      </c>
      <c r="M124" s="18" t="n">
        <v>31</v>
      </c>
      <c r="N124" s="18" t="n">
        <v>201</v>
      </c>
      <c r="O124" s="18" t="n">
        <v>36000</v>
      </c>
      <c r="P124" s="18">
        <f>O124*1.1</f>
        <v/>
      </c>
      <c r="Q124" s="20">
        <f>P124/Z124</f>
        <v/>
      </c>
      <c r="R124" s="20">
        <f>P124/AA124</f>
        <v/>
      </c>
      <c r="S124" s="18" t="inlineStr">
        <is>
          <t>视频</t>
        </is>
      </c>
      <c r="T124" s="21" t="n">
        <v>0.87</v>
      </c>
      <c r="U124" s="21" t="n">
        <v>0.12</v>
      </c>
      <c r="V124" s="21" t="n">
        <v>0.38</v>
      </c>
      <c r="W124" s="21" t="n">
        <v>0.31</v>
      </c>
      <c r="X124" s="21" t="n">
        <v>0.5600000000000001</v>
      </c>
      <c r="Y124" s="21" t="n">
        <v>0.17</v>
      </c>
      <c r="Z124" s="22" t="n">
        <v>122619</v>
      </c>
      <c r="AA124" s="18" t="n">
        <v>15927</v>
      </c>
    </row>
    <row r="125">
      <c r="A125" s="7" t="inlineStr">
        <is>
          <t>ok</t>
        </is>
      </c>
      <c r="C125" s="18" t="inlineStr">
        <is>
          <t>品牌</t>
        </is>
      </c>
      <c r="D125" s="19" t="inlineStr">
        <is>
          <t xml:space="preserve">品质理想家，近期智能电器爆文 </t>
        </is>
      </c>
      <c r="E125" s="18" t="inlineStr">
        <is>
          <t>CINDYminmin</t>
        </is>
      </c>
      <c r="F125" s="7" t="inlineStr">
        <is>
          <t>https://pgy.xiaohongshu.com/solar/pre-trade/blogger-detail/56a2d674b8c8b4483a3be100?track_id=kolMatch_cd652a86f6424b98a6d71058578cd75e&amp;source=Advertiser_Kol</t>
        </is>
      </c>
      <c r="G125" s="19" t="inlineStr">
        <is>
          <t>https://www.xiaohongshu.com/user/profile/56a2d674b8c8b4483a3be100</t>
        </is>
      </c>
      <c r="H125" s="118" t="n">
        <v>100671456</v>
      </c>
      <c r="I125" s="18" t="inlineStr">
        <is>
          <t>家居家装</t>
        </is>
      </c>
      <c r="J125" s="18" t="n"/>
      <c r="K125" s="18" t="n"/>
      <c r="L125" s="18" t="inlineStr">
        <is>
          <t>腰部</t>
        </is>
      </c>
      <c r="M125" s="18" t="n">
        <v>11</v>
      </c>
      <c r="N125" s="18" t="n">
        <v>105</v>
      </c>
      <c r="O125" s="18" t="n">
        <v>18000</v>
      </c>
      <c r="P125" s="18">
        <f>O125*1.1</f>
        <v/>
      </c>
      <c r="Q125" s="20">
        <f>P125/Z125</f>
        <v/>
      </c>
      <c r="R125" s="20">
        <f>P125/AA125</f>
        <v/>
      </c>
      <c r="S125" s="18" t="inlineStr">
        <is>
          <t>视频</t>
        </is>
      </c>
      <c r="T125" s="21" t="n">
        <v>0.92</v>
      </c>
      <c r="U125" s="21" t="n">
        <v>0.06</v>
      </c>
      <c r="V125" s="21" t="n">
        <v>0.49</v>
      </c>
      <c r="W125" s="21" t="n">
        <v>0.33</v>
      </c>
      <c r="X125" s="21" t="n">
        <v>0.73</v>
      </c>
      <c r="Y125" s="21" t="n">
        <v>0.11</v>
      </c>
      <c r="Z125" s="22" t="n">
        <v>34544</v>
      </c>
      <c r="AA125" s="18" t="n">
        <v>1866</v>
      </c>
    </row>
    <row r="126">
      <c r="A126" s="7" t="inlineStr">
        <is>
          <t>ok</t>
        </is>
      </c>
      <c r="C126" s="18" t="inlineStr">
        <is>
          <t>品牌</t>
        </is>
      </c>
      <c r="D126" s="19" t="inlineStr">
        <is>
          <t>极简风厨房 过往客单价符合</t>
        </is>
      </c>
      <c r="E126" s="18" t="inlineStr">
        <is>
          <t>yoyo</t>
        </is>
      </c>
      <c r="F126" s="7" t="inlineStr">
        <is>
          <t>https://pgy.xiaohongshu.com/solar/pre-trade/blogger-detail/5996979f5e87e753213cf296?track_id=kolMatch_cd652a86f6424b98a6d71058578cd75e&amp;source=Advertiser_Kol</t>
        </is>
      </c>
      <c r="G126" s="19" t="inlineStr">
        <is>
          <t>https://www.xiaohongshu.com/user/profile/5996979f5e87e753213cf296</t>
        </is>
      </c>
      <c r="H126" s="118" t="inlineStr">
        <is>
          <t>19980330W</t>
        </is>
      </c>
      <c r="I126" s="18" t="inlineStr">
        <is>
          <t>家居家装</t>
        </is>
      </c>
      <c r="J126" s="18" t="n"/>
      <c r="K126" s="18" t="n"/>
      <c r="L126" s="18" t="inlineStr">
        <is>
          <t>腰部</t>
        </is>
      </c>
      <c r="M126" s="18" t="n">
        <v>13.9</v>
      </c>
      <c r="N126" s="18" t="n">
        <v>182</v>
      </c>
      <c r="O126" s="18" t="n">
        <v>18000</v>
      </c>
      <c r="P126" s="18">
        <f>O126*1.1</f>
        <v/>
      </c>
      <c r="Q126" s="20">
        <f>P126/Z126</f>
        <v/>
      </c>
      <c r="R126" s="20">
        <f>P126/AA126</f>
        <v/>
      </c>
      <c r="S126" s="18" t="inlineStr">
        <is>
          <t>视频</t>
        </is>
      </c>
      <c r="T126" s="21" t="n">
        <v>0.88</v>
      </c>
      <c r="U126" s="21" t="n">
        <v>0.2</v>
      </c>
      <c r="V126" s="21" t="n">
        <v>0.36</v>
      </c>
      <c r="W126" s="21" t="n">
        <v>0.17</v>
      </c>
      <c r="X126" s="21" t="n">
        <v>0.44</v>
      </c>
      <c r="Y126" s="21" t="n">
        <v>0.17</v>
      </c>
      <c r="Z126" s="22" t="n">
        <v>16589</v>
      </c>
      <c r="AA126" s="18" t="n">
        <v>1388</v>
      </c>
    </row>
    <row r="127">
      <c r="A127" s="7" t="inlineStr">
        <is>
          <t>ok</t>
        </is>
      </c>
      <c r="C127" s="18" t="inlineStr">
        <is>
          <t>品牌</t>
        </is>
      </c>
      <c r="D127" s="19" t="inlineStr">
        <is>
          <t>极简厨房 ，数据可</t>
        </is>
      </c>
      <c r="E127" s="18" t="inlineStr">
        <is>
          <t>璐璐的家🍉</t>
        </is>
      </c>
      <c r="F127" s="7" t="inlineStr">
        <is>
          <t>https://pgy.xiaohongshu.com/solar/pre-trade/blogger-detail/5555f921e58d137afa22d7d5?track_id=kolMatch_6bf4b0f79f06426dbf17c79c265ed8da&amp;source=Advertiser_Kol</t>
        </is>
      </c>
      <c r="G127" s="19" t="inlineStr">
        <is>
          <t>https://www.xiaohongshu.com/user/profile/5555f921e58d137afa22d7d5</t>
        </is>
      </c>
      <c r="H127" s="118" t="n">
        <v>115803228</v>
      </c>
      <c r="I127" s="18" t="inlineStr">
        <is>
          <t>家居家装</t>
        </is>
      </c>
      <c r="J127" s="18" t="n"/>
      <c r="K127" s="18" t="n"/>
      <c r="L127" s="18" t="inlineStr">
        <is>
          <t>腰部</t>
        </is>
      </c>
      <c r="M127" s="18" t="n">
        <v>23.5</v>
      </c>
      <c r="N127" s="18" t="n">
        <v>313</v>
      </c>
      <c r="O127" s="18" t="n">
        <v>29800</v>
      </c>
      <c r="P127" s="18">
        <f>O127*1.1</f>
        <v/>
      </c>
      <c r="Q127" s="20">
        <f>P127/Z127</f>
        <v/>
      </c>
      <c r="R127" s="20">
        <f>P127/AA127</f>
        <v/>
      </c>
      <c r="S127" s="18" t="inlineStr">
        <is>
          <t>视频</t>
        </is>
      </c>
      <c r="T127" s="21" t="n">
        <v>0.84</v>
      </c>
      <c r="U127" s="21" t="n">
        <v>0.1</v>
      </c>
      <c r="V127" s="21" t="n">
        <v>0.34</v>
      </c>
      <c r="W127" s="21" t="n">
        <v>0.3</v>
      </c>
      <c r="X127" s="21" t="n">
        <v>0.42</v>
      </c>
      <c r="Y127" s="21" t="n">
        <v>0.21</v>
      </c>
      <c r="Z127" s="22" t="n">
        <v>26492</v>
      </c>
      <c r="AA127" s="18" t="n">
        <v>2569</v>
      </c>
    </row>
    <row r="128">
      <c r="A128" s="7" t="inlineStr">
        <is>
          <t>ok</t>
        </is>
      </c>
      <c r="C128" s="18" t="inlineStr">
        <is>
          <t>品牌</t>
        </is>
      </c>
      <c r="D128" s="19" t="inlineStr">
        <is>
          <t>有娃家庭 客单价匹配</t>
        </is>
      </c>
      <c r="E128" s="18" t="inlineStr">
        <is>
          <t>董咚咚</t>
        </is>
      </c>
      <c r="F128" s="7" t="inlineStr">
        <is>
          <t>https://pgy.xiaohongshu.com/solar/pre-trade/blogger-detail/672ae54a000000001d02c0af?track_id=kolSimilar_db54877342d74e699a23d291c229f810&amp;source=Advertiser_Similar_Kol</t>
        </is>
      </c>
      <c r="G128" s="19" t="inlineStr">
        <is>
          <t>https://www.xiaohongshu.com/user/profile/672ae54a000000001d02c0af</t>
        </is>
      </c>
      <c r="H128" s="118" t="n">
        <v>95479676329</v>
      </c>
      <c r="I128" s="18" t="inlineStr">
        <is>
          <t>家居家装</t>
        </is>
      </c>
      <c r="J128" s="18" t="n"/>
      <c r="K128" s="18" t="n"/>
      <c r="L128" s="18" t="inlineStr">
        <is>
          <t>尾部</t>
        </is>
      </c>
      <c r="M128" s="18" t="n">
        <v>1.3</v>
      </c>
      <c r="N128" s="18" t="n">
        <v>4.2</v>
      </c>
      <c r="O128" s="18" t="n">
        <v>3500</v>
      </c>
      <c r="P128" s="18">
        <f>O128*1.1</f>
        <v/>
      </c>
      <c r="Q128" s="20">
        <f>P128/Z128</f>
        <v/>
      </c>
      <c r="R128" s="20">
        <f>P128/AA128</f>
        <v/>
      </c>
      <c r="S128" s="18" t="inlineStr">
        <is>
          <t>图文</t>
        </is>
      </c>
      <c r="T128" s="21" t="n">
        <v>0.8100000000000001</v>
      </c>
      <c r="U128" s="21" t="n">
        <v>0.04</v>
      </c>
      <c r="V128" s="21" t="n">
        <v>0.32</v>
      </c>
      <c r="W128" s="21" t="n">
        <v>0.42</v>
      </c>
      <c r="X128" s="21" t="n">
        <v>0.51</v>
      </c>
      <c r="Y128" s="21" t="n">
        <v>0.23</v>
      </c>
      <c r="Z128" s="22" t="n">
        <v>6736</v>
      </c>
      <c r="AA128" s="18" t="n">
        <v>310</v>
      </c>
    </row>
    <row r="129">
      <c r="A129" s="7" t="inlineStr">
        <is>
          <t>ok</t>
        </is>
      </c>
      <c r="C129" s="18" t="inlineStr">
        <is>
          <t>品牌</t>
        </is>
      </c>
      <c r="D129" s="19" t="inlineStr">
        <is>
          <t xml:space="preserve">开放式厨房 近期有爆文 </t>
        </is>
      </c>
      <c r="E129" s="18" t="inlineStr">
        <is>
          <t>🍂Misa</t>
        </is>
      </c>
      <c r="F129" s="7" t="inlineStr">
        <is>
          <t>https://pgy.xiaohongshu.com/solar/pre-trade/blogger-detail/6071877d0000000001002cfd?track_id=kolSimilar_5d190bf56ad5467396c3ea3be025631c&amp;source=Advertiser_Similar_Kol</t>
        </is>
      </c>
      <c r="G129" s="19" t="inlineStr">
        <is>
          <t>https://www.xiaohongshu.com/user/profile/6071877d0000000001002cfd</t>
        </is>
      </c>
      <c r="H129" s="118" t="n">
        <v>2658959034</v>
      </c>
      <c r="I129" s="18" t="inlineStr">
        <is>
          <t>家居家装</t>
        </is>
      </c>
      <c r="J129" s="18" t="n"/>
      <c r="K129" s="18" t="n"/>
      <c r="L129" s="18" t="inlineStr">
        <is>
          <t>尾部</t>
        </is>
      </c>
      <c r="M129" s="18" t="n">
        <v>4.8</v>
      </c>
      <c r="N129" s="18" t="n">
        <v>66.5</v>
      </c>
      <c r="O129" s="18" t="n">
        <v>10500</v>
      </c>
      <c r="P129" s="18">
        <f>O129*1.1</f>
        <v/>
      </c>
      <c r="Q129" s="20">
        <f>P129/Z129</f>
        <v/>
      </c>
      <c r="R129" s="20">
        <f>P129/AA129</f>
        <v/>
      </c>
      <c r="S129" s="18" t="inlineStr">
        <is>
          <t>图文</t>
        </is>
      </c>
      <c r="T129" s="21" t="n">
        <v>0.72</v>
      </c>
      <c r="U129" s="21" t="n">
        <v>0.06</v>
      </c>
      <c r="V129" s="21" t="n">
        <v>0.49</v>
      </c>
      <c r="W129" s="21" t="n">
        <v>0.31</v>
      </c>
      <c r="X129" s="21" t="n">
        <v>0.66</v>
      </c>
      <c r="Y129" s="21" t="n">
        <v>0.13</v>
      </c>
      <c r="Z129" s="22" t="n">
        <v>45152</v>
      </c>
      <c r="AA129" s="18" t="n">
        <v>2760</v>
      </c>
    </row>
    <row r="130">
      <c r="A130" s="7" t="inlineStr">
        <is>
          <t>ok</t>
        </is>
      </c>
      <c r="C130" s="18" t="inlineStr">
        <is>
          <t>品牌</t>
        </is>
      </c>
      <c r="D130" s="19" t="inlineStr">
        <is>
          <t>厨房场景 ，带过米家净烟机</t>
        </is>
      </c>
      <c r="E130" s="18" t="inlineStr">
        <is>
          <t>阿兔小小家</t>
        </is>
      </c>
      <c r="F130" s="7" t="inlineStr">
        <is>
          <t>https://pgy.xiaohongshu.com/solar/pre-trade/blogger-detail/5b7251e2ca2c92000186323d?track_id=kolSimilar_5f73b095e529472bad1372d932c1f860&amp;source=Advertiser_Similar_Kol</t>
        </is>
      </c>
      <c r="G130" s="19" t="inlineStr">
        <is>
          <t>https://www.xiaohongshu.com/user/profile/5b7251e2ca2c92000186323d</t>
        </is>
      </c>
      <c r="H130" s="118" t="n">
        <v>605142300</v>
      </c>
      <c r="I130" s="18" t="inlineStr">
        <is>
          <t>家居家装</t>
        </is>
      </c>
      <c r="J130" s="18" t="n"/>
      <c r="K130" s="18" t="n"/>
      <c r="L130" s="18" t="inlineStr">
        <is>
          <t>尾部</t>
        </is>
      </c>
      <c r="M130" s="18" t="n">
        <v>3.7</v>
      </c>
      <c r="N130" s="18" t="n">
        <v>51</v>
      </c>
      <c r="O130" s="18" t="n">
        <v>11800</v>
      </c>
      <c r="P130" s="18">
        <f>O130*1.1</f>
        <v/>
      </c>
      <c r="Q130" s="20">
        <f>P130/Z130</f>
        <v/>
      </c>
      <c r="R130" s="20">
        <f>P130/AA130</f>
        <v/>
      </c>
      <c r="S130" s="18" t="inlineStr">
        <is>
          <t>视频</t>
        </is>
      </c>
      <c r="T130" s="21" t="n">
        <v>0.84</v>
      </c>
      <c r="U130" s="21" t="n">
        <v>0.08</v>
      </c>
      <c r="V130" s="21" t="n">
        <v>0.48</v>
      </c>
      <c r="W130" s="21" t="n">
        <v>0.24</v>
      </c>
      <c r="X130" s="21" t="n">
        <v>0.46</v>
      </c>
      <c r="Y130" s="21" t="n">
        <v>0.18</v>
      </c>
      <c r="Z130" s="22" t="n">
        <v>50992</v>
      </c>
      <c r="AA130" s="18" t="n">
        <v>2465</v>
      </c>
    </row>
    <row r="131">
      <c r="A131" s="7" t="inlineStr">
        <is>
          <t>ok</t>
        </is>
      </c>
      <c r="C131" s="18" t="inlineStr">
        <is>
          <t>品牌</t>
        </is>
      </c>
      <c r="D131" s="19" t="inlineStr">
        <is>
          <t>品类人群符合 有爆文</t>
        </is>
      </c>
      <c r="E131" s="18" t="inlineStr">
        <is>
          <t>Eason妈</t>
        </is>
      </c>
      <c r="F131" s="7" t="inlineStr">
        <is>
          <t>https://pgy.xiaohongshu.com/solar/pre-trade/blogger-detail/59f2dc5b11be1063dc1ada8f?track_id=kolSimilar_e8c332d6478245f59fa0ae222865783e&amp;source=Advertiser_Similar_Kol</t>
        </is>
      </c>
      <c r="G131" s="19" t="inlineStr">
        <is>
          <t>https://www.xiaohongshu.com/user/profile/59f2dc5b11be1063dc1ada8f</t>
        </is>
      </c>
      <c r="H131" s="118" t="n">
        <v>422882994</v>
      </c>
      <c r="I131" s="18" t="inlineStr">
        <is>
          <t>家居家装</t>
        </is>
      </c>
      <c r="J131" s="18" t="n"/>
      <c r="K131" s="18" t="n"/>
      <c r="L131" s="18" t="inlineStr">
        <is>
          <t>尾部</t>
        </is>
      </c>
      <c r="M131" s="18" t="n">
        <v>4.9</v>
      </c>
      <c r="N131" s="18" t="n">
        <v>88</v>
      </c>
      <c r="O131" s="18" t="n">
        <v>9000</v>
      </c>
      <c r="P131" s="18">
        <f>O131*1.1</f>
        <v/>
      </c>
      <c r="Q131" s="20">
        <f>P131/Z131</f>
        <v/>
      </c>
      <c r="R131" s="20">
        <f>P131/AA131</f>
        <v/>
      </c>
      <c r="S131" s="18" t="inlineStr">
        <is>
          <t>图文</t>
        </is>
      </c>
      <c r="T131" s="21" t="n">
        <v>0.74</v>
      </c>
      <c r="U131" s="21" t="n">
        <v>0.12</v>
      </c>
      <c r="V131" s="21" t="n">
        <v>0.52</v>
      </c>
      <c r="W131" s="21" t="n">
        <v>0.26</v>
      </c>
      <c r="X131" s="21" t="n">
        <v>0.57</v>
      </c>
      <c r="Y131" s="21" t="n">
        <v>0.15</v>
      </c>
      <c r="Z131" s="22" t="n">
        <v>39992</v>
      </c>
      <c r="AA131" s="18" t="n">
        <v>2781</v>
      </c>
    </row>
    <row r="132">
      <c r="A132" s="7" t="inlineStr">
        <is>
          <t>ok</t>
        </is>
      </c>
      <c r="C132" s="18" t="inlineStr">
        <is>
          <t>品牌</t>
        </is>
      </c>
      <c r="D132" s="19" t="inlineStr">
        <is>
          <t xml:space="preserve">意式厨房，家庭聚餐场景 </t>
        </is>
      </c>
      <c r="E132" s="18" t="inlineStr">
        <is>
          <t>张小宁</t>
        </is>
      </c>
      <c r="F132" s="7" t="inlineStr">
        <is>
          <t>https://pgy.xiaohongshu.com/solar/pre-trade/blogger-detail/5dc2e5ad000000000100ab6e?track_id=kolSimilar_e8c332d6478245f59fa0ae222865783e&amp;source=Advertiser_Similar_Kol</t>
        </is>
      </c>
      <c r="G132" s="19" t="inlineStr">
        <is>
          <t>https://www.xiaohongshu.com/user/profile/5dc2e5ad000000000100ab6e</t>
        </is>
      </c>
      <c r="H132" s="118" t="n">
        <v>840929384</v>
      </c>
      <c r="I132" s="18" t="inlineStr">
        <is>
          <t>家居家装</t>
        </is>
      </c>
      <c r="J132" s="18" t="n"/>
      <c r="K132" s="18" t="n"/>
      <c r="L132" s="18" t="inlineStr">
        <is>
          <t>尾部</t>
        </is>
      </c>
      <c r="M132" s="18" t="n">
        <v>2.1</v>
      </c>
      <c r="N132" s="18" t="n">
        <v>23</v>
      </c>
      <c r="O132" s="18" t="n">
        <v>5700</v>
      </c>
      <c r="P132" s="18">
        <f>O132*1.1</f>
        <v/>
      </c>
      <c r="Q132" s="20">
        <f>P132/Z132</f>
        <v/>
      </c>
      <c r="R132" s="20">
        <f>P132/AA132</f>
        <v/>
      </c>
      <c r="S132" s="18" t="inlineStr">
        <is>
          <t>图文</t>
        </is>
      </c>
      <c r="T132" s="21" t="n">
        <v>0.72</v>
      </c>
      <c r="U132" s="21" t="n">
        <v>0.13</v>
      </c>
      <c r="V132" s="21" t="n">
        <v>0.44</v>
      </c>
      <c r="W132" s="21" t="n">
        <v>0.27</v>
      </c>
      <c r="X132" s="21" t="n">
        <v>0.54</v>
      </c>
      <c r="Y132" s="21" t="n">
        <v>0.16</v>
      </c>
      <c r="Z132" s="22" t="n">
        <v>16038</v>
      </c>
      <c r="AA132" s="18" t="n">
        <v>1241</v>
      </c>
    </row>
    <row r="133">
      <c r="A133" s="7" t="inlineStr">
        <is>
          <t>ok</t>
        </is>
      </c>
      <c r="C133" s="18" t="inlineStr">
        <is>
          <t>品牌</t>
        </is>
      </c>
      <c r="D133" s="19" t="inlineStr">
        <is>
          <t>开放式厨房 漂亮饭场景</t>
        </is>
      </c>
      <c r="E133" s="18" t="inlineStr">
        <is>
          <t>阿福弗弗</t>
        </is>
      </c>
      <c r="F133" s="7" t="inlineStr">
        <is>
          <t>https://pgy.xiaohongshu.com/solar/pre-trade/blogger-detail/5dd60dce00000000010078bd?track_id=kolSimilar_e8c332d6478245f59fa0ae222865783e&amp;source=Advertiser_Similar_Kol</t>
        </is>
      </c>
      <c r="G133" s="19" t="inlineStr">
        <is>
          <t>https://www.xiaohongshu.com/user/profile/5dd60dce00000000010078bd</t>
        </is>
      </c>
      <c r="H133" s="118" t="inlineStr">
        <is>
          <t>afufu1118</t>
        </is>
      </c>
      <c r="I133" s="18" t="inlineStr">
        <is>
          <t>家居家装</t>
        </is>
      </c>
      <c r="J133" s="18" t="n"/>
      <c r="K133" s="18" t="n"/>
      <c r="L133" s="18" t="inlineStr">
        <is>
          <t>尾部</t>
        </is>
      </c>
      <c r="M133" s="18" t="n">
        <v>1.3</v>
      </c>
      <c r="N133" s="18" t="n">
        <v>13</v>
      </c>
      <c r="O133" s="18" t="n">
        <v>6000</v>
      </c>
      <c r="P133" s="18">
        <f>O133*1.1</f>
        <v/>
      </c>
      <c r="Q133" s="20">
        <f>P133/Z133</f>
        <v/>
      </c>
      <c r="R133" s="20">
        <f>P133/AA133</f>
        <v/>
      </c>
      <c r="S133" s="18" t="inlineStr">
        <is>
          <t>图文</t>
        </is>
      </c>
      <c r="T133" s="21" t="n">
        <v>0.9</v>
      </c>
      <c r="U133" s="21" t="n">
        <v>0.09</v>
      </c>
      <c r="V133" s="21" t="n">
        <v>0.52</v>
      </c>
      <c r="W133" s="21" t="n">
        <v>0.27</v>
      </c>
      <c r="X133" s="21" t="n">
        <v>0.71</v>
      </c>
      <c r="Y133" s="21" t="n">
        <v>0.11</v>
      </c>
      <c r="Z133" s="22" t="n">
        <v>10759</v>
      </c>
      <c r="AA133" s="18" t="n">
        <v>791</v>
      </c>
    </row>
    <row r="134">
      <c r="A134" s="7" t="inlineStr">
        <is>
          <t>ok</t>
        </is>
      </c>
      <c r="C134" s="18" t="inlineStr">
        <is>
          <t>品牌</t>
        </is>
      </c>
      <c r="D134" s="19" t="inlineStr">
        <is>
          <t>品类符合 数据不错</t>
        </is>
      </c>
      <c r="E134" s="18" t="inlineStr">
        <is>
          <t>大瑶の家</t>
        </is>
      </c>
      <c r="F134" s="7" t="inlineStr">
        <is>
          <t>https://pgy.xiaohongshu.com/solar/pre-trade/blogger-detail/5e527c4f0000000001000728?track_id=kolSimilar_e8c332d6478245f59fa0ae222865783e&amp;source=Advertiser_Similar_Kol</t>
        </is>
      </c>
      <c r="G134" s="19" t="inlineStr">
        <is>
          <t>https://www.xiaohongshu.com/user/profile/5e527c4f0000000001000728</t>
        </is>
      </c>
      <c r="H134" s="118" t="inlineStr">
        <is>
          <t>M_123333</t>
        </is>
      </c>
      <c r="I134" s="18" t="inlineStr">
        <is>
          <t>家居家装</t>
        </is>
      </c>
      <c r="J134" s="18" t="n"/>
      <c r="K134" s="18" t="n"/>
      <c r="L134" s="18" t="inlineStr">
        <is>
          <t>尾部</t>
        </is>
      </c>
      <c r="M134" s="18" t="n">
        <v>1.2</v>
      </c>
      <c r="N134" s="18" t="n">
        <v>13.3</v>
      </c>
      <c r="O134" s="18" t="n">
        <v>4600</v>
      </c>
      <c r="P134" s="18">
        <f>O134*1.1</f>
        <v/>
      </c>
      <c r="Q134" s="20">
        <f>P134/Z134</f>
        <v/>
      </c>
      <c r="R134" s="20">
        <f>P134/AA134</f>
        <v/>
      </c>
      <c r="S134" s="18" t="inlineStr">
        <is>
          <t>视频</t>
        </is>
      </c>
      <c r="T134" s="21" t="n">
        <v>0.84</v>
      </c>
      <c r="U134" s="21" t="n">
        <v>0.05</v>
      </c>
      <c r="V134" s="21" t="n">
        <v>0.46</v>
      </c>
      <c r="W134" s="21" t="n">
        <v>0.31</v>
      </c>
      <c r="X134" s="21" t="n">
        <v>0.55</v>
      </c>
      <c r="Y134" s="21" t="n">
        <v>0.17</v>
      </c>
      <c r="Z134" s="22" t="n">
        <v>7462</v>
      </c>
      <c r="AA134" s="18" t="n">
        <v>948</v>
      </c>
    </row>
    <row r="135">
      <c r="A135" s="7" t="inlineStr">
        <is>
          <t>ok</t>
        </is>
      </c>
      <c r="C135" s="18" t="inlineStr">
        <is>
          <t>品牌</t>
        </is>
      </c>
      <c r="D135" s="19" t="inlineStr">
        <is>
          <t>有厨房场景 近期爆文</t>
        </is>
      </c>
      <c r="E135" s="18" t="inlineStr">
        <is>
          <t>拾点</t>
        </is>
      </c>
      <c r="F135" s="7" t="inlineStr">
        <is>
          <t>https://pgy.xiaohongshu.com/solar/pre-trade/blogger-detail/5bd3b8fd3b7be400017da80a?track_id=kolMatch_46185070b1a74e0d9519af7e57d906f1&amp;source=Advertiser_Kol</t>
        </is>
      </c>
      <c r="G135" s="19" t="inlineStr">
        <is>
          <t>https://www.xiaohongshu.com/user/profile/5bd3b8fd3b7be400017da80a</t>
        </is>
      </c>
      <c r="H135" s="118" t="n">
        <v>299521824</v>
      </c>
      <c r="I135" s="18" t="inlineStr">
        <is>
          <t>家居家装</t>
        </is>
      </c>
      <c r="J135" s="18" t="n"/>
      <c r="K135" s="18" t="n"/>
      <c r="L135" s="18" t="inlineStr">
        <is>
          <t>腰部</t>
        </is>
      </c>
      <c r="M135" s="18" t="n">
        <v>29.8</v>
      </c>
      <c r="N135" s="18" t="n">
        <v>447</v>
      </c>
      <c r="O135" s="18" t="n">
        <v>32000</v>
      </c>
      <c r="P135" s="18">
        <f>O135*1.1</f>
        <v/>
      </c>
      <c r="Q135" s="20">
        <f>P135/Z135</f>
        <v/>
      </c>
      <c r="R135" s="20">
        <f>P135/AA135</f>
        <v/>
      </c>
      <c r="S135" s="18" t="inlineStr">
        <is>
          <t>视频</t>
        </is>
      </c>
      <c r="T135" s="21" t="n">
        <v>0.85</v>
      </c>
      <c r="U135" s="21" t="n">
        <v>0.1</v>
      </c>
      <c r="V135" s="21" t="n">
        <v>0.49</v>
      </c>
      <c r="W135" s="21" t="n">
        <v>0.25</v>
      </c>
      <c r="X135" s="21" t="n">
        <v>0.59</v>
      </c>
      <c r="Y135" s="21" t="n">
        <v>0.14</v>
      </c>
      <c r="Z135" s="22" t="n">
        <v>60709</v>
      </c>
      <c r="AA135" s="18" t="n">
        <v>2907</v>
      </c>
    </row>
    <row r="136">
      <c r="A136" s="7" t="inlineStr">
        <is>
          <t>ok</t>
        </is>
      </c>
      <c r="C136" s="18" t="inlineStr">
        <is>
          <t>品牌</t>
        </is>
      </c>
      <c r="D136" s="19" t="inlineStr">
        <is>
          <t xml:space="preserve">近期家电有爆文 </t>
        </is>
      </c>
      <c r="E136" s="18" t="inlineStr">
        <is>
          <t>铁锅爸爸</t>
        </is>
      </c>
      <c r="F136" s="7" t="inlineStr">
        <is>
          <t>https://pgy.xiaohongshu.com/solar/pre-trade/blogger-detail/5b7d938ff7e8b91830d7d905?track_id=kolMatch_fcf260738f3e4cce8a78064f885972a7&amp;source=Advertiser_Kol</t>
        </is>
      </c>
      <c r="G136" s="19" t="inlineStr">
        <is>
          <t>https://www.xiaohongshu.com/user/profile/5b7d938ff7e8b91830d7d905</t>
        </is>
      </c>
      <c r="H136" s="118" t="inlineStr">
        <is>
          <t>Tieguopapa</t>
        </is>
      </c>
      <c r="I136" s="18" t="inlineStr">
        <is>
          <t>家居家装</t>
        </is>
      </c>
      <c r="J136" s="18" t="n"/>
      <c r="K136" s="18" t="n"/>
      <c r="L136" s="18" t="inlineStr">
        <is>
          <t>腰部</t>
        </is>
      </c>
      <c r="M136" s="18" t="n">
        <v>12.5</v>
      </c>
      <c r="N136" s="18" t="n">
        <v>141</v>
      </c>
      <c r="O136" s="18" t="n">
        <v>18000</v>
      </c>
      <c r="P136" s="18">
        <f>O136*1.1</f>
        <v/>
      </c>
      <c r="Q136" s="20">
        <f>P136/Z136</f>
        <v/>
      </c>
      <c r="R136" s="20">
        <f>P136/AA136</f>
        <v/>
      </c>
      <c r="S136" s="18" t="inlineStr">
        <is>
          <t>图文</t>
        </is>
      </c>
      <c r="T136" s="21" t="n">
        <v>0.63</v>
      </c>
      <c r="U136" s="21" t="n">
        <v>0.1</v>
      </c>
      <c r="V136" s="21" t="n">
        <v>0.48</v>
      </c>
      <c r="W136" s="21" t="n">
        <v>0.29</v>
      </c>
      <c r="X136" s="21" t="n">
        <v>0.6899999999999999</v>
      </c>
      <c r="Y136" s="21" t="n">
        <v>0.12</v>
      </c>
      <c r="Z136" s="22" t="n">
        <v>158681</v>
      </c>
      <c r="AA136" s="18" t="n">
        <v>16937</v>
      </c>
    </row>
    <row r="137">
      <c r="A137" s="7" t="inlineStr">
        <is>
          <t>ok</t>
        </is>
      </c>
      <c r="C137" s="18" t="inlineStr">
        <is>
          <t>品牌</t>
        </is>
      </c>
      <c r="D137" s="19" t="inlineStr">
        <is>
          <t>带过东芝微蒸烤 极简厨房场景</t>
        </is>
      </c>
      <c r="E137" s="18" t="inlineStr">
        <is>
          <t>佩奇的家</t>
        </is>
      </c>
      <c r="F137" s="7" t="inlineStr">
        <is>
          <t>https://pgy.xiaohongshu.com/solar/pre-trade/blogger-detail/6226b2f70000000010006a9e?track_id=kolSimilar_01891343d6464fce89686f8cfa133b71&amp;source=Advertiser_Similar_Kol</t>
        </is>
      </c>
      <c r="G137" s="19" t="inlineStr">
        <is>
          <t>https://www.xiaohongshu.com/user/profile/6226b2f70000000010006a9e</t>
        </is>
      </c>
      <c r="H137" s="118" t="n">
        <v>4705223804</v>
      </c>
      <c r="I137" s="18" t="inlineStr">
        <is>
          <t>家居家装</t>
        </is>
      </c>
      <c r="J137" s="18" t="n"/>
      <c r="K137" s="18" t="n"/>
      <c r="L137" s="18" t="inlineStr">
        <is>
          <t>尾部</t>
        </is>
      </c>
      <c r="M137" s="18" t="n">
        <v>3.1</v>
      </c>
      <c r="N137" s="18" t="n">
        <v>65</v>
      </c>
      <c r="O137" s="18" t="n">
        <v>6500</v>
      </c>
      <c r="P137" s="18">
        <f>O137*1.1</f>
        <v/>
      </c>
      <c r="Q137" s="20">
        <f>P137/Z137</f>
        <v/>
      </c>
      <c r="R137" s="20">
        <f>P137/AA137</f>
        <v/>
      </c>
      <c r="S137" s="18" t="inlineStr">
        <is>
          <t>视频</t>
        </is>
      </c>
      <c r="T137" s="21" t="n">
        <v>0.73</v>
      </c>
      <c r="U137" s="21" t="n">
        <v>0.06</v>
      </c>
      <c r="V137" s="21" t="n">
        <v>0.29</v>
      </c>
      <c r="W137" s="21" t="n">
        <v>0.36</v>
      </c>
      <c r="X137" s="21" t="n">
        <v>0.31</v>
      </c>
      <c r="Y137" s="21" t="n">
        <v>0.22</v>
      </c>
      <c r="Z137" s="22" t="n">
        <v>22858</v>
      </c>
      <c r="AA137" s="18" t="n">
        <v>1625</v>
      </c>
    </row>
    <row r="138">
      <c r="A138" s="7" t="inlineStr">
        <is>
          <t>ok</t>
        </is>
      </c>
      <c r="C138" s="18" t="inlineStr">
        <is>
          <t>品牌</t>
        </is>
      </c>
      <c r="D138" s="19" t="inlineStr">
        <is>
          <t xml:space="preserve">带过东芝微蒸烤 厨房场景 有爆文 </t>
        </is>
      </c>
      <c r="E138" s="18" t="inlineStr">
        <is>
          <t>lurveoo璐哦</t>
        </is>
      </c>
      <c r="F138" s="7" t="inlineStr">
        <is>
          <t>https://pgy.xiaohongshu.com/solar/pre-trade/blogger-detail/5785b7476a6a6949e43cadf7?track_id=kolSimilar_01891343d6464fce89686f8cfa133b71&amp;source=Advertiser_Similar_Kol</t>
        </is>
      </c>
      <c r="G138" s="19" t="inlineStr">
        <is>
          <t>https://www.xiaohongshu.com/user/profile/5785b7476a6a6949e43cadf7</t>
        </is>
      </c>
      <c r="H138" s="118" t="n">
        <v>107781584</v>
      </c>
      <c r="I138" s="18" t="inlineStr">
        <is>
          <t>家居家装</t>
        </is>
      </c>
      <c r="J138" s="18" t="n"/>
      <c r="K138" s="18" t="n"/>
      <c r="L138" s="18" t="inlineStr">
        <is>
          <t>尾部</t>
        </is>
      </c>
      <c r="M138" s="18" t="n">
        <v>2.9</v>
      </c>
      <c r="N138" s="18" t="n">
        <v>30</v>
      </c>
      <c r="O138" s="18" t="n">
        <v>14000</v>
      </c>
      <c r="P138" s="18">
        <f>O138*1.1</f>
        <v/>
      </c>
      <c r="Q138" s="20">
        <f>P138/Z138</f>
        <v/>
      </c>
      <c r="R138" s="20">
        <f>P138/AA138</f>
        <v/>
      </c>
      <c r="S138" s="18" t="inlineStr">
        <is>
          <t>视频</t>
        </is>
      </c>
      <c r="T138" s="21" t="n">
        <v>0.8100000000000001</v>
      </c>
      <c r="U138" s="21" t="n">
        <v>0.11</v>
      </c>
      <c r="V138" s="21" t="n">
        <v>0.48</v>
      </c>
      <c r="W138" s="21" t="n">
        <v>0.24</v>
      </c>
      <c r="X138" s="21" t="n">
        <v>0.48</v>
      </c>
      <c r="Y138" s="21" t="n">
        <v>0.15</v>
      </c>
      <c r="Z138" s="22" t="n">
        <v>49822</v>
      </c>
      <c r="AA138" s="18" t="n">
        <v>944</v>
      </c>
    </row>
    <row r="139">
      <c r="A139" s="7" t="inlineStr">
        <is>
          <t>ok</t>
        </is>
      </c>
      <c r="C139" s="18" t="inlineStr">
        <is>
          <t>品牌</t>
        </is>
      </c>
      <c r="D139" s="19" t="inlineStr">
        <is>
          <t xml:space="preserve">原木风装修，有娃，客单价合适 </t>
        </is>
      </c>
      <c r="E139" s="18" t="inlineStr">
        <is>
          <t>猫咪的下雨天</t>
        </is>
      </c>
      <c r="F139" s="7" t="inlineStr">
        <is>
          <t>https://pgy.xiaohongshu.com/solar/pre-trade/blogger-detail/580c8ab950c4b42ecfa8c528?track_id=kolSimilar_01182e2358884c70918589d054aca5a3&amp;source=Advertiser_Similar_Kol</t>
        </is>
      </c>
      <c r="G139" s="19" t="inlineStr">
        <is>
          <t>https://www.xiaohongshu.com/user/profile/580c8ab950c4b42ecfa8c528</t>
        </is>
      </c>
      <c r="H139" s="118" t="n">
        <v>107173348</v>
      </c>
      <c r="I139" s="18" t="inlineStr">
        <is>
          <t>家居家装</t>
        </is>
      </c>
      <c r="J139" s="18" t="n"/>
      <c r="K139" s="18" t="n"/>
      <c r="L139" s="18" t="inlineStr">
        <is>
          <t>尾部</t>
        </is>
      </c>
      <c r="M139" s="18" t="n">
        <v>1.9</v>
      </c>
      <c r="N139" s="18" t="n">
        <v>35</v>
      </c>
      <c r="O139" s="18" t="n">
        <v>3900</v>
      </c>
      <c r="P139" s="18">
        <f>O139*1.1</f>
        <v/>
      </c>
      <c r="Q139" s="20">
        <f>P139/Z139</f>
        <v/>
      </c>
      <c r="R139" s="20">
        <f>P139/AA139</f>
        <v/>
      </c>
      <c r="S139" s="18" t="inlineStr">
        <is>
          <t>图文</t>
        </is>
      </c>
      <c r="T139" s="21" t="n">
        <v>0.82</v>
      </c>
      <c r="U139" s="21" t="n">
        <v>0.08</v>
      </c>
      <c r="V139" s="21" t="n">
        <v>0.47</v>
      </c>
      <c r="W139" s="21" t="n">
        <v>0.31</v>
      </c>
      <c r="X139" s="21" t="n">
        <v>0.44</v>
      </c>
      <c r="Y139" s="21" t="n">
        <v>0.18</v>
      </c>
      <c r="Z139" s="22" t="n">
        <v>17036</v>
      </c>
      <c r="AA139" s="18" t="n">
        <v>1095</v>
      </c>
    </row>
    <row r="140">
      <c r="A140" s="7" t="inlineStr">
        <is>
          <t>ok</t>
        </is>
      </c>
      <c r="C140" s="18" t="inlineStr">
        <is>
          <t>品牌</t>
        </is>
      </c>
      <c r="D140" s="19" t="inlineStr">
        <is>
          <t>日系厨房，极简智能生活家 有娃</t>
        </is>
      </c>
      <c r="E140" s="18" t="inlineStr">
        <is>
          <t>是小燕子呀🎶～</t>
        </is>
      </c>
      <c r="F140" s="7" t="inlineStr">
        <is>
          <t>https://pgy.xiaohongshu.com/solar/pre-trade/blogger-detail/596f3bac50c4b47bd5929889?track_id=kolSimilar_4ad74dd65b224d40a6db321450ae0221&amp;source=Advertiser_Similar_Kol</t>
        </is>
      </c>
      <c r="G140" s="19" t="inlineStr">
        <is>
          <t>https://www.xiaohongshu.com/user/profile/596f3bac50c4b47bd5929889</t>
        </is>
      </c>
      <c r="H140" s="118" t="inlineStr">
        <is>
          <t>YW950427_</t>
        </is>
      </c>
      <c r="I140" s="18" t="inlineStr">
        <is>
          <t>家居家装</t>
        </is>
      </c>
      <c r="J140" s="18" t="n"/>
      <c r="K140" s="18" t="n"/>
      <c r="L140" s="18" t="inlineStr">
        <is>
          <t>尾部</t>
        </is>
      </c>
      <c r="M140" s="18" t="n">
        <v>3.7</v>
      </c>
      <c r="N140" s="18" t="n">
        <v>83</v>
      </c>
      <c r="O140" s="18" t="n">
        <v>9000</v>
      </c>
      <c r="P140" s="18">
        <f>O140*1.1</f>
        <v/>
      </c>
      <c r="Q140" s="20">
        <f>P140/Z140</f>
        <v/>
      </c>
      <c r="R140" s="20">
        <f>P140/AA140</f>
        <v/>
      </c>
      <c r="S140" s="18" t="inlineStr">
        <is>
          <t>图文</t>
        </is>
      </c>
      <c r="T140" s="21" t="n">
        <v>0.84</v>
      </c>
      <c r="U140" s="21" t="n">
        <v>0.1</v>
      </c>
      <c r="V140" s="21" t="n">
        <v>0.47</v>
      </c>
      <c r="W140" s="21" t="n">
        <v>0.26</v>
      </c>
      <c r="X140" s="21" t="n">
        <v>0.45</v>
      </c>
      <c r="Y140" s="21" t="n">
        <v>0.17</v>
      </c>
      <c r="Z140" s="22" t="n">
        <v>24893</v>
      </c>
      <c r="AA140" s="18" t="n">
        <v>1686</v>
      </c>
    </row>
    <row r="141">
      <c r="A141" s="7" t="inlineStr">
        <is>
          <t>ok</t>
        </is>
      </c>
      <c r="C141" s="18" t="inlineStr">
        <is>
          <t>品牌</t>
        </is>
      </c>
      <c r="D141" s="19" t="inlineStr">
        <is>
          <t xml:space="preserve">极简厨房 温馨生活场景 </t>
        </is>
      </c>
      <c r="E141" s="18" t="inlineStr">
        <is>
          <t>Bonnie</t>
        </is>
      </c>
      <c r="F141" s="7" t="inlineStr">
        <is>
          <t>https://pgy.xiaohongshu.com/solar/pre-trade/blogger-detail/646a384d000000002a0096fb?track_id=kolSimilar_4ad74dd65b224d40a6db321450ae0221&amp;source=Advertiser_Similar_Kol</t>
        </is>
      </c>
      <c r="G141" s="19" t="inlineStr">
        <is>
          <t>https://www.xiaohongshu.com/user/profile/646a384d000000002a0096fb</t>
        </is>
      </c>
      <c r="H141" s="118" t="n">
        <v>8974760072</v>
      </c>
      <c r="I141" s="18" t="inlineStr">
        <is>
          <t>家居家装</t>
        </is>
      </c>
      <c r="J141" s="18" t="n"/>
      <c r="K141" s="18" t="n"/>
      <c r="L141" s="18" t="inlineStr">
        <is>
          <t>尾部</t>
        </is>
      </c>
      <c r="M141" s="18" t="n">
        <v>0.9</v>
      </c>
      <c r="N141" s="18" t="n">
        <v>21</v>
      </c>
      <c r="O141" s="18" t="n">
        <v>3500</v>
      </c>
      <c r="P141" s="18">
        <f>O141*1.1</f>
        <v/>
      </c>
      <c r="Q141" s="20">
        <f>P141/Z141</f>
        <v/>
      </c>
      <c r="R141" s="20">
        <f>P141/AA141</f>
        <v/>
      </c>
      <c r="S141" s="18" t="inlineStr">
        <is>
          <t>图文</t>
        </is>
      </c>
      <c r="T141" s="21" t="n">
        <v>0.82</v>
      </c>
      <c r="U141" s="21" t="n">
        <v>0.09</v>
      </c>
      <c r="V141" s="21" t="n">
        <v>0.49</v>
      </c>
      <c r="W141" s="21" t="n">
        <v>0.28</v>
      </c>
      <c r="X141" s="21" t="n">
        <v>0.5600000000000001</v>
      </c>
      <c r="Y141" s="21" t="n">
        <v>0.17</v>
      </c>
      <c r="Z141" s="22" t="n">
        <v>8320</v>
      </c>
      <c r="AA141" s="18" t="n">
        <v>377</v>
      </c>
    </row>
    <row r="142">
      <c r="A142" s="7" t="inlineStr">
        <is>
          <t>小户型</t>
        </is>
      </c>
      <c r="C142" s="18" t="inlineStr">
        <is>
          <t>品牌</t>
        </is>
      </c>
      <c r="D142" s="19" t="inlineStr">
        <is>
          <t>高客单匹配  开放厨房</t>
        </is>
      </c>
      <c r="E142" s="18" t="inlineStr">
        <is>
          <t>盒子盒子</t>
        </is>
      </c>
      <c r="F142" s="7" t="inlineStr">
        <is>
          <t>https://pgy.xiaohongshu.com/solar/pre-trade/blogger-detail/5aaa02a111be1077d0bb1918?track_id=kolSimilar_4ad74dd65b224d40a6db321450ae0221&amp;source=Advertiser_Similar_Kol</t>
        </is>
      </c>
      <c r="G142" s="19" t="inlineStr">
        <is>
          <t>https://www.xiaohongshu.com/user/profile/5aaa02a111be1077d0bb1918</t>
        </is>
      </c>
      <c r="H142" s="118" t="n">
        <v>636574048</v>
      </c>
      <c r="I142" s="18" t="inlineStr">
        <is>
          <t>家居家装</t>
        </is>
      </c>
      <c r="J142" s="18" t="n"/>
      <c r="K142" s="18" t="n"/>
      <c r="L142" s="18" t="n"/>
      <c r="M142" s="18" t="n"/>
      <c r="N142" s="18" t="n"/>
      <c r="O142" s="18" t="n"/>
      <c r="P142" s="18" t="n"/>
      <c r="Q142" s="20">
        <f>P142/Z143</f>
        <v/>
      </c>
      <c r="R142" s="20">
        <f>P142/AA143</f>
        <v/>
      </c>
      <c r="U142" s="21" t="n">
        <v>0.06</v>
      </c>
      <c r="V142" s="21" t="n">
        <v>0.49</v>
      </c>
      <c r="W142" s="21" t="n">
        <v>0.28</v>
      </c>
    </row>
    <row r="143">
      <c r="A143" s="7" t="inlineStr">
        <is>
          <t>ok</t>
        </is>
      </c>
      <c r="C143" s="18" t="inlineStr">
        <is>
          <t>品牌</t>
        </is>
      </c>
      <c r="D143" s="19" t="inlineStr">
        <is>
          <t>95后全屋智能家 人群匹配</t>
        </is>
      </c>
      <c r="E143" s="18" t="inlineStr">
        <is>
          <t>拾柒-</t>
        </is>
      </c>
      <c r="F143" s="7" t="inlineStr">
        <is>
          <t>https://pgy.xiaohongshu.com/solar/pre-trade/blogger-detail/5b32165c6b58b70fbe7e7b6d?track_id=kolSimilar_8da705e98fb941b5a8756f2de03e4ef3&amp;source=Advertiser_Similar_Kol</t>
        </is>
      </c>
      <c r="G143" s="19" t="inlineStr">
        <is>
          <t>https://www.xiaohongshu.com/user/profile/5b32165c6b58b70fbe7e7b6d</t>
        </is>
      </c>
      <c r="H143" s="118" t="n">
        <v>119007167</v>
      </c>
      <c r="I143" s="18" t="inlineStr">
        <is>
          <t>家居家装</t>
        </is>
      </c>
      <c r="J143" s="18" t="n"/>
      <c r="K143" s="18" t="n"/>
      <c r="L143" s="18" t="inlineStr">
        <is>
          <t>尾部</t>
        </is>
      </c>
      <c r="M143" s="18" t="n">
        <v>2.3</v>
      </c>
      <c r="N143" s="18" t="n">
        <v>14</v>
      </c>
      <c r="O143" s="18" t="n">
        <v>8000</v>
      </c>
      <c r="P143" s="18">
        <f>O143*1.1</f>
        <v/>
      </c>
      <c r="Q143" s="20">
        <f>P143/Z143</f>
        <v/>
      </c>
      <c r="R143" s="20">
        <f>P143/AA143</f>
        <v/>
      </c>
      <c r="S143" s="18" t="inlineStr">
        <is>
          <t>视频</t>
        </is>
      </c>
      <c r="T143" s="21" t="n">
        <v>0.53</v>
      </c>
      <c r="U143" s="21" t="n">
        <v>0.05</v>
      </c>
      <c r="V143" s="21" t="n">
        <v>0.32</v>
      </c>
      <c r="W143" s="21" t="n">
        <v>0.38</v>
      </c>
      <c r="X143" s="21" t="n">
        <v>0.52</v>
      </c>
      <c r="Y143" s="21" t="n">
        <v>0.21</v>
      </c>
      <c r="Z143" s="22" t="n">
        <v>18486</v>
      </c>
      <c r="AA143" s="18" t="n">
        <v>846</v>
      </c>
    </row>
    <row r="144">
      <c r="A144" s="7" t="inlineStr">
        <is>
          <t>ok</t>
        </is>
      </c>
      <c r="C144" s="18" t="inlineStr">
        <is>
          <t>品牌</t>
        </is>
      </c>
      <c r="D144" s="19" t="inlineStr">
        <is>
          <t>有娃家庭，有极简厨房</t>
        </is>
      </c>
      <c r="E144" s="18" t="inlineStr">
        <is>
          <t>苏苏苏苏</t>
        </is>
      </c>
      <c r="F144" s="7" t="inlineStr">
        <is>
          <t>https://pgy.xiaohongshu.com/solar/pre-trade/blogger-detail/5561304d484fb60b407e1a11?track_id=kolSearch_3cd355e9fdce4768b2be229ccfce418a&amp;source=Advertiser_Kol</t>
        </is>
      </c>
      <c r="G144" s="19" t="inlineStr">
        <is>
          <t>https://www.xiaohongshu.com/user/profile/5561304d484fb60b407e1a11</t>
        </is>
      </c>
      <c r="H144" s="118" t="n">
        <v>101535344</v>
      </c>
      <c r="I144" s="18" t="inlineStr">
        <is>
          <t>家居家装</t>
        </is>
      </c>
      <c r="J144" s="18" t="n"/>
      <c r="K144" s="18" t="n"/>
      <c r="L144" s="18" t="inlineStr">
        <is>
          <t>尾部</t>
        </is>
      </c>
      <c r="M144" s="18" t="n">
        <v>4.7</v>
      </c>
      <c r="N144" s="18" t="n">
        <v>44</v>
      </c>
      <c r="O144" s="18" t="n">
        <v>12000</v>
      </c>
      <c r="P144" s="18">
        <f>O144*1.1</f>
        <v/>
      </c>
      <c r="Q144" s="20">
        <f>P144/Z144</f>
        <v/>
      </c>
      <c r="R144" s="20">
        <f>P144/AA144</f>
        <v/>
      </c>
      <c r="S144" s="18" t="inlineStr">
        <is>
          <t>视频</t>
        </is>
      </c>
      <c r="T144" s="21" t="n">
        <v>0.85</v>
      </c>
      <c r="U144" s="21" t="n">
        <v>0.07000000000000001</v>
      </c>
      <c r="V144" s="21" t="n">
        <v>0.26</v>
      </c>
      <c r="W144" s="21" t="n">
        <v>0.38</v>
      </c>
      <c r="X144" s="21" t="n">
        <v>0.35</v>
      </c>
      <c r="Y144" s="21" t="n">
        <v>0.22</v>
      </c>
      <c r="Z144" s="22" t="n">
        <v>13507</v>
      </c>
      <c r="AA144" s="18" t="n">
        <v>908</v>
      </c>
    </row>
    <row r="145">
      <c r="A145" s="7" t="inlineStr">
        <is>
          <t>ok</t>
        </is>
      </c>
      <c r="C145" s="18" t="inlineStr">
        <is>
          <t>品牌</t>
        </is>
      </c>
      <c r="D145" s="19" t="inlineStr">
        <is>
          <t>沉浸生活场景，近期带过高客单家电</t>
        </is>
      </c>
      <c r="E145" s="18" t="inlineStr">
        <is>
          <t>木木的家🏠</t>
        </is>
      </c>
      <c r="F145" s="7" t="inlineStr">
        <is>
          <t>https://pgy.xiaohongshu.com/solar/pre-trade/blogger-detail/5a9bfbf511be1014b6161c55?track_id=kolSearch_dfa9b8ff17784a7eb40bfc30e656eaea&amp;source=Advertiser_Kol</t>
        </is>
      </c>
      <c r="G145" s="19" t="inlineStr">
        <is>
          <t>https://www.xiaohongshu.com/user/profile/5a9bfbf511be1014b6161c55</t>
        </is>
      </c>
      <c r="H145" s="118" t="inlineStr">
        <is>
          <t>ladybres2</t>
        </is>
      </c>
      <c r="I145" s="18" t="inlineStr">
        <is>
          <t>家居家装</t>
        </is>
      </c>
      <c r="J145" s="18" t="n"/>
      <c r="K145" s="18" t="n"/>
      <c r="L145" s="18" t="inlineStr">
        <is>
          <t>尾部</t>
        </is>
      </c>
      <c r="M145" s="18" t="n">
        <v>7</v>
      </c>
      <c r="N145" s="18" t="n">
        <v>85</v>
      </c>
      <c r="O145" s="18" t="n">
        <v>10800</v>
      </c>
      <c r="P145" s="18">
        <f>O145*1.1</f>
        <v/>
      </c>
      <c r="Q145" s="20">
        <f>P145/Z145</f>
        <v/>
      </c>
      <c r="R145" s="20">
        <f>P145/AA145</f>
        <v/>
      </c>
      <c r="S145" s="18" t="inlineStr">
        <is>
          <t>图文</t>
        </is>
      </c>
      <c r="T145" s="21" t="n">
        <v>0.83</v>
      </c>
      <c r="U145" s="21" t="n">
        <v>0.06</v>
      </c>
      <c r="V145" s="21" t="n">
        <v>0.53</v>
      </c>
      <c r="W145" s="21" t="n">
        <v>0.29</v>
      </c>
      <c r="X145" s="21" t="n">
        <v>0.64</v>
      </c>
      <c r="Y145" s="21" t="n">
        <v>0.14</v>
      </c>
      <c r="Z145" s="22" t="n">
        <v>9952</v>
      </c>
      <c r="AA145" s="18" t="n">
        <v>994</v>
      </c>
    </row>
    <row r="146" ht="33" customHeight="1" s="151">
      <c r="A146" s="43" t="inlineStr">
        <is>
          <t>以下为品牌3.10提报刘云</t>
        </is>
      </c>
      <c r="B146" s="43" t="n"/>
      <c r="C146" s="37" t="n"/>
      <c r="D146" s="121" t="n"/>
      <c r="E146" s="37" t="n"/>
      <c r="F146" s="121" t="n"/>
      <c r="G146" s="121" t="n"/>
      <c r="H146" s="37" t="n"/>
      <c r="I146" s="37" t="n"/>
      <c r="J146" s="37" t="n"/>
      <c r="K146" s="37" t="n"/>
      <c r="L146" s="37" t="n"/>
      <c r="M146" s="37" t="n"/>
      <c r="N146" s="37" t="n"/>
      <c r="O146" s="152" t="n"/>
      <c r="P146" s="37" t="n"/>
      <c r="Q146" s="40" t="n"/>
      <c r="R146" s="40" t="n"/>
      <c r="S146" s="37" t="n"/>
      <c r="T146" s="67" t="n"/>
      <c r="U146" s="41" t="n"/>
      <c r="V146" s="67" t="n"/>
      <c r="W146" s="67" t="n"/>
      <c r="X146" s="67" t="n"/>
      <c r="Y146" s="67" t="n"/>
      <c r="Z146" s="37" t="n"/>
      <c r="AA146" s="37" t="n"/>
      <c r="AB146" s="43" t="n"/>
      <c r="AC146" s="43" t="n"/>
      <c r="AD146" s="43" t="n"/>
      <c r="AE146" s="43" t="n"/>
      <c r="AF146" s="43" t="n"/>
      <c r="AG146" s="43" t="n"/>
      <c r="AH146" s="43" t="n"/>
      <c r="AI146" s="43" t="n"/>
      <c r="AJ146" s="43" t="n"/>
      <c r="AK146" s="43" t="n"/>
      <c r="AL146" s="43" t="n"/>
      <c r="AM146" s="43" t="n"/>
      <c r="AN146" s="43" t="n"/>
      <c r="AO146" s="43" t="n"/>
      <c r="AP146" s="43" t="n"/>
      <c r="AQ146" s="43" t="n"/>
    </row>
    <row r="147">
      <c r="B147" s="7" t="n"/>
      <c r="C147" s="18" t="inlineStr">
        <is>
          <t>品牌</t>
        </is>
      </c>
      <c r="D147" s="19" t="inlineStr">
        <is>
          <t>40岁退休，小洋房美好生活日常</t>
        </is>
      </c>
      <c r="E147" s="18" t="inlineStr">
        <is>
          <t>黄夏的花园洋房</t>
        </is>
      </c>
      <c r="F147" s="7" t="inlineStr">
        <is>
          <t>https://pgy.xiaohongshu.com/solar/pre-trade/blogger-detail/5c5134740000000010023396?track_id=kolSimilar_66e6921dc20149d4af28b02438b7707c&amp;source=Advertiser_Similar_Kol</t>
        </is>
      </c>
      <c r="G147" s="19" t="inlineStr">
        <is>
          <t>https://www.xiaohongshu.com/user/profile/5c5134740000000010023396</t>
        </is>
      </c>
      <c r="H147" s="18" t="n">
        <v>965384953</v>
      </c>
      <c r="I147" s="18" t="inlineStr">
        <is>
          <t>家居家装</t>
        </is>
      </c>
      <c r="J147" s="18" t="n"/>
      <c r="K147" s="18" t="n"/>
      <c r="L147" s="18" t="inlineStr">
        <is>
          <t>尾部</t>
        </is>
      </c>
      <c r="M147" s="18" t="n">
        <v>9</v>
      </c>
      <c r="N147" s="18" t="n">
        <v>49</v>
      </c>
      <c r="O147" s="18" t="n">
        <v>15000</v>
      </c>
      <c r="P147" s="18">
        <f>O147*1.1</f>
        <v/>
      </c>
      <c r="Q147" s="20">
        <f>P147/Z147</f>
        <v/>
      </c>
      <c r="R147" s="20">
        <f>P147/AA147</f>
        <v/>
      </c>
      <c r="S147" s="18" t="inlineStr">
        <is>
          <t>视频</t>
        </is>
      </c>
      <c r="T147" s="21" t="n">
        <v>0.87</v>
      </c>
      <c r="U147" s="21" t="n">
        <v>0.08</v>
      </c>
      <c r="V147" s="21" t="n">
        <v>0.3</v>
      </c>
      <c r="W147" s="21" t="n">
        <v>0.32</v>
      </c>
      <c r="X147" s="21" t="n">
        <v>0.46</v>
      </c>
      <c r="Y147" s="21" t="n">
        <v>0.22</v>
      </c>
      <c r="Z147" s="22" t="n">
        <v>10194</v>
      </c>
      <c r="AA147" s="18" t="n">
        <v>870</v>
      </c>
    </row>
    <row r="148">
      <c r="B148" s="7" t="n"/>
      <c r="C148" s="18" t="inlineStr">
        <is>
          <t>品牌</t>
        </is>
      </c>
      <c r="D148" s="19" t="inlineStr">
        <is>
          <t>450平奶油风大房子</t>
        </is>
      </c>
      <c r="E148" s="18" t="inlineStr">
        <is>
          <t>火嫲</t>
        </is>
      </c>
      <c r="F148" s="7" t="inlineStr">
        <is>
          <t>https://pgy.xiaohongshu.com/solar/pre-trade/blogger-detail/565695c082ec397dd628e540?track_id=kolSimilar_47cf4b7ef4f34b89a32f77ad8b2578f6&amp;source=Advertiser_Similar_Kol</t>
        </is>
      </c>
      <c r="G148" s="19" t="inlineStr">
        <is>
          <t>https://www.xiaohongshu.com/user/profile/565695c082ec397dd628e540</t>
        </is>
      </c>
      <c r="H148" s="18" t="n">
        <v>105953911</v>
      </c>
      <c r="I148" s="18" t="inlineStr">
        <is>
          <t>家居家装</t>
        </is>
      </c>
      <c r="J148" s="18" t="n"/>
      <c r="K148" s="18" t="n"/>
      <c r="L148" s="18" t="inlineStr">
        <is>
          <t>尾部</t>
        </is>
      </c>
      <c r="M148" s="18" t="n">
        <v>2</v>
      </c>
      <c r="N148" s="18" t="n">
        <v>17</v>
      </c>
      <c r="O148" s="18" t="n">
        <v>11800</v>
      </c>
      <c r="P148" s="18">
        <f>O148*1.1</f>
        <v/>
      </c>
      <c r="Q148" s="20">
        <f>P148/Z148</f>
        <v/>
      </c>
      <c r="R148" s="20">
        <f>P148/AA148</f>
        <v/>
      </c>
      <c r="S148" s="18" t="inlineStr">
        <is>
          <t>视频</t>
        </is>
      </c>
      <c r="T148" s="21" t="n">
        <v>0.77</v>
      </c>
      <c r="U148" s="21" t="n">
        <v>0.12</v>
      </c>
      <c r="V148" s="21" t="n">
        <v>0.39</v>
      </c>
      <c r="W148" s="21" t="n">
        <v>0.35</v>
      </c>
      <c r="X148" s="21" t="n">
        <v>0.57</v>
      </c>
      <c r="Y148" s="21" t="n">
        <v>0.16</v>
      </c>
      <c r="Z148" s="22" t="n">
        <v>12850</v>
      </c>
      <c r="AA148" s="18" t="n">
        <v>1449</v>
      </c>
    </row>
    <row r="149">
      <c r="B149" s="7" t="n"/>
      <c r="C149" s="18" t="inlineStr">
        <is>
          <t>品牌</t>
        </is>
      </c>
      <c r="D149" s="19" t="inlineStr">
        <is>
          <t>宫崎骏童话，森系</t>
        </is>
      </c>
      <c r="E149" s="18" t="inlineStr">
        <is>
          <t>丹晨</t>
        </is>
      </c>
      <c r="F149" s="7" t="inlineStr">
        <is>
          <t>https://pgy.xiaohongshu.com/solar/pre-trade/blogger-detail/5bbbe4d385e5bd000107c1ff?track_id=kolSimilar_47cf4b7ef4f34b89a32f77ad8b2578f6&amp;source=Advertiser_Similar_Kol</t>
        </is>
      </c>
      <c r="G149" s="19" t="inlineStr">
        <is>
          <t>https://www.xiaohongshu.com/user/profile/5bbbe4d385e5bd000107c1ff</t>
        </is>
      </c>
      <c r="H149" s="18" t="inlineStr">
        <is>
          <t xml:space="preserve"> danny008306</t>
        </is>
      </c>
      <c r="I149" s="18" t="inlineStr">
        <is>
          <t>家居家装</t>
        </is>
      </c>
      <c r="J149" s="18" t="n"/>
      <c r="K149" s="18" t="n"/>
      <c r="L149" s="18" t="inlineStr">
        <is>
          <t>尾部</t>
        </is>
      </c>
      <c r="M149" s="18" t="n">
        <v>14</v>
      </c>
      <c r="N149" s="18" t="n">
        <v>68</v>
      </c>
      <c r="O149" s="18" t="n">
        <v>20000</v>
      </c>
      <c r="P149" s="18">
        <f>O149*1.1</f>
        <v/>
      </c>
      <c r="Q149" s="20">
        <f>P149/Z149</f>
        <v/>
      </c>
      <c r="R149" s="20">
        <f>P149/AA149</f>
        <v/>
      </c>
      <c r="S149" s="18" t="inlineStr">
        <is>
          <t>视频</t>
        </is>
      </c>
      <c r="T149" s="21" t="n">
        <v>0.91</v>
      </c>
      <c r="U149" s="21" t="n">
        <v>0.04</v>
      </c>
      <c r="V149" s="21" t="n">
        <v>0.32</v>
      </c>
      <c r="W149" s="21" t="n">
        <v>0.38</v>
      </c>
      <c r="X149" s="21" t="n">
        <v>0.52</v>
      </c>
      <c r="Y149" s="21" t="n">
        <v>0.21</v>
      </c>
      <c r="Z149" s="22" t="n">
        <v>16778</v>
      </c>
      <c r="AA149" s="18" t="n">
        <v>1801</v>
      </c>
    </row>
    <row r="150">
      <c r="B150" s="7" t="n"/>
      <c r="C150" s="18" t="inlineStr">
        <is>
          <t>品牌</t>
        </is>
      </c>
      <c r="D150" s="19" t="inlineStr">
        <is>
          <t>540平成都一楼带院的家居生活日常</t>
        </is>
      </c>
      <c r="E150" s="18" t="inlineStr">
        <is>
          <t>我叫梁闹闹</t>
        </is>
      </c>
      <c r="F150" s="7" t="inlineStr">
        <is>
          <t>https://pgy.xiaohongshu.com/solar/pre-trade/blogger-detail/5edbafff00000000010078bf?track_id=kolSimilar_8f850d90b1214d71a43650135a1b56a8&amp;source=Advertiser_Similar_Kol</t>
        </is>
      </c>
      <c r="G150" s="19" t="inlineStr">
        <is>
          <t>https://www.xiaohongshu.com/user/profile/5edbafff00000000010078bf</t>
        </is>
      </c>
      <c r="H150" s="18" t="inlineStr">
        <is>
          <t xml:space="preserve"> jingjing9456</t>
        </is>
      </c>
      <c r="I150" s="18" t="inlineStr">
        <is>
          <t>家居家装</t>
        </is>
      </c>
      <c r="J150" s="18" t="n"/>
      <c r="K150" s="18" t="n"/>
      <c r="L150" s="18" t="inlineStr">
        <is>
          <t>尾部</t>
        </is>
      </c>
      <c r="M150" s="18" t="n">
        <v>7</v>
      </c>
      <c r="N150" s="18" t="n">
        <v>48</v>
      </c>
      <c r="O150" s="18" t="n">
        <v>18000</v>
      </c>
      <c r="P150" s="18">
        <f>O150*1.1</f>
        <v/>
      </c>
      <c r="Q150" s="20">
        <f>P150/Z150</f>
        <v/>
      </c>
      <c r="R150" s="20">
        <f>P150/AA150</f>
        <v/>
      </c>
      <c r="S150" s="18" t="inlineStr">
        <is>
          <t>视频</t>
        </is>
      </c>
      <c r="T150" s="21" t="n">
        <v>0.79</v>
      </c>
      <c r="U150" s="21" t="n">
        <v>0.05</v>
      </c>
      <c r="V150" s="21" t="n">
        <v>0.3</v>
      </c>
      <c r="W150" s="21" t="n">
        <v>0.43</v>
      </c>
      <c r="X150" s="21" t="n">
        <v>0.48</v>
      </c>
      <c r="Y150" s="21" t="n">
        <v>0.24</v>
      </c>
      <c r="Z150" s="22" t="n">
        <v>190388</v>
      </c>
      <c r="AA150" s="18" t="n">
        <v>2956</v>
      </c>
    </row>
    <row r="151">
      <c r="B151" s="7" t="n"/>
      <c r="C151" s="18" t="inlineStr">
        <is>
          <t>品牌</t>
        </is>
      </c>
      <c r="D151" s="19" t="inlineStr">
        <is>
          <t>600平别墅的高质量生活</t>
        </is>
      </c>
      <c r="E151" s="18" t="inlineStr">
        <is>
          <t>牙签儿</t>
        </is>
      </c>
      <c r="F151" s="7" t="inlineStr">
        <is>
          <t>https://pgy.xiaohongshu.com/solar/pre-trade/blogger-detail/5aea846d11be1057a2ee99d6?track_id=kolSimilar_8f850d90b1214d71a43650135a1b56a8&amp;source=Advertiser_Similar_Kol</t>
        </is>
      </c>
      <c r="G151" s="19" t="inlineStr">
        <is>
          <t>https://www.xiaohongshu.com/user/profile/5aea846d11be1057a2ee99d6</t>
        </is>
      </c>
      <c r="H151" s="18" t="n">
        <v>279683652</v>
      </c>
      <c r="I151" s="18" t="inlineStr">
        <is>
          <t>家居家装</t>
        </is>
      </c>
      <c r="J151" s="18" t="n"/>
      <c r="K151" s="18" t="n"/>
      <c r="L151" s="18" t="inlineStr">
        <is>
          <t>尾部</t>
        </is>
      </c>
      <c r="M151" s="18" t="n">
        <v>2.6</v>
      </c>
      <c r="N151" s="18" t="n">
        <v>26</v>
      </c>
      <c r="O151" s="18" t="n">
        <v>7000</v>
      </c>
      <c r="P151" s="18">
        <f>O151*1.1</f>
        <v/>
      </c>
      <c r="Q151" s="20">
        <f>P151/Z151</f>
        <v/>
      </c>
      <c r="R151" s="20">
        <f>P151/AA151</f>
        <v/>
      </c>
      <c r="S151" s="18" t="inlineStr">
        <is>
          <t>视频</t>
        </is>
      </c>
      <c r="T151" s="21" t="n">
        <v>0.86</v>
      </c>
      <c r="U151" s="21" t="n">
        <v>0.09</v>
      </c>
      <c r="V151" s="21" t="n">
        <v>0.44</v>
      </c>
      <c r="W151" s="21" t="n">
        <v>0.33</v>
      </c>
      <c r="X151" s="21" t="n">
        <v>0.6</v>
      </c>
      <c r="Y151" s="21" t="n">
        <v>0.17</v>
      </c>
      <c r="Z151" s="22" t="n">
        <v>8662</v>
      </c>
      <c r="AA151" s="18" t="n">
        <v>441</v>
      </c>
    </row>
    <row r="152">
      <c r="B152" s="7" t="n"/>
      <c r="C152" s="18" t="inlineStr">
        <is>
          <t>品牌</t>
        </is>
      </c>
      <c r="D152" s="19" t="inlineStr">
        <is>
          <t>上下200平loft公寓精装生活</t>
        </is>
      </c>
      <c r="E152" s="18" t="inlineStr">
        <is>
          <t>doodoo的公寓</t>
        </is>
      </c>
      <c r="F152" s="7" t="inlineStr">
        <is>
          <t>https://pgy.xiaohongshu.com/solar/pre-trade/blogger-detail/5e64df1b0000000001009497?track_id=kolSimilar_bee5fa4fde86446a8b9fb3f9d7cf6dc5&amp;source=Advertiser_Similar_Kol</t>
        </is>
      </c>
      <c r="G152" s="19" t="inlineStr">
        <is>
          <t>https://www.xiaohongshu.com/user/profile/5e64df1b0000000001009497</t>
        </is>
      </c>
      <c r="H152" s="18" t="inlineStr">
        <is>
          <t xml:space="preserve"> doodoode</t>
        </is>
      </c>
      <c r="I152" s="18" t="inlineStr">
        <is>
          <t>家居家装</t>
        </is>
      </c>
      <c r="J152" s="18" t="n"/>
      <c r="K152" s="18" t="n"/>
      <c r="L152" s="18" t="inlineStr">
        <is>
          <t>尾部</t>
        </is>
      </c>
      <c r="M152" s="18" t="n">
        <v>5.7</v>
      </c>
      <c r="N152" s="18" t="n">
        <v>60</v>
      </c>
      <c r="O152" s="18" t="n">
        <v>8800</v>
      </c>
      <c r="P152" s="18">
        <f>O152*1.1</f>
        <v/>
      </c>
      <c r="Q152" s="20">
        <f>P152/Z152</f>
        <v/>
      </c>
      <c r="R152" s="20">
        <f>P152/AA152</f>
        <v/>
      </c>
      <c r="S152" s="18" t="inlineStr">
        <is>
          <t>图文</t>
        </is>
      </c>
      <c r="T152" s="21" t="n">
        <v>0.9</v>
      </c>
      <c r="U152" s="21" t="n">
        <v>0.13</v>
      </c>
      <c r="V152" s="21" t="n">
        <v>0.51</v>
      </c>
      <c r="W152" s="21" t="n">
        <v>0.25</v>
      </c>
      <c r="X152" s="21" t="n">
        <v>0.61</v>
      </c>
      <c r="Y152" s="21" t="n">
        <v>0.14</v>
      </c>
      <c r="Z152" s="22" t="n">
        <v>8987</v>
      </c>
      <c r="AA152" s="18" t="n">
        <v>1205</v>
      </c>
    </row>
    <row r="153">
      <c r="B153" s="7" t="n"/>
      <c r="C153" s="18" t="inlineStr">
        <is>
          <t>品牌</t>
        </is>
      </c>
      <c r="D153" s="19" t="inlineStr">
        <is>
          <t>144平复古法式风，高级感日常</t>
        </is>
      </c>
      <c r="E153" s="18" t="inlineStr">
        <is>
          <t>大徐HOME</t>
        </is>
      </c>
      <c r="F153" s="7" t="inlineStr">
        <is>
          <t>https://pgy.xiaohongshu.com/solar/pre-trade/blogger-detail/63ed72130000000027029fae?track_id=kolSimilar_42db9fd3ec084363bb5f4ce55ff58473&amp;source=Advertiser_Similar_Kol</t>
        </is>
      </c>
      <c r="G153" s="19" t="inlineStr">
        <is>
          <t>https://www.xiaohongshu.com/user/profile/63ed72130000000027029fae</t>
        </is>
      </c>
      <c r="H153" s="18" t="n">
        <v>8949734586</v>
      </c>
      <c r="I153" s="18" t="inlineStr">
        <is>
          <t>家居家装</t>
        </is>
      </c>
      <c r="J153" s="18" t="n"/>
      <c r="K153" s="18" t="n"/>
      <c r="L153" s="18" t="inlineStr">
        <is>
          <t>尾部</t>
        </is>
      </c>
      <c r="M153" s="18" t="n">
        <v>2.7</v>
      </c>
      <c r="N153" s="18" t="n">
        <v>77</v>
      </c>
      <c r="O153" s="18" t="n">
        <v>7500</v>
      </c>
      <c r="P153" s="18">
        <f>O153*1.1</f>
        <v/>
      </c>
      <c r="Q153" s="20">
        <f>P153/Z153</f>
        <v/>
      </c>
      <c r="R153" s="20">
        <f>P153/AA153</f>
        <v/>
      </c>
      <c r="S153" s="18" t="inlineStr">
        <is>
          <t>图文</t>
        </is>
      </c>
      <c r="T153" s="21" t="n">
        <v>0.8</v>
      </c>
      <c r="U153" s="21" t="n">
        <v>0.12</v>
      </c>
      <c r="V153" s="21" t="n">
        <v>0.57</v>
      </c>
      <c r="W153" s="21" t="n">
        <v>0.23</v>
      </c>
      <c r="X153" s="21" t="n">
        <v>0.64</v>
      </c>
      <c r="Y153" s="21" t="n">
        <v>0.14</v>
      </c>
      <c r="Z153" s="22" t="n">
        <v>14335</v>
      </c>
      <c r="AA153" s="18" t="n">
        <v>1374</v>
      </c>
    </row>
    <row r="154">
      <c r="B154" s="7" t="n"/>
      <c r="C154" s="18" t="inlineStr">
        <is>
          <t>品牌</t>
        </is>
      </c>
      <c r="D154" s="19" t="inlineStr">
        <is>
          <t>山里精装生活，很有仪式感</t>
        </is>
      </c>
      <c r="E154" s="18" t="inlineStr">
        <is>
          <t>JamiE</t>
        </is>
      </c>
      <c r="F154" s="7" t="inlineStr">
        <is>
          <t>https://pgy.xiaohongshu.com/solar/pre-trade/blogger-detail/583adb4aa9b2ed51aa65191d?track_id=kolSimilar_42db9fd3ec084363bb5f4ce55ff58473&amp;source=Advertiser_Similar_Kol</t>
        </is>
      </c>
      <c r="G154" s="19" t="inlineStr">
        <is>
          <t>https://www.xiaohongshu.com/user/profile/583adb4aa9b2ed51aa65191d</t>
        </is>
      </c>
      <c r="H154" s="18" t="inlineStr">
        <is>
          <t xml:space="preserve"> JamiE0130</t>
        </is>
      </c>
      <c r="I154" s="18" t="inlineStr">
        <is>
          <t>家居家装</t>
        </is>
      </c>
      <c r="J154" s="18" t="n"/>
      <c r="K154" s="18" t="n"/>
      <c r="L154" s="18" t="inlineStr">
        <is>
          <t>尾部</t>
        </is>
      </c>
      <c r="M154" s="18" t="n">
        <v>2</v>
      </c>
      <c r="N154" s="18" t="n">
        <v>12</v>
      </c>
      <c r="O154" s="18" t="n">
        <v>5500</v>
      </c>
      <c r="P154" s="18">
        <f>O154*1.1</f>
        <v/>
      </c>
      <c r="Q154" s="20">
        <f>P154/Z154</f>
        <v/>
      </c>
      <c r="R154" s="20">
        <f>P154/AA154</f>
        <v/>
      </c>
      <c r="S154" s="18" t="inlineStr">
        <is>
          <t>图文</t>
        </is>
      </c>
      <c r="T154" s="21" t="n">
        <v>0.84</v>
      </c>
      <c r="U154" s="21" t="n">
        <v>0.04</v>
      </c>
      <c r="V154" s="21" t="n">
        <v>0.42</v>
      </c>
      <c r="W154" s="21" t="n">
        <v>0.36</v>
      </c>
      <c r="X154" s="21" t="n">
        <v>0.61</v>
      </c>
      <c r="Y154" s="21" t="n">
        <v>0.18</v>
      </c>
      <c r="Z154" s="22" t="n">
        <v>11396</v>
      </c>
      <c r="AA154" s="18" t="n">
        <v>901</v>
      </c>
    </row>
    <row r="155">
      <c r="B155" s="7" t="n"/>
      <c r="C155" s="18" t="inlineStr">
        <is>
          <t>品牌</t>
        </is>
      </c>
      <c r="D155" s="19" t="inlineStr">
        <is>
          <t>老钱风精装生活</t>
        </is>
      </c>
      <c r="E155" s="18" t="inlineStr">
        <is>
          <t>羊咩咩的家🏠</t>
        </is>
      </c>
      <c r="F155" s="7" t="inlineStr">
        <is>
          <t>https://pgy.xiaohongshu.com/solar/pre-trade/blogger-detail/575d35a882ec39517815875a?track_id=kolMatch_0f3148a6a7fa4700a7a27fd91c5278c8&amp;source=Advertiser_Kol</t>
        </is>
      </c>
      <c r="G155" s="19" t="inlineStr">
        <is>
          <t>https://www.xiaohongshu.com/user/profile/575d35a882ec39517815875a</t>
        </is>
      </c>
      <c r="H155" s="18" t="n">
        <v>102268925</v>
      </c>
      <c r="I155" s="18" t="inlineStr">
        <is>
          <t>家居家装</t>
        </is>
      </c>
      <c r="J155" s="18" t="n"/>
      <c r="K155" s="18" t="n"/>
      <c r="L155" s="18" t="inlineStr">
        <is>
          <t>尾部</t>
        </is>
      </c>
      <c r="M155" s="18" t="n">
        <v>1.4</v>
      </c>
      <c r="N155" s="18" t="n">
        <v>21</v>
      </c>
      <c r="O155" s="18" t="n">
        <v>4690</v>
      </c>
      <c r="P155" s="18">
        <f>O155*1.1</f>
        <v/>
      </c>
      <c r="Q155" s="20">
        <f>P155/Z155</f>
        <v/>
      </c>
      <c r="R155" s="20">
        <f>P155/AA155</f>
        <v/>
      </c>
      <c r="S155" s="18" t="inlineStr">
        <is>
          <t>视频</t>
        </is>
      </c>
      <c r="T155" s="21" t="n">
        <v>0.87</v>
      </c>
      <c r="U155" s="21" t="n">
        <v>0.12</v>
      </c>
      <c r="V155" s="21" t="n">
        <v>0.5</v>
      </c>
      <c r="W155" s="21" t="n">
        <v>0.25</v>
      </c>
      <c r="X155" s="21" t="n">
        <v>0.53</v>
      </c>
      <c r="Y155" s="21" t="n">
        <v>0.17</v>
      </c>
      <c r="Z155" s="22" t="n">
        <v>10851</v>
      </c>
      <c r="AA155" s="18" t="n">
        <v>792</v>
      </c>
    </row>
    <row r="156">
      <c r="B156" s="7" t="n"/>
      <c r="C156" s="18" t="inlineStr">
        <is>
          <t>品牌</t>
        </is>
      </c>
      <c r="D156" s="19" t="inlineStr">
        <is>
          <t>高品质精致生活，广告多，种草能力强</t>
        </is>
      </c>
      <c r="E156" s="18" t="inlineStr">
        <is>
          <t>Crbaby</t>
        </is>
      </c>
      <c r="F156" s="7" t="inlineStr">
        <is>
          <t>https://pgy.xiaohongshu.com/solar/pre-trade/blogger-detail/59d8524151783a10751b30bd?track_id=kolMatch_3687438110cb47e394ac6fddd2e15179&amp;source=Advertiser_Kol</t>
        </is>
      </c>
      <c r="G156" s="19" t="inlineStr">
        <is>
          <t>https://www.xiaohongshu.com/user/profile/59d8524151783a10751b30bd</t>
        </is>
      </c>
      <c r="H156" s="18" t="n">
        <v>267356002</v>
      </c>
      <c r="I156" s="18" t="inlineStr">
        <is>
          <t>家居家装</t>
        </is>
      </c>
      <c r="J156" s="18" t="n"/>
      <c r="K156" s="18" t="n"/>
      <c r="L156" s="18" t="inlineStr">
        <is>
          <t>尾部</t>
        </is>
      </c>
      <c r="M156" s="18" t="n">
        <v>4</v>
      </c>
      <c r="N156" s="18" t="n">
        <v>33</v>
      </c>
      <c r="O156" s="18" t="n">
        <v>9000</v>
      </c>
      <c r="P156" s="18">
        <f>O156*1.1</f>
        <v/>
      </c>
      <c r="Q156" s="20">
        <f>P156/Z156</f>
        <v/>
      </c>
      <c r="R156" s="20">
        <f>P156/AA156</f>
        <v/>
      </c>
      <c r="S156" s="18" t="inlineStr">
        <is>
          <t>图文</t>
        </is>
      </c>
      <c r="T156" s="21" t="n">
        <v>0.78</v>
      </c>
      <c r="U156" s="21" t="n">
        <v>0.08</v>
      </c>
      <c r="V156" s="21" t="n">
        <v>0.49</v>
      </c>
      <c r="W156" s="21" t="n">
        <v>0.31</v>
      </c>
      <c r="X156" s="21" t="n">
        <v>0.6</v>
      </c>
      <c r="Y156" s="21" t="n">
        <v>0.16</v>
      </c>
      <c r="Z156" s="22" t="n">
        <v>23299</v>
      </c>
      <c r="AA156" s="18" t="n">
        <v>1614</v>
      </c>
    </row>
    <row r="157">
      <c r="B157" s="7" t="n"/>
      <c r="C157" s="18" t="inlineStr">
        <is>
          <t>品牌</t>
        </is>
      </c>
      <c r="D157" s="19" t="inlineStr">
        <is>
          <t>乡下300平大房子，自然疗愈风</t>
        </is>
      </c>
      <c r="E157" s="18" t="inlineStr">
        <is>
          <t>山野生活家</t>
        </is>
      </c>
      <c r="F157" s="7" t="inlineStr">
        <is>
          <t>https://pgy.xiaohongshu.com/solar/pre-trade/blogger-detail/593a2ee150c4b43d1ac386c8?track_id=kolMatch_ae6c2089f61d4cf89a92fb460f95e76a&amp;source=Advertiser_Kol</t>
        </is>
      </c>
      <c r="G157" s="19" t="inlineStr">
        <is>
          <t>https://www.xiaohongshu.com/user/profile/593a2ee150c4b43d1ac386c8</t>
        </is>
      </c>
      <c r="H157" s="18" t="n">
        <v>947768383</v>
      </c>
      <c r="I157" s="18" t="inlineStr">
        <is>
          <t>家居家装</t>
        </is>
      </c>
      <c r="J157" s="18" t="n"/>
      <c r="K157" s="18" t="n"/>
      <c r="L157" s="18" t="inlineStr">
        <is>
          <t>尾部</t>
        </is>
      </c>
      <c r="M157" s="18" t="n">
        <v>7</v>
      </c>
      <c r="N157" s="18" t="n">
        <v>96</v>
      </c>
      <c r="O157" s="18" t="n">
        <v>17500</v>
      </c>
      <c r="P157" s="18">
        <f>O157*1.1</f>
        <v/>
      </c>
      <c r="Q157" s="20">
        <f>P157/Z157</f>
        <v/>
      </c>
      <c r="R157" s="20">
        <f>P157/AA157</f>
        <v/>
      </c>
      <c r="S157" s="18" t="inlineStr">
        <is>
          <t>图文</t>
        </is>
      </c>
      <c r="T157" s="21" t="n">
        <v>0.75</v>
      </c>
      <c r="U157" s="21" t="n">
        <v>0.17</v>
      </c>
      <c r="V157" s="21" t="n">
        <v>0.48</v>
      </c>
      <c r="W157" s="21" t="n">
        <v>0.23</v>
      </c>
      <c r="X157" s="21" t="n">
        <v>0.62</v>
      </c>
      <c r="Y157" s="21" t="n">
        <v>0.12</v>
      </c>
      <c r="Z157" s="22" t="n">
        <v>16989</v>
      </c>
      <c r="AA157" s="18" t="n">
        <v>1858</v>
      </c>
    </row>
    <row r="158">
      <c r="C158" s="18" t="inlineStr">
        <is>
          <t>品牌</t>
        </is>
      </c>
      <c r="D158" s="19" t="inlineStr">
        <is>
          <t>自装郊区美式别墅</t>
        </is>
      </c>
      <c r="E158" s="18" t="inlineStr">
        <is>
          <t>尤里姐姐</t>
        </is>
      </c>
      <c r="F158" s="7" t="inlineStr">
        <is>
          <t>https://pgy.xiaohongshu.com/solar/pre-trade/blogger-detail/59667ee250c4b41b0f456ffc?track_id=kolSimilar_3800a724e2c64cf8b7e479c58d0e23db&amp;source=Advertiser_Similar_Kol</t>
        </is>
      </c>
      <c r="G158" s="19" t="inlineStr">
        <is>
          <t>https://www.xiaohongshu.com/user/profile/59667ee250c4b41b0f456ffc</t>
        </is>
      </c>
      <c r="H158" s="18" t="n">
        <v>80185889</v>
      </c>
      <c r="I158" s="18" t="inlineStr">
        <is>
          <t>家居家装</t>
        </is>
      </c>
      <c r="J158" s="18" t="n"/>
      <c r="K158" s="18" t="n"/>
      <c r="L158" s="18" t="inlineStr">
        <is>
          <t>尾部</t>
        </is>
      </c>
      <c r="M158" s="18" t="n">
        <v>4.5</v>
      </c>
      <c r="N158" s="18" t="n">
        <v>56</v>
      </c>
      <c r="O158" s="18" t="n">
        <v>10800</v>
      </c>
      <c r="P158" s="18">
        <f>O158*1.1</f>
        <v/>
      </c>
      <c r="Q158" s="20">
        <f>P158/Z158</f>
        <v/>
      </c>
      <c r="R158" s="20">
        <f>P158/AA158</f>
        <v/>
      </c>
      <c r="S158" s="18" t="inlineStr">
        <is>
          <t>视频</t>
        </is>
      </c>
      <c r="T158" s="21" t="n">
        <v>0.88</v>
      </c>
      <c r="U158" s="21" t="n">
        <v>0.09</v>
      </c>
      <c r="V158" s="21" t="n">
        <v>0.38</v>
      </c>
      <c r="W158" s="21" t="n">
        <v>0.34</v>
      </c>
      <c r="X158" s="21" t="n">
        <v>0.52</v>
      </c>
      <c r="Y158" s="21" t="n">
        <v>0.2</v>
      </c>
      <c r="Z158" s="22" t="n">
        <v>32183</v>
      </c>
      <c r="AA158" s="18" t="n">
        <v>1931</v>
      </c>
    </row>
    <row r="159">
      <c r="C159" s="18" t="inlineStr">
        <is>
          <t>品牌</t>
        </is>
      </c>
      <c r="D159" s="19" t="inlineStr">
        <is>
          <t>漂亮饭日常，博主内容多出现用大火的情况，专业厨师</t>
        </is>
      </c>
      <c r="E159" s="18" t="inlineStr">
        <is>
          <t>韦嗯🍊</t>
        </is>
      </c>
      <c r="F159" s="19" t="inlineStr">
        <is>
          <t>https://pgy.xiaohongshu.com/solar/pre-trade/blogger-detail/575d786a346094605daa58b1?track_id=kolGeneralSearch_054180064e75425cae0e02a54d81d701&amp;source=Advertiser_Kol</t>
        </is>
      </c>
      <c r="G159" s="19" t="inlineStr">
        <is>
          <t xml:space="preserve"> https://www.xiaohongshu.com/user/profile/575d786a346094605daa58b1</t>
        </is>
      </c>
      <c r="H159" s="18" t="inlineStr">
        <is>
          <t>WayneXY</t>
        </is>
      </c>
      <c r="I159" s="18" t="inlineStr">
        <is>
          <t>美食探店</t>
        </is>
      </c>
      <c r="J159" s="18" t="inlineStr">
        <is>
          <t>图文</t>
        </is>
      </c>
      <c r="K159" s="18" t="inlineStr">
        <is>
          <t>腰部</t>
        </is>
      </c>
      <c r="L159" s="18" t="inlineStr">
        <is>
          <t>腰部</t>
        </is>
      </c>
      <c r="M159" s="18" t="n">
        <v>23.2</v>
      </c>
      <c r="N159" s="18" t="n">
        <v>173.1</v>
      </c>
      <c r="O159" s="18" t="n">
        <v>18000</v>
      </c>
      <c r="P159" s="18">
        <f>O159*1.1</f>
        <v/>
      </c>
      <c r="Q159" s="20">
        <f>P159/Z159</f>
        <v/>
      </c>
      <c r="R159" s="20">
        <f>P159/AA159</f>
        <v/>
      </c>
      <c r="S159" s="18" t="inlineStr">
        <is>
          <t>图文</t>
        </is>
      </c>
      <c r="T159" s="21" t="n">
        <v>0.61</v>
      </c>
      <c r="U159" s="21" t="n">
        <v>0.1</v>
      </c>
      <c r="V159" s="21" t="n">
        <v>0.37</v>
      </c>
      <c r="W159" s="21" t="n">
        <v>0.33</v>
      </c>
      <c r="X159" s="21" t="n">
        <v>0.6</v>
      </c>
      <c r="Y159" s="21" t="n">
        <v>0.16</v>
      </c>
      <c r="Z159" s="22" t="n">
        <v>28640</v>
      </c>
      <c r="AA159" s="18" t="n">
        <v>1094</v>
      </c>
    </row>
    <row r="160">
      <c r="C160" s="18" t="inlineStr">
        <is>
          <t>品牌</t>
        </is>
      </c>
      <c r="D160" s="19" t="inlineStr">
        <is>
          <t>家居家装，近期做过燃气灶推广</t>
        </is>
      </c>
      <c r="E160" s="18" t="inlineStr">
        <is>
          <t>DY</t>
        </is>
      </c>
      <c r="F160" s="19" t="inlineStr">
        <is>
          <t>https://pgy.xiaohongshu.com/solar/pre-trade/blogger-detail/6208c0800000000021025b08?track_id=kolGeneralSearch_60dc0d22790240e69b6f3660c6b18b97&amp;source=Advertiser_Kol</t>
        </is>
      </c>
      <c r="G160" s="19" t="inlineStr">
        <is>
          <t>https://www.xiaohongshu.com/user/profile/6208c0800000000021025b08</t>
        </is>
      </c>
      <c r="H160" s="18" t="n">
        <v>5208648170</v>
      </c>
      <c r="I160" s="18" t="inlineStr">
        <is>
          <t>家居家装</t>
        </is>
      </c>
      <c r="J160" s="18" t="n"/>
      <c r="K160" s="18" t="n"/>
      <c r="L160" s="18" t="inlineStr">
        <is>
          <t>尾部</t>
        </is>
      </c>
      <c r="M160" s="18" t="n">
        <v>2.5</v>
      </c>
      <c r="N160" s="18" t="n">
        <v>40</v>
      </c>
      <c r="O160" s="153" t="n">
        <v>6800</v>
      </c>
      <c r="P160" s="18">
        <f>O160*1.1</f>
        <v/>
      </c>
      <c r="Q160" s="20">
        <f>P160/Z160</f>
        <v/>
      </c>
      <c r="R160" s="20">
        <f>P160/AA160</f>
        <v/>
      </c>
      <c r="S160" s="18" t="inlineStr">
        <is>
          <t>图文</t>
        </is>
      </c>
      <c r="T160" s="21" t="n">
        <v>0.89</v>
      </c>
      <c r="U160" s="21" t="n">
        <v>0.07000000000000001</v>
      </c>
      <c r="V160" s="21" t="n">
        <v>0.4</v>
      </c>
      <c r="W160" s="21" t="n">
        <v>0.38</v>
      </c>
      <c r="X160" s="21" t="n">
        <v>0.57</v>
      </c>
      <c r="Y160" s="21" t="n">
        <v>0.2</v>
      </c>
      <c r="Z160" s="22" t="n">
        <v>10395</v>
      </c>
      <c r="AA160" s="18" t="n">
        <v>1395</v>
      </c>
    </row>
    <row r="161" ht="19" customHeight="1" s="151">
      <c r="A161" s="43" t="inlineStr">
        <is>
          <t>以下为品牌3.10提报月亮</t>
        </is>
      </c>
      <c r="B161" s="43" t="n"/>
      <c r="C161" s="37" t="n"/>
      <c r="D161" s="121" t="n"/>
      <c r="E161" s="37" t="n"/>
      <c r="F161" s="121" t="n"/>
      <c r="G161" s="121" t="n"/>
      <c r="H161" s="37" t="n"/>
      <c r="I161" s="37" t="n"/>
      <c r="J161" s="37" t="n"/>
      <c r="K161" s="37" t="n"/>
      <c r="L161" s="37" t="n"/>
      <c r="M161" s="37" t="n"/>
      <c r="N161" s="37" t="n"/>
      <c r="O161" s="152" t="n"/>
      <c r="P161" s="152" t="n"/>
      <c r="Q161" s="37" t="n"/>
      <c r="R161" s="37" t="n"/>
      <c r="S161" s="37" t="n"/>
      <c r="T161" s="67" t="n"/>
      <c r="U161" s="41" t="n"/>
      <c r="V161" s="67" t="n"/>
      <c r="W161" s="67" t="n"/>
      <c r="X161" s="67" t="n"/>
      <c r="Y161" s="67" t="n"/>
      <c r="Z161" s="37" t="n"/>
      <c r="AA161" s="37" t="n"/>
      <c r="AB161" s="43" t="n"/>
      <c r="AC161" s="43" t="n"/>
      <c r="AD161" s="43" t="n"/>
      <c r="AE161" s="43" t="n"/>
      <c r="AF161" s="43" t="n"/>
      <c r="AG161" s="43" t="n"/>
      <c r="AH161" s="43" t="n"/>
      <c r="AI161" s="43" t="n"/>
      <c r="AJ161" s="43" t="n"/>
      <c r="AK161" s="43" t="n"/>
      <c r="AL161" s="43" t="n"/>
      <c r="AM161" s="43" t="n"/>
      <c r="AN161" s="43" t="n"/>
      <c r="AO161" s="43" t="n"/>
      <c r="AP161" s="43" t="n"/>
      <c r="AQ161" s="43" t="n"/>
    </row>
    <row r="162" ht="19" customHeight="1" s="151">
      <c r="C162" s="18" t="inlineStr">
        <is>
          <t>品牌</t>
        </is>
      </c>
      <c r="D162" s="19" t="inlineStr">
        <is>
          <t>极简厨房场景  场景好看</t>
        </is>
      </c>
      <c r="E162" s="18" t="inlineStr">
        <is>
          <t>芭浪瓜瓜</t>
        </is>
      </c>
      <c r="F162" s="7" t="inlineStr">
        <is>
          <t>https://pgy.xiaohongshu.com/solar/pre-trade/blogger-detail/5882f5af50c4b428f9d1e013?track_id=kolSimilar_cf3e362e9fb74cdf84d5f3b44d1a4bb8&amp;source=Advertiser_Similar_Kol</t>
        </is>
      </c>
      <c r="G162" s="19" t="inlineStr">
        <is>
          <t>https://www.xiaohongshu.com/user/profile/5882f5af50c4b428f9d1e013</t>
        </is>
      </c>
      <c r="H162" s="118" t="inlineStr">
        <is>
          <t>RRiris401</t>
        </is>
      </c>
      <c r="I162" s="18" t="inlineStr">
        <is>
          <t>家居家装</t>
        </is>
      </c>
      <c r="J162" s="18" t="n"/>
      <c r="K162" s="18" t="n"/>
      <c r="L162" s="18" t="inlineStr">
        <is>
          <t>腰部</t>
        </is>
      </c>
      <c r="M162" s="18" t="n">
        <v>10.7</v>
      </c>
      <c r="N162" s="18" t="n">
        <v>51</v>
      </c>
      <c r="O162" s="18" t="n">
        <v>20000</v>
      </c>
      <c r="P162" s="18">
        <f>O162*1.1</f>
        <v/>
      </c>
      <c r="Q162" s="20">
        <f>P162/Z162</f>
        <v/>
      </c>
      <c r="R162" s="20">
        <f>P162/AA162</f>
        <v/>
      </c>
      <c r="S162" s="18" t="inlineStr">
        <is>
          <t>视频</t>
        </is>
      </c>
      <c r="T162" s="21" t="n">
        <v>0.8100000000000001</v>
      </c>
      <c r="U162" s="21" t="n">
        <v>0.1</v>
      </c>
      <c r="V162" s="21" t="n">
        <v>0.48</v>
      </c>
      <c r="W162" s="21" t="n">
        <v>0.32</v>
      </c>
      <c r="X162" s="21" t="n">
        <v>0.78</v>
      </c>
      <c r="Y162" s="21" t="n">
        <v>0.09</v>
      </c>
      <c r="Z162" s="22" t="n">
        <v>30235</v>
      </c>
      <c r="AA162" s="18" t="n">
        <v>1977</v>
      </c>
    </row>
    <row r="163">
      <c r="C163" s="18" t="inlineStr">
        <is>
          <t>品牌</t>
        </is>
      </c>
      <c r="D163" s="19" t="inlineStr">
        <is>
          <t>开放式极简厨房</t>
        </is>
      </c>
      <c r="E163" s="18" t="inlineStr">
        <is>
          <t>Yoloyyo</t>
        </is>
      </c>
      <c r="F163" s="7" t="inlineStr">
        <is>
          <t>https://pgy.xiaohongshu.com/solar/pre-trade/blogger-detail/551cc0e0d39ea22190ce8027?track_id=kolSimilar_a99de8c6c1de40d4a013bedc61458a8e&amp;source=Advertiser_Similar_Kol</t>
        </is>
      </c>
      <c r="G163" s="19" t="inlineStr">
        <is>
          <t>https://www.xiaohongshu.com/user/profile/551cc0e0d39ea22190ce8027</t>
        </is>
      </c>
      <c r="H163" s="118" t="inlineStr">
        <is>
          <t>Yoloyyo</t>
        </is>
      </c>
      <c r="I163" s="18" t="inlineStr">
        <is>
          <t>家居家装</t>
        </is>
      </c>
      <c r="J163" s="18" t="n"/>
      <c r="K163" s="18" t="n"/>
      <c r="L163" s="18" t="inlineStr">
        <is>
          <t>尾部</t>
        </is>
      </c>
      <c r="M163" s="18" t="n">
        <v>1.8</v>
      </c>
      <c r="N163" s="18" t="n">
        <v>23</v>
      </c>
      <c r="O163" s="18" t="n">
        <v>4600</v>
      </c>
      <c r="P163" s="18">
        <f>O163*1.1</f>
        <v/>
      </c>
      <c r="Q163" s="20">
        <f>P163/Z163</f>
        <v/>
      </c>
      <c r="R163" s="20">
        <f>P163/AA163</f>
        <v/>
      </c>
      <c r="S163" s="18" t="inlineStr">
        <is>
          <t>图文</t>
        </is>
      </c>
      <c r="T163" s="21" t="n">
        <v>0.8100000000000001</v>
      </c>
      <c r="U163" s="21" t="n">
        <v>0.18</v>
      </c>
      <c r="V163" s="21" t="n">
        <v>0.49</v>
      </c>
      <c r="W163" s="21" t="n">
        <v>0.16</v>
      </c>
      <c r="X163" s="21" t="n">
        <v>0.62</v>
      </c>
      <c r="Y163" s="21" t="n">
        <v>0.1</v>
      </c>
      <c r="Z163" s="22" t="n">
        <v>5041</v>
      </c>
      <c r="AA163" s="18" t="n">
        <v>373</v>
      </c>
    </row>
    <row r="164">
      <c r="C164" s="18" t="inlineStr">
        <is>
          <t>品牌</t>
        </is>
      </c>
      <c r="D164" s="19" t="inlineStr">
        <is>
          <t xml:space="preserve">近期爆文 人群合适 </t>
        </is>
      </c>
      <c r="E164" s="18" t="inlineStr">
        <is>
          <t>圆爱哈密瓜</t>
        </is>
      </c>
      <c r="F164" s="7" t="inlineStr">
        <is>
          <t>https://pgy.xiaohongshu.com/solar/pre-trade/blogger-detail/639aee9000000000260132ee?track_id=kolSearch_aacd39d4d58f42b4aede6bba9be96f28&amp;source=Advertiser_Kol</t>
        </is>
      </c>
      <c r="G164" s="19" t="inlineStr">
        <is>
          <t>https://www.xiaohongshu.com/user/profile/639aee9000000000260132ee</t>
        </is>
      </c>
      <c r="H164" s="118" t="inlineStr">
        <is>
          <t>MISONG_</t>
        </is>
      </c>
      <c r="I164" s="18" t="inlineStr">
        <is>
          <t>家居家装</t>
        </is>
      </c>
      <c r="J164" s="18" t="n"/>
      <c r="K164" s="18" t="n"/>
      <c r="L164" s="18" t="inlineStr">
        <is>
          <t>尾部</t>
        </is>
      </c>
      <c r="M164" s="18" t="n">
        <v>3.1</v>
      </c>
      <c r="N164" s="18" t="n">
        <v>24</v>
      </c>
      <c r="O164" s="18" t="n">
        <v>10800</v>
      </c>
      <c r="P164" s="18">
        <f>O164*1.1</f>
        <v/>
      </c>
      <c r="Q164" s="20">
        <f>P164/Z164</f>
        <v/>
      </c>
      <c r="R164" s="20">
        <f>P164/AA164</f>
        <v/>
      </c>
      <c r="S164" s="18" t="inlineStr">
        <is>
          <t>视频</t>
        </is>
      </c>
      <c r="T164" s="21" t="n">
        <v>0.6899999999999999</v>
      </c>
      <c r="U164" s="21" t="n">
        <v>0.06</v>
      </c>
      <c r="V164" s="21" t="n">
        <v>0.43</v>
      </c>
      <c r="W164" s="21" t="n">
        <v>0.36</v>
      </c>
      <c r="X164" s="21" t="n">
        <v>0.6899999999999999</v>
      </c>
      <c r="Y164" s="21" t="n">
        <v>0.3</v>
      </c>
      <c r="Z164" s="22" t="n">
        <v>23664</v>
      </c>
      <c r="AA164" s="18" t="n">
        <v>2511</v>
      </c>
    </row>
    <row r="165">
      <c r="C165" s="18" t="inlineStr">
        <is>
          <t>品牌</t>
        </is>
      </c>
      <c r="D165" s="19" t="inlineStr">
        <is>
          <t>极简家装风</t>
        </is>
      </c>
      <c r="E165" s="18" t="inlineStr">
        <is>
          <t>君君</t>
        </is>
      </c>
      <c r="F165" s="7" t="inlineStr">
        <is>
          <t>https://pgy.xiaohongshu.com/solar/pre-trade/blogger-detail/578893593460945daf7c0a1a?track_id=kolSimilar_87f2fee2583e429e9d590d445475e648&amp;source=Advertiser_Similar_Kol</t>
        </is>
      </c>
      <c r="G165" s="19" t="inlineStr">
        <is>
          <t>https://www.xiaohongshu.com/user/profile/578893593460945daf7c0a1a</t>
        </is>
      </c>
      <c r="H165" s="118" t="n">
        <v>156928308</v>
      </c>
      <c r="I165" s="18" t="inlineStr">
        <is>
          <t>家居家装</t>
        </is>
      </c>
      <c r="J165" s="18" t="n"/>
      <c r="K165" s="18" t="n"/>
      <c r="L165" s="18" t="inlineStr">
        <is>
          <t>尾部</t>
        </is>
      </c>
      <c r="M165" s="18" t="n">
        <v>4.1</v>
      </c>
      <c r="N165" s="18" t="n">
        <v>73</v>
      </c>
      <c r="O165" s="18" t="n">
        <v>8800</v>
      </c>
      <c r="P165" s="18">
        <f>O165*1.1</f>
        <v/>
      </c>
      <c r="Q165" s="20">
        <f>P165/Z165</f>
        <v/>
      </c>
      <c r="R165" s="20">
        <f>P165/AA165</f>
        <v/>
      </c>
      <c r="S165" s="18" t="inlineStr">
        <is>
          <t>图文</t>
        </is>
      </c>
      <c r="T165" s="21" t="n">
        <v>0.85</v>
      </c>
      <c r="U165" s="21" t="n">
        <v>0.11</v>
      </c>
      <c r="V165" s="21" t="n">
        <v>0.49</v>
      </c>
      <c r="W165" s="21" t="n">
        <v>0.27</v>
      </c>
      <c r="X165" s="21" t="n">
        <v>0.62</v>
      </c>
      <c r="Y165" s="21" t="n">
        <v>0.13</v>
      </c>
      <c r="Z165" s="22" t="n">
        <v>19133</v>
      </c>
      <c r="AA165" s="18" t="n">
        <v>1513</v>
      </c>
    </row>
    <row r="166">
      <c r="C166" s="18" t="inlineStr">
        <is>
          <t>品牌</t>
        </is>
      </c>
      <c r="D166" s="19" t="inlineStr">
        <is>
          <t>中古风家装 有爆文</t>
        </is>
      </c>
      <c r="E166" s="18" t="inlineStr">
        <is>
          <t>雪栗</t>
        </is>
      </c>
      <c r="F166" s="7" t="inlineStr">
        <is>
          <t>https://pgy.xiaohongshu.com/solar/pre-trade/blogger-detail/5646884c44760813a6f99134?track_id=kolSimilar_87f2fee2583e429e9d590d445475e648&amp;source=Advertiser_Similar_Kol</t>
        </is>
      </c>
      <c r="G166" s="19" t="inlineStr">
        <is>
          <t>https://www.xiaohongshu.com/user/profile/5646884c44760813a6f99134</t>
        </is>
      </c>
      <c r="H166" s="118" t="n">
        <v>672018306</v>
      </c>
      <c r="I166" s="18" t="inlineStr">
        <is>
          <t>家居家装</t>
        </is>
      </c>
      <c r="J166" s="18" t="n"/>
      <c r="K166" s="18" t="n"/>
      <c r="L166" s="18" t="inlineStr">
        <is>
          <t>尾部</t>
        </is>
      </c>
      <c r="M166" s="18" t="n">
        <v>0.9</v>
      </c>
      <c r="N166" s="18" t="n">
        <v>22</v>
      </c>
      <c r="O166" s="18" t="n">
        <v>5500</v>
      </c>
      <c r="P166" s="18">
        <f>O166*1.1</f>
        <v/>
      </c>
      <c r="Q166" s="20">
        <f>P166/Z166</f>
        <v/>
      </c>
      <c r="R166" s="20">
        <f>P166/AA166</f>
        <v/>
      </c>
      <c r="S166" s="18" t="inlineStr">
        <is>
          <t>图文</t>
        </is>
      </c>
      <c r="T166" s="21" t="n">
        <v>0.67</v>
      </c>
      <c r="U166" s="21" t="n">
        <v>0.11</v>
      </c>
      <c r="V166" s="21" t="n">
        <v>0.58</v>
      </c>
      <c r="W166" s="21" t="n">
        <v>0.23</v>
      </c>
      <c r="X166" s="21" t="n">
        <v>0.73</v>
      </c>
      <c r="Y166" s="21" t="n">
        <v>0.09</v>
      </c>
      <c r="Z166" s="22" t="n">
        <v>17133</v>
      </c>
      <c r="AA166" s="18" t="n">
        <v>1779</v>
      </c>
    </row>
    <row r="167">
      <c r="C167" s="18" t="inlineStr">
        <is>
          <t>品牌</t>
        </is>
      </c>
      <c r="D167" s="19" t="inlineStr">
        <is>
          <t>带过蒸烤机，温馨厨房场景</t>
        </is>
      </c>
      <c r="E167" s="18" t="inlineStr">
        <is>
          <t>Ace刘</t>
        </is>
      </c>
      <c r="F167" s="7" t="inlineStr">
        <is>
          <t>https://pgy.xiaohongshu.com/solar/pre-trade/blogger-detail/5b61dc626b58b70a0b11cc6a?track_id=kolSimilar_87f2fee2583e429e9d590d445475e648&amp;source=Advertiser_Similar_Kol</t>
        </is>
      </c>
      <c r="G167" s="19" t="inlineStr">
        <is>
          <t>https://www.xiaohongshu.com/user/profile/5b61dc626b58b70a0b11cc6a</t>
        </is>
      </c>
      <c r="H167" s="118" t="inlineStr">
        <is>
          <t>Aceliu</t>
        </is>
      </c>
      <c r="I167" s="18" t="inlineStr">
        <is>
          <t>家居家装</t>
        </is>
      </c>
      <c r="J167" s="18" t="n"/>
      <c r="K167" s="18" t="n"/>
      <c r="L167" s="18" t="inlineStr">
        <is>
          <t>尾部</t>
        </is>
      </c>
      <c r="M167" s="18" t="n">
        <v>4</v>
      </c>
      <c r="N167" s="18" t="n">
        <v>44</v>
      </c>
      <c r="O167" s="18" t="n">
        <v>15000</v>
      </c>
      <c r="P167" s="18">
        <f>O167*1.1</f>
        <v/>
      </c>
      <c r="Q167" s="20">
        <f>P167/Z167</f>
        <v/>
      </c>
      <c r="R167" s="20">
        <f>P167/AA167</f>
        <v/>
      </c>
      <c r="S167" s="18" t="inlineStr">
        <is>
          <t>视频</t>
        </is>
      </c>
      <c r="T167" s="21" t="n">
        <v>0.65</v>
      </c>
      <c r="U167" s="21" t="n">
        <v>0.08</v>
      </c>
      <c r="V167" s="21" t="n">
        <v>0.47</v>
      </c>
      <c r="W167" s="21" t="n">
        <v>0.3</v>
      </c>
      <c r="X167" s="21" t="n">
        <v>0.5600000000000001</v>
      </c>
      <c r="Y167" s="21" t="n">
        <v>0.16</v>
      </c>
      <c r="Z167" s="22" t="n">
        <v>13552</v>
      </c>
      <c r="AA167" s="18" t="n">
        <v>924</v>
      </c>
    </row>
    <row r="168" ht="19" customHeight="1" s="151">
      <c r="C168" s="18" t="inlineStr">
        <is>
          <t>品牌</t>
        </is>
      </c>
      <c r="D168" s="19" t="inlineStr">
        <is>
          <t>有厨房场景 近期爆文  漂亮饭</t>
        </is>
      </c>
      <c r="E168" s="18" t="inlineStr">
        <is>
          <t>Natasha Daily Share</t>
        </is>
      </c>
      <c r="F168" s="7" t="inlineStr">
        <is>
          <t>https://pgy.xiaohongshu.com/solar/pre-trade/blogger-detail/61f5456e000000001000ab46?track_id=kolSimilar_5565f9b7979d4b10a1678f49cc1ad4b6&amp;source=Advertiser_Similar_Kol</t>
        </is>
      </c>
      <c r="G168" s="19" t="inlineStr">
        <is>
          <t>https://www.xiaohongshu.com/user/profile/61f5456e000000001000ab46</t>
        </is>
      </c>
      <c r="H168" s="118" t="n">
        <v>6503646697</v>
      </c>
      <c r="I168" s="18" t="inlineStr">
        <is>
          <t>家居家装</t>
        </is>
      </c>
      <c r="J168" s="18" t="n"/>
      <c r="K168" s="18" t="n"/>
      <c r="L168" s="18" t="inlineStr">
        <is>
          <t>尾部</t>
        </is>
      </c>
      <c r="M168" s="18" t="n">
        <v>7.1</v>
      </c>
      <c r="N168" s="18" t="n">
        <v>30</v>
      </c>
      <c r="O168" s="18" t="n">
        <v>21200</v>
      </c>
      <c r="P168" s="18">
        <f>O168*1.1</f>
        <v/>
      </c>
      <c r="Q168" s="20">
        <f>P168/Z168</f>
        <v/>
      </c>
      <c r="R168" s="20">
        <f>P168/AA168</f>
        <v/>
      </c>
      <c r="S168" s="18" t="inlineStr">
        <is>
          <t>视频</t>
        </is>
      </c>
      <c r="T168" s="21" t="n">
        <v>0.89</v>
      </c>
      <c r="U168" s="21" t="n">
        <v>0.1</v>
      </c>
      <c r="V168" s="21" t="n">
        <v>0.45</v>
      </c>
      <c r="W168" s="21" t="n">
        <v>0.31</v>
      </c>
      <c r="X168" s="21" t="n">
        <v>0.64</v>
      </c>
      <c r="Y168" s="21" t="n">
        <v>0.13</v>
      </c>
      <c r="Z168" s="22" t="n">
        <v>27498</v>
      </c>
      <c r="AA168" s="18" t="n">
        <v>2689</v>
      </c>
    </row>
    <row r="169" ht="19" customHeight="1" s="151">
      <c r="C169" s="18" t="inlineStr">
        <is>
          <t>品牌</t>
        </is>
      </c>
      <c r="D169" s="19" t="inlineStr">
        <is>
          <t>家装测评 新家装修人群</t>
        </is>
      </c>
      <c r="E169" s="18" t="inlineStr">
        <is>
          <t>So老师住这儿</t>
        </is>
      </c>
      <c r="F169" s="7" t="inlineStr">
        <is>
          <t>https://pgy.xiaohongshu.com/solar/pre-trade/blogger-detail/65eaece4000000000500e812?track_id=kolSimilar_434b4125cbe241f2bf1936dcb193740a&amp;source=Advertiser_Similar_Kol</t>
        </is>
      </c>
      <c r="G169" s="19" t="inlineStr">
        <is>
          <t>https://www.xiaohongshu.com/user/profile/65eaece4000000000500e812</t>
        </is>
      </c>
      <c r="H169" s="118" t="inlineStr">
        <is>
          <t>sofiahome</t>
        </is>
      </c>
      <c r="I169" s="18" t="inlineStr">
        <is>
          <t>家居家装</t>
        </is>
      </c>
      <c r="J169" s="18" t="n"/>
      <c r="K169" s="18" t="n"/>
      <c r="L169" s="18" t="inlineStr">
        <is>
          <t>尾部</t>
        </is>
      </c>
      <c r="M169" s="18" t="n">
        <v>2.8</v>
      </c>
      <c r="N169" s="18" t="n">
        <v>17</v>
      </c>
      <c r="O169" s="18" t="n">
        <v>17000</v>
      </c>
      <c r="P169" s="18">
        <f>O169*1.1</f>
        <v/>
      </c>
      <c r="Q169" s="20">
        <f>P169/Z169</f>
        <v/>
      </c>
      <c r="R169" s="20">
        <f>P169/AA169</f>
        <v/>
      </c>
      <c r="S169" s="18" t="inlineStr">
        <is>
          <t>视频</t>
        </is>
      </c>
      <c r="T169" s="21" t="n">
        <v>0.6899999999999999</v>
      </c>
      <c r="U169" s="21" t="n">
        <v>0.08</v>
      </c>
      <c r="V169" s="21" t="n">
        <v>0.42</v>
      </c>
      <c r="W169" s="21" t="n">
        <v>0.34</v>
      </c>
      <c r="X169" s="21" t="n">
        <v>0.64</v>
      </c>
      <c r="Y169" s="21" t="n">
        <v>0.13</v>
      </c>
      <c r="Z169" s="22" t="n">
        <v>10132</v>
      </c>
      <c r="AA169" s="18" t="n">
        <v>838</v>
      </c>
    </row>
    <row r="170" ht="19" customHeight="1" s="151">
      <c r="C170" s="18" t="inlineStr">
        <is>
          <t>品牌</t>
        </is>
      </c>
      <c r="D170" s="19" t="inlineStr">
        <is>
          <t xml:space="preserve">客单价 品类合适 </t>
        </is>
      </c>
      <c r="E170" s="18" t="inlineStr">
        <is>
          <t>林小厦</t>
        </is>
      </c>
      <c r="F170" s="7" t="inlineStr">
        <is>
          <t>https://pgy.xiaohongshu.com/solar/pre-trade/blogger-detail/58c8c39e82ec3929f642c27f?track_id=kolSimilar_434b4125cbe241f2bf1936dcb193740a&amp;source=Advertiser_Similar_Kol</t>
        </is>
      </c>
      <c r="G170" s="19" t="inlineStr">
        <is>
          <t>https://www.xiaohongshu.com/user/profile/65eaece4000000000500e812</t>
        </is>
      </c>
      <c r="H170" s="118" t="inlineStr">
        <is>
          <t>sofiahome</t>
        </is>
      </c>
      <c r="I170" s="18" t="inlineStr">
        <is>
          <t>家居家装</t>
        </is>
      </c>
      <c r="J170" s="18" t="n"/>
      <c r="K170" s="18" t="n"/>
      <c r="L170" s="18" t="inlineStr">
        <is>
          <t>腰部</t>
        </is>
      </c>
      <c r="M170" s="18" t="n">
        <v>19.2</v>
      </c>
      <c r="N170" s="18" t="n">
        <v>149</v>
      </c>
      <c r="O170" s="18" t="n">
        <v>15000</v>
      </c>
      <c r="P170" s="18">
        <f>O170*1.1</f>
        <v/>
      </c>
      <c r="Q170" s="20">
        <f>P170/Z170</f>
        <v/>
      </c>
      <c r="R170" s="20">
        <f>P170/AA170</f>
        <v/>
      </c>
      <c r="S170" s="18" t="inlineStr">
        <is>
          <t>图文</t>
        </is>
      </c>
      <c r="T170" s="21" t="n">
        <v>0.9399999999999999</v>
      </c>
      <c r="U170" s="21" t="n">
        <v>0.08</v>
      </c>
      <c r="V170" s="21" t="n">
        <v>0.55</v>
      </c>
      <c r="W170" s="21" t="n">
        <v>0.27</v>
      </c>
      <c r="X170" s="21" t="n">
        <v>0.64</v>
      </c>
      <c r="Y170" s="21" t="n">
        <v>0.15</v>
      </c>
      <c r="Z170" s="22" t="n">
        <v>21257</v>
      </c>
      <c r="AA170" s="18" t="n">
        <v>2394</v>
      </c>
    </row>
    <row r="171" ht="19" customHeight="1" s="151">
      <c r="C171" s="18" t="inlineStr">
        <is>
          <t>品牌</t>
        </is>
      </c>
      <c r="D171" s="19" t="inlineStr">
        <is>
          <t>新智能生活方式人群</t>
        </is>
      </c>
      <c r="E171" s="18" t="inlineStr">
        <is>
          <t>贰越</t>
        </is>
      </c>
      <c r="F171" s="7" t="inlineStr">
        <is>
          <t>https://pgy.xiaohongshu.com/solar/pre-trade/blogger-detail/5f8f3aa9000000000101f6b5?track_id=kolSimilar_434b4125cbe241f2bf1936dcb193740a&amp;source=Advertiser_Similar_Kol</t>
        </is>
      </c>
      <c r="G171" s="19" t="inlineStr">
        <is>
          <t>https://www.xiaohongshu.com/user/profile/5f8f3aa9000000000101f6b5</t>
        </is>
      </c>
      <c r="H171" s="118" t="inlineStr">
        <is>
          <t>Gyyyyyy_</t>
        </is>
      </c>
      <c r="I171" s="18" t="inlineStr">
        <is>
          <t>家居家装</t>
        </is>
      </c>
      <c r="J171" s="18" t="n"/>
      <c r="K171" s="18" t="n"/>
      <c r="L171" s="18" t="inlineStr">
        <is>
          <t>尾部</t>
        </is>
      </c>
      <c r="M171" s="18" t="n">
        <v>1.2</v>
      </c>
      <c r="N171" s="18" t="n">
        <v>18</v>
      </c>
      <c r="O171" s="18" t="n">
        <v>5000</v>
      </c>
      <c r="P171" s="18">
        <f>O171*1.1</f>
        <v/>
      </c>
      <c r="Q171" s="20">
        <f>P171/Z171</f>
        <v/>
      </c>
      <c r="R171" s="20">
        <f>P171/AA171</f>
        <v/>
      </c>
      <c r="S171" s="18" t="inlineStr">
        <is>
          <t>视频</t>
        </is>
      </c>
      <c r="T171" s="21" t="n">
        <v>0.88</v>
      </c>
      <c r="U171" s="21" t="n">
        <v>0.29</v>
      </c>
      <c r="V171" s="21" t="n">
        <v>0.48</v>
      </c>
      <c r="W171" s="21" t="n">
        <v>0.13</v>
      </c>
      <c r="X171" s="21" t="n">
        <v>0.72</v>
      </c>
      <c r="Y171" s="21" t="n">
        <v>0.08</v>
      </c>
      <c r="Z171" s="22" t="n">
        <v>7342</v>
      </c>
      <c r="AA171" s="18" t="n">
        <v>474</v>
      </c>
    </row>
    <row r="172" ht="19" customHeight="1" s="151">
      <c r="C172" s="18" t="inlineStr">
        <is>
          <t>品牌</t>
        </is>
      </c>
      <c r="D172" s="19" t="inlineStr">
        <is>
          <t xml:space="preserve">独居生活方式 </t>
        </is>
      </c>
      <c r="E172" s="18" t="inlineStr">
        <is>
          <t>Noema</t>
        </is>
      </c>
      <c r="F172" s="7" t="inlineStr">
        <is>
          <t>https://pgy.xiaohongshu.com/solar/pre-trade/blogger-detail/59e1f438de5fb4138561df21?track_id=kolSimilar_434b4125cbe241f2bf1936dcb193740a&amp;source=Advertiser_Similar_Kol</t>
        </is>
      </c>
      <c r="G172" s="19" t="inlineStr">
        <is>
          <t>https://www.xiaohongshu.com/user/profile/59e1f438de5fb4138561df21</t>
        </is>
      </c>
      <c r="H172" s="118" t="inlineStr">
        <is>
          <t>Noema_</t>
        </is>
      </c>
      <c r="I172" s="18" t="inlineStr">
        <is>
          <t>家居家装</t>
        </is>
      </c>
      <c r="J172" s="18" t="n"/>
      <c r="K172" s="18" t="n"/>
      <c r="L172" s="18" t="inlineStr">
        <is>
          <t>腰部</t>
        </is>
      </c>
      <c r="M172" s="18" t="n">
        <v>12.2</v>
      </c>
      <c r="N172" s="18" t="n">
        <v>70</v>
      </c>
      <c r="O172" s="18" t="n">
        <v>20000</v>
      </c>
      <c r="P172" s="18">
        <f>O172*1.1</f>
        <v/>
      </c>
      <c r="Q172" s="20">
        <f>P172/Z172</f>
        <v/>
      </c>
      <c r="R172" s="20">
        <f>P172/AA172</f>
        <v/>
      </c>
      <c r="S172" s="18" t="inlineStr">
        <is>
          <t>图文</t>
        </is>
      </c>
      <c r="T172" s="21" t="n">
        <v>0.82</v>
      </c>
      <c r="U172" s="21" t="n">
        <v>0.04</v>
      </c>
      <c r="V172" s="21" t="n">
        <v>0.49</v>
      </c>
      <c r="W172" s="21" t="n">
        <v>0.33</v>
      </c>
      <c r="X172" s="21" t="n">
        <v>0.76</v>
      </c>
      <c r="Y172" s="21" t="n">
        <v>0.1</v>
      </c>
      <c r="Z172" s="22" t="n">
        <v>72197</v>
      </c>
      <c r="AA172" s="18" t="n">
        <v>2133</v>
      </c>
    </row>
    <row r="173" ht="19" customHeight="1" s="151">
      <c r="C173" s="18" t="inlineStr">
        <is>
          <t>品牌</t>
        </is>
      </c>
      <c r="D173" s="19" t="inlineStr">
        <is>
          <t xml:space="preserve">近期家电类有爆文贴 </t>
        </is>
      </c>
      <c r="E173" s="18" t="inlineStr">
        <is>
          <t>準點回家!</t>
        </is>
      </c>
      <c r="F173" s="7" t="inlineStr">
        <is>
          <t>https://pgy.xiaohongshu.com/solar/pre-trade/blogger-detail/60061dd10000000001007f48?track_id=kolSimilar_52942df15dae496598c33e622116b455&amp;source=Advertiser_Similar_Kol</t>
        </is>
      </c>
      <c r="G173" s="19" t="inlineStr">
        <is>
          <t>https://www.xiaohongshu.com/user/profile/60061dd10000000001007f48</t>
        </is>
      </c>
      <c r="H173" s="118" t="inlineStr">
        <is>
          <t>ShuShinYou</t>
        </is>
      </c>
      <c r="I173" s="18" t="inlineStr">
        <is>
          <t>家居家装</t>
        </is>
      </c>
      <c r="J173" s="18" t="n"/>
      <c r="K173" s="18" t="n"/>
      <c r="L173" s="18" t="inlineStr">
        <is>
          <t>尾部</t>
        </is>
      </c>
      <c r="M173" s="18" t="n">
        <v>4.8</v>
      </c>
      <c r="N173" s="18" t="n">
        <v>32</v>
      </c>
      <c r="O173" s="18" t="n">
        <v>28600</v>
      </c>
      <c r="P173" s="18">
        <f>O173*1.1</f>
        <v/>
      </c>
      <c r="Q173" s="20">
        <f>P173/Z173</f>
        <v/>
      </c>
      <c r="R173" s="20">
        <f>P173/AA173</f>
        <v/>
      </c>
      <c r="S173" s="18" t="inlineStr">
        <is>
          <t>视频</t>
        </is>
      </c>
      <c r="T173" s="21" t="n">
        <v>0.57</v>
      </c>
      <c r="U173" s="21" t="n">
        <v>0.19</v>
      </c>
      <c r="V173" s="21" t="n">
        <v>0.42</v>
      </c>
      <c r="W173" s="21" t="n">
        <v>0.22</v>
      </c>
      <c r="X173" s="21" t="n">
        <v>0.49</v>
      </c>
      <c r="Y173" s="21" t="n">
        <v>0.13</v>
      </c>
      <c r="Z173" s="22" t="n">
        <v>35376</v>
      </c>
      <c r="AA173" s="22" t="n">
        <v>1763</v>
      </c>
    </row>
    <row r="174" ht="19" customHeight="1" s="151">
      <c r="C174" s="18" t="inlineStr">
        <is>
          <t>品牌</t>
        </is>
      </c>
      <c r="D174" s="19" t="inlineStr">
        <is>
          <t>精致白领人群，高品质生活方式</t>
        </is>
      </c>
      <c r="E174" s="18" t="inlineStr">
        <is>
          <t>小离谱的靠谱生活</t>
        </is>
      </c>
      <c r="F174" s="7" t="inlineStr">
        <is>
          <t>https://pgy.xiaohongshu.com/solar/pre-trade/blogger-detail/639d6fe2000000002702bcec?track_id=kolSimilar_52942df15dae496598c33e622116b455&amp;source=Advertiser_Similar_Kol</t>
        </is>
      </c>
      <c r="G174" s="19" t="inlineStr">
        <is>
          <t>https://www.xiaohongshu.com/user/profile/639d6fe2000000002702bcec</t>
        </is>
      </c>
      <c r="H174" s="118" t="inlineStr">
        <is>
          <t>xiaolipu888</t>
        </is>
      </c>
      <c r="I174" s="18" t="inlineStr">
        <is>
          <t>家居家装</t>
        </is>
      </c>
      <c r="J174" s="18" t="n"/>
      <c r="K174" s="18" t="n"/>
      <c r="L174" s="18" t="inlineStr">
        <is>
          <t>尾部</t>
        </is>
      </c>
      <c r="M174" s="18" t="n">
        <v>6.2</v>
      </c>
      <c r="N174" s="18" t="n">
        <v>50</v>
      </c>
      <c r="O174" s="18" t="n">
        <v>19999</v>
      </c>
      <c r="P174" s="18">
        <f>O174*1.1</f>
        <v/>
      </c>
      <c r="Q174" s="20">
        <f>P174/Z174</f>
        <v/>
      </c>
      <c r="R174" s="20">
        <f>P174/AA174</f>
        <v/>
      </c>
      <c r="S174" s="18" t="inlineStr">
        <is>
          <t>视频</t>
        </is>
      </c>
      <c r="T174" s="21" t="n">
        <v>0.84</v>
      </c>
      <c r="U174" s="21" t="n">
        <v>0.12</v>
      </c>
      <c r="V174" s="21" t="n">
        <v>0.45</v>
      </c>
      <c r="W174" s="21" t="n">
        <v>0.3</v>
      </c>
      <c r="X174" s="21" t="n">
        <v>0.6</v>
      </c>
      <c r="Y174" s="21" t="n">
        <v>0.14</v>
      </c>
      <c r="Z174" s="22" t="n">
        <v>33729</v>
      </c>
      <c r="AA174" s="22" t="n">
        <v>1935</v>
      </c>
    </row>
    <row r="175" ht="19" customHeight="1" s="151">
      <c r="C175" s="18" t="inlineStr">
        <is>
          <t>品牌</t>
        </is>
      </c>
      <c r="D175" s="19" t="inlineStr">
        <is>
          <t xml:space="preserve">生活仪式感，带过厨电，有爆文 </t>
        </is>
      </c>
      <c r="E175" s="18" t="inlineStr">
        <is>
          <t>ivy叶</t>
        </is>
      </c>
      <c r="F175" s="7" t="inlineStr">
        <is>
          <t>https://pgy.xiaohongshu.com/solar/pre-trade/blogger-detail/5a017a8111be103c490e4c9f?track_id=kolSimilar_2dc4900947d846bfb8ee1f82527c7a0d&amp;source=Advertiser_Similar_Kol</t>
        </is>
      </c>
      <c r="G175" s="19" t="inlineStr">
        <is>
          <t>https://www.xiaohongshu.com/user/profile/5a017a8111be103c490e4c9f</t>
        </is>
      </c>
      <c r="H175" s="118" t="n">
        <v>422013193</v>
      </c>
      <c r="I175" s="18" t="inlineStr">
        <is>
          <t>家居家装</t>
        </is>
      </c>
      <c r="J175" s="18" t="n"/>
      <c r="K175" s="18" t="n"/>
      <c r="L175" s="18" t="inlineStr">
        <is>
          <t>尾部</t>
        </is>
      </c>
      <c r="M175" s="18" t="n">
        <v>3</v>
      </c>
      <c r="N175" s="18" t="n">
        <v>43</v>
      </c>
      <c r="O175" s="18" t="n">
        <v>7800</v>
      </c>
      <c r="P175" s="18">
        <f>O175*1.1</f>
        <v/>
      </c>
      <c r="Q175" s="20">
        <f>P175/Z175</f>
        <v/>
      </c>
      <c r="R175" s="20">
        <f>P175/AA175</f>
        <v/>
      </c>
      <c r="S175" s="18" t="inlineStr">
        <is>
          <t>图文</t>
        </is>
      </c>
      <c r="T175" s="21" t="n">
        <v>0.76</v>
      </c>
      <c r="U175" s="21" t="n">
        <v>0.06</v>
      </c>
      <c r="V175" s="21" t="n">
        <v>0.43</v>
      </c>
      <c r="W175" s="21" t="n">
        <v>0.33</v>
      </c>
      <c r="X175" s="21" t="n">
        <v>0.64</v>
      </c>
      <c r="Y175" s="21" t="n">
        <v>0.14</v>
      </c>
      <c r="Z175" s="22" t="n">
        <v>7512</v>
      </c>
      <c r="AA175" s="18" t="n">
        <v>524</v>
      </c>
    </row>
    <row r="176" ht="19" customHeight="1" s="151">
      <c r="C176" s="18" t="inlineStr">
        <is>
          <t>品牌</t>
        </is>
      </c>
      <c r="D176" s="19" t="inlineStr">
        <is>
          <t>高质量短片，宅家做饭场景，有爆文</t>
        </is>
      </c>
      <c r="E176" s="18" t="inlineStr">
        <is>
          <t>阿珍</t>
        </is>
      </c>
      <c r="F176" s="7" t="inlineStr">
        <is>
          <t>https://pgy.xiaohongshu.com/solar/pre-trade/blogger-detail/63c0c3640000000026011ff2?track_id=kolSimilar_2dc4900947d846bfb8ee1f82527c7a0d&amp;source=Advertiser_Similar_Kol</t>
        </is>
      </c>
      <c r="G176" s="19" t="inlineStr">
        <is>
          <t>https://www.xiaohongshu.com/user/profile/63c0c3640000000026011ff2</t>
        </is>
      </c>
      <c r="H176" s="118" t="inlineStr">
        <is>
          <t>Azhen_live</t>
        </is>
      </c>
      <c r="I176" s="18" t="inlineStr">
        <is>
          <t>家居家装</t>
        </is>
      </c>
      <c r="J176" s="18" t="n"/>
      <c r="K176" s="18" t="n"/>
      <c r="L176" s="18" t="inlineStr">
        <is>
          <t>尾部</t>
        </is>
      </c>
      <c r="M176" s="18" t="n">
        <v>1.4</v>
      </c>
      <c r="N176" s="18" t="n">
        <v>12</v>
      </c>
      <c r="O176" s="18" t="n">
        <v>12960</v>
      </c>
      <c r="P176" s="18">
        <f>O176*1.1</f>
        <v/>
      </c>
      <c r="Q176" s="20">
        <f>P176/Z176</f>
        <v/>
      </c>
      <c r="R176" s="20">
        <f>P176/AA176</f>
        <v/>
      </c>
      <c r="S176" s="18" t="inlineStr">
        <is>
          <t>视频</t>
        </is>
      </c>
      <c r="T176" s="21" t="n">
        <v>0.78</v>
      </c>
      <c r="U176" s="21" t="n">
        <v>0.16</v>
      </c>
      <c r="V176" s="21" t="n">
        <v>0.49</v>
      </c>
      <c r="W176" s="21" t="n">
        <v>0.22</v>
      </c>
      <c r="X176" s="21" t="n">
        <v>0.48</v>
      </c>
      <c r="Y176" s="21" t="n">
        <v>0.13</v>
      </c>
      <c r="Z176" s="22" t="n">
        <v>10233</v>
      </c>
      <c r="AA176" s="18" t="n">
        <v>904</v>
      </c>
    </row>
    <row r="177" ht="19" customHeight="1" s="151">
      <c r="C177" s="18" t="inlineStr">
        <is>
          <t>品牌</t>
        </is>
      </c>
      <c r="D177" s="19" t="inlineStr">
        <is>
          <t>320平江景复式软装 数据好性价比高</t>
        </is>
      </c>
      <c r="E177" s="18" t="inlineStr">
        <is>
          <t>布鲁布Blue</t>
        </is>
      </c>
      <c r="F177" s="7" t="inlineStr">
        <is>
          <t>https://pgy.xiaohongshu.com/solar/pre-trade/blogger-detail/57a4ca7f6a6a6947d6f82023?track_id=kolSimilar_37268d40e03c43f68a6342e8fc04e1ae&amp;source=Advertiser_Similar_Kol</t>
        </is>
      </c>
      <c r="G177" s="19" t="inlineStr">
        <is>
          <t>https://www.xiaohongshu.com/user/profile/57a4ca7f6a6a6947d6f82023</t>
        </is>
      </c>
      <c r="H177" s="118" t="n">
        <v>109801371</v>
      </c>
      <c r="I177" s="18" t="inlineStr">
        <is>
          <t>家居家装</t>
        </is>
      </c>
      <c r="J177" s="18" t="n"/>
      <c r="K177" s="18" t="n"/>
      <c r="L177" s="18" t="inlineStr">
        <is>
          <t>尾部</t>
        </is>
      </c>
      <c r="M177" s="18" t="n">
        <v>2.1</v>
      </c>
      <c r="N177" s="18" t="n">
        <v>18</v>
      </c>
      <c r="O177" s="18" t="n">
        <v>3500</v>
      </c>
      <c r="P177" s="18">
        <f>O177*1.1</f>
        <v/>
      </c>
      <c r="Q177" s="20">
        <f>P177/Z177</f>
        <v/>
      </c>
      <c r="R177" s="20">
        <f>P177/AA177</f>
        <v/>
      </c>
      <c r="S177" s="18" t="inlineStr">
        <is>
          <t>图文</t>
        </is>
      </c>
      <c r="T177" s="21" t="n">
        <v>0.92</v>
      </c>
      <c r="U177" s="21" t="n">
        <v>0.13</v>
      </c>
      <c r="V177" s="21" t="n">
        <v>0.49</v>
      </c>
      <c r="W177" s="21" t="n">
        <v>0.25</v>
      </c>
      <c r="X177" s="21" t="n">
        <v>0.76</v>
      </c>
      <c r="Y177" s="21" t="n">
        <v>0.03</v>
      </c>
      <c r="Z177" s="22" t="n">
        <v>25638</v>
      </c>
      <c r="AA177" s="18" t="n">
        <v>831</v>
      </c>
    </row>
    <row r="178" ht="19" customHeight="1" s="151">
      <c r="C178" s="18" t="inlineStr">
        <is>
          <t>品牌</t>
        </is>
      </c>
      <c r="D178" s="19" t="inlineStr">
        <is>
          <t>住在上海538m²古堡别墅</t>
        </is>
      </c>
      <c r="E178" s="18" t="inlineStr">
        <is>
          <t>本妳Beny</t>
        </is>
      </c>
      <c r="F178" s="7" t="inlineStr">
        <is>
          <t>https://pgy.xiaohongshu.com/solar/pre-trade/blogger-detail/5e78841e000000000100bb84?track_id=kolSimilar_5d6c3909eefd474f8564320314dc9c20&amp;source=Advertiser_Similar_Kol</t>
        </is>
      </c>
      <c r="G178" s="19" t="inlineStr">
        <is>
          <t>https://www.xiaohongshu.com/user/profile/5e78841e000000000100bb84</t>
        </is>
      </c>
      <c r="H178" s="118" t="inlineStr">
        <is>
          <t>caobenying</t>
        </is>
      </c>
      <c r="I178" s="18" t="inlineStr">
        <is>
          <t>家居家装</t>
        </is>
      </c>
      <c r="J178" s="18" t="n"/>
      <c r="K178" s="18" t="n"/>
      <c r="L178" s="18" t="inlineStr">
        <is>
          <t>腰部</t>
        </is>
      </c>
      <c r="M178" s="18" t="n">
        <v>11.1</v>
      </c>
      <c r="N178" s="18" t="n">
        <v>89</v>
      </c>
      <c r="O178" s="18" t="n">
        <v>25800</v>
      </c>
      <c r="P178" s="18">
        <f>O178*1.1</f>
        <v/>
      </c>
      <c r="Q178" s="20">
        <f>P178/Z178</f>
        <v/>
      </c>
      <c r="R178" s="20">
        <f>P178/AA178</f>
        <v/>
      </c>
      <c r="S178" s="18" t="inlineStr">
        <is>
          <t>视频</t>
        </is>
      </c>
      <c r="T178" s="21" t="n">
        <v>0.83</v>
      </c>
      <c r="U178" s="21" t="n">
        <v>0.08</v>
      </c>
      <c r="V178" s="21" t="n">
        <v>0.46</v>
      </c>
      <c r="W178" s="21" t="n">
        <v>0.28</v>
      </c>
      <c r="X178" s="21" t="n">
        <v>0.6</v>
      </c>
      <c r="Y178" s="21" t="n">
        <v>0.14</v>
      </c>
      <c r="Z178" s="22" t="n">
        <v>11671</v>
      </c>
      <c r="AA178" s="18" t="n">
        <v>1650</v>
      </c>
    </row>
    <row r="179" ht="19" customHeight="1" s="151">
      <c r="C179" s="18" t="inlineStr">
        <is>
          <t>品牌</t>
        </is>
      </c>
      <c r="D179" s="19" t="inlineStr">
        <is>
          <t>近期外溢进店中位数212 性价比高</t>
        </is>
      </c>
      <c r="E179" s="18" t="inlineStr">
        <is>
          <t>肥窝窝</t>
        </is>
      </c>
      <c r="F179" s="7" t="inlineStr">
        <is>
          <t>https://pgy.xiaohongshu.com/solar/pre-trade/blogger-detail/583bdfc150c4b44e6536218d?track_id=kolSimilar_5d6c3909eefd474f8564320314dc9c20&amp;source=Advertiser_Similar_Kol</t>
        </is>
      </c>
      <c r="G179" s="19" t="inlineStr">
        <is>
          <t>https://www.xiaohongshu.com/user/profile/583bdfc150c4b44e6536218d</t>
        </is>
      </c>
      <c r="H179" s="118" t="n">
        <v>274270414</v>
      </c>
      <c r="I179" s="18" t="inlineStr">
        <is>
          <t>家居家装</t>
        </is>
      </c>
      <c r="J179" s="18" t="n"/>
      <c r="K179" s="18" t="n"/>
      <c r="L179" s="18" t="inlineStr">
        <is>
          <t>尾部</t>
        </is>
      </c>
      <c r="M179" s="18" t="n">
        <v>2.7</v>
      </c>
      <c r="N179" s="18" t="n">
        <v>17</v>
      </c>
      <c r="O179" s="18" t="n">
        <v>8900</v>
      </c>
      <c r="P179" s="18">
        <f>O179*1.1</f>
        <v/>
      </c>
      <c r="Q179" s="20">
        <f>P179/Z179</f>
        <v/>
      </c>
      <c r="R179" s="20">
        <f>P179/AA179</f>
        <v/>
      </c>
      <c r="S179" s="18" t="inlineStr">
        <is>
          <t>视频</t>
        </is>
      </c>
      <c r="T179" s="21" t="n">
        <v>0.82</v>
      </c>
      <c r="U179" s="21" t="n">
        <v>0.1</v>
      </c>
      <c r="V179" s="21" t="n">
        <v>0.42</v>
      </c>
      <c r="W179" s="21" t="n">
        <v>0.33</v>
      </c>
      <c r="X179" s="21" t="n">
        <v>0.58</v>
      </c>
      <c r="Y179" s="21" t="n">
        <v>0.12</v>
      </c>
      <c r="Z179" s="22" t="n">
        <v>19578</v>
      </c>
      <c r="AA179" s="18" t="n">
        <v>830</v>
      </c>
    </row>
    <row r="180" ht="19" customHeight="1" s="151">
      <c r="C180" s="18" t="inlineStr">
        <is>
          <t>品牌</t>
        </is>
      </c>
      <c r="D180" s="19" t="inlineStr">
        <is>
          <t>彩色复古家，调性高</t>
        </is>
      </c>
      <c r="E180" s="18" t="inlineStr">
        <is>
          <t>苏苏的复古家</t>
        </is>
      </c>
      <c r="F180" s="7" t="inlineStr">
        <is>
          <t>https://pgy.xiaohongshu.com/solar/pre-trade/blogger-detail/5b039e514eacab5c69e75132?track_id=kolSimilar_ee240ed23d6f483c901224db3d45d306&amp;source=Advertiser_Similar_Kol</t>
        </is>
      </c>
      <c r="G180" s="19" t="inlineStr">
        <is>
          <t>https://www.xiaohongshu.com/user/profile/5b039e514eacab5c69e75132</t>
        </is>
      </c>
      <c r="H180" s="118" t="inlineStr">
        <is>
          <t>susu358</t>
        </is>
      </c>
      <c r="I180" s="18" t="inlineStr">
        <is>
          <t>家居家装</t>
        </is>
      </c>
      <c r="J180" s="18" t="n"/>
      <c r="K180" s="18" t="n"/>
      <c r="L180" s="18" t="inlineStr">
        <is>
          <t>尾部</t>
        </is>
      </c>
      <c r="M180" s="18" t="n">
        <v>7.9</v>
      </c>
      <c r="N180" s="18" t="n">
        <v>80</v>
      </c>
      <c r="O180" s="18" t="n">
        <v>18500</v>
      </c>
      <c r="P180" s="18">
        <f>O180*1.1</f>
        <v/>
      </c>
      <c r="Q180" s="20">
        <f>P180/Z180</f>
        <v/>
      </c>
      <c r="R180" s="20">
        <f>P180/AA180</f>
        <v/>
      </c>
      <c r="S180" s="18" t="inlineStr">
        <is>
          <t>视频</t>
        </is>
      </c>
      <c r="T180" s="21" t="n">
        <v>0.83</v>
      </c>
      <c r="U180" s="21" t="n">
        <v>0.18</v>
      </c>
      <c r="V180" s="21" t="n">
        <v>0.35</v>
      </c>
      <c r="W180" s="21" t="n">
        <v>0.25</v>
      </c>
      <c r="X180" s="21" t="n">
        <v>0.45</v>
      </c>
      <c r="Y180" s="21" t="n">
        <v>0.2</v>
      </c>
      <c r="Z180" s="22" t="n">
        <v>23991</v>
      </c>
      <c r="AA180" s="18" t="n">
        <v>2040</v>
      </c>
    </row>
    <row r="181" ht="19" customHeight="1" s="151">
      <c r="C181" s="18" t="inlineStr">
        <is>
          <t>品牌</t>
        </is>
      </c>
      <c r="D181" s="19" t="inlineStr">
        <is>
          <t>童话花园小屋，风格独特</t>
        </is>
      </c>
      <c r="E181" s="18" t="inlineStr">
        <is>
          <t>喵小贝&amp;twins</t>
        </is>
      </c>
      <c r="F181" s="7" t="inlineStr">
        <is>
          <t>https://pgy.xiaohongshu.com/solar/pre-trade/blogger-detail/596cbf0482ec396ddbd47926?track_id=kolSimilar_ee240ed23d6f483c901224db3d45d306&amp;source=Advertiser_Similar_Kol</t>
        </is>
      </c>
      <c r="G181" s="19" t="inlineStr">
        <is>
          <t>https://www.xiaohongshu.com/user/profile/596cbf0482ec396ddbd47926</t>
        </is>
      </c>
      <c r="H181" s="118" t="inlineStr">
        <is>
          <t>limu_620622</t>
        </is>
      </c>
      <c r="I181" s="18" t="inlineStr">
        <is>
          <t>家居家装</t>
        </is>
      </c>
      <c r="J181" s="18" t="n"/>
      <c r="K181" s="18" t="n"/>
      <c r="L181" s="18" t="inlineStr">
        <is>
          <t>肩部</t>
        </is>
      </c>
      <c r="M181" s="18" t="n">
        <v>45</v>
      </c>
      <c r="N181" s="18" t="n">
        <v>582</v>
      </c>
      <c r="O181" s="18" t="n">
        <v>28800</v>
      </c>
      <c r="P181" s="18">
        <f>O181*1.1</f>
        <v/>
      </c>
      <c r="Q181" s="20">
        <f>P181/Z181</f>
        <v/>
      </c>
      <c r="R181" s="20">
        <f>P181/AA181</f>
        <v/>
      </c>
      <c r="S181" s="18" t="inlineStr">
        <is>
          <t>视频</t>
        </is>
      </c>
      <c r="T181" s="21" t="n">
        <v>0.9</v>
      </c>
      <c r="U181" s="21" t="n">
        <v>0.26</v>
      </c>
      <c r="V181" s="21" t="n">
        <v>0.3</v>
      </c>
      <c r="W181" s="21" t="n">
        <v>0.18</v>
      </c>
      <c r="X181" s="21" t="n">
        <v>0.42</v>
      </c>
      <c r="Y181" s="21" t="n">
        <v>0.16</v>
      </c>
      <c r="Z181" s="22" t="n">
        <v>123112</v>
      </c>
      <c r="AA181" s="22" t="n">
        <v>22091</v>
      </c>
    </row>
    <row r="182" ht="19" customHeight="1" s="151">
      <c r="A182" s="43" t="inlineStr">
        <is>
          <t>以下为品牌3.11提报月亮</t>
        </is>
      </c>
      <c r="B182" s="43" t="n"/>
      <c r="C182" s="37" t="n"/>
      <c r="D182" s="121" t="n"/>
      <c r="E182" s="37" t="n"/>
      <c r="F182" s="121" t="n"/>
      <c r="G182" s="121" t="n"/>
      <c r="H182" s="37" t="n"/>
      <c r="I182" s="37" t="n"/>
      <c r="J182" s="37" t="n"/>
      <c r="K182" s="37" t="n"/>
      <c r="L182" s="37" t="n"/>
      <c r="M182" s="37" t="n"/>
      <c r="N182" s="37" t="n"/>
      <c r="O182" s="152" t="n"/>
      <c r="P182" s="152" t="n"/>
      <c r="Q182" s="152" t="n"/>
      <c r="R182" s="152" t="n"/>
      <c r="S182" s="37" t="n"/>
      <c r="T182" s="67" t="n"/>
      <c r="U182" s="41" t="n"/>
      <c r="V182" s="67" t="n"/>
      <c r="W182" s="67" t="n"/>
      <c r="X182" s="67" t="n"/>
      <c r="Y182" s="67" t="n"/>
      <c r="Z182" s="37" t="n"/>
      <c r="AA182" s="37" t="n"/>
      <c r="AB182" s="43" t="n"/>
      <c r="AC182" s="43" t="n"/>
      <c r="AD182" s="43" t="n"/>
      <c r="AE182" s="43" t="n"/>
      <c r="AF182" s="43" t="n"/>
      <c r="AG182" s="43" t="n"/>
      <c r="AH182" s="43" t="n"/>
      <c r="AI182" s="43" t="n"/>
      <c r="AJ182" s="43" t="n"/>
      <c r="AK182" s="43" t="n"/>
      <c r="AL182" s="43" t="n"/>
      <c r="AM182" s="43" t="n"/>
      <c r="AN182" s="43" t="n"/>
      <c r="AO182" s="43" t="n"/>
      <c r="AP182" s="43" t="n"/>
      <c r="AQ182" s="43" t="n"/>
    </row>
    <row r="183" ht="19" customHeight="1" s="151">
      <c r="C183" s="18" t="inlineStr">
        <is>
          <t>品牌</t>
        </is>
      </c>
      <c r="D183" s="19" t="inlineStr">
        <is>
          <t xml:space="preserve">自建房智能家居，带过卡萨帝，近期爆文 </t>
        </is>
      </c>
      <c r="E183" s="7" t="inlineStr">
        <is>
          <t>JK叔叔</t>
        </is>
      </c>
      <c r="F183" s="7" t="inlineStr">
        <is>
          <t>https://pgy.xiaohongshu.com/solar/pre-trade/blogger-detail/5d3832c9000000001102c6f9?track_id=kolMatch_fdb844e06a244a5c8eeeea54406b4840&amp;source=Advertiser_Kol</t>
        </is>
      </c>
      <c r="G183" s="19" t="inlineStr">
        <is>
          <t>https://www.xiaohongshu.com/user/profile/5d3832c9000000001102c6f9</t>
        </is>
      </c>
      <c r="H183" s="118" t="n">
        <v>816654731</v>
      </c>
      <c r="I183" s="18" t="inlineStr">
        <is>
          <t>家居家装</t>
        </is>
      </c>
      <c r="J183" s="18" t="n"/>
      <c r="K183" s="18" t="n"/>
      <c r="L183" s="18" t="inlineStr">
        <is>
          <t>腰部</t>
        </is>
      </c>
      <c r="M183" s="18" t="n">
        <v>24.7</v>
      </c>
      <c r="N183" s="18" t="n">
        <v>279</v>
      </c>
      <c r="O183" s="18" t="n">
        <v>34000</v>
      </c>
      <c r="P183" s="18">
        <f>O183*1.1</f>
        <v/>
      </c>
      <c r="Q183" s="20">
        <f>P183/Z183</f>
        <v/>
      </c>
      <c r="R183" s="20">
        <f>P183/AA183</f>
        <v/>
      </c>
      <c r="S183" s="18" t="inlineStr">
        <is>
          <t>视频</t>
        </is>
      </c>
      <c r="T183" s="21" t="n">
        <v>0.7</v>
      </c>
      <c r="U183" s="21" t="n">
        <v>0.06</v>
      </c>
      <c r="V183" s="21" t="n">
        <v>0.47</v>
      </c>
      <c r="W183" s="21" t="n">
        <v>0.31</v>
      </c>
      <c r="X183" s="21" t="n">
        <v>0.58</v>
      </c>
      <c r="Y183" s="21" t="n">
        <v>0.16</v>
      </c>
      <c r="Z183" s="22" t="n">
        <v>54753</v>
      </c>
      <c r="AA183" s="18" t="n">
        <v>5710</v>
      </c>
    </row>
    <row r="184" ht="19" customHeight="1" s="151">
      <c r="C184" s="18" t="inlineStr">
        <is>
          <t>品牌</t>
        </is>
      </c>
      <c r="D184" s="19" t="inlineStr">
        <is>
          <t xml:space="preserve">有娃家庭，有聚餐场景 </t>
        </is>
      </c>
      <c r="E184" s="7" t="inlineStr">
        <is>
          <t>陳夫人的家庭生活</t>
        </is>
      </c>
      <c r="F184" s="7" t="inlineStr">
        <is>
          <t>https://pgy.xiaohongshu.com/solar/pre-trade/blogger-detail/607544bf000000000100385c?track_id=kolMatch_fdb844e06a244a5c8eeeea54406b4840&amp;source=Advertiser_Kol</t>
        </is>
      </c>
      <c r="G184" s="19" t="inlineStr">
        <is>
          <t>https://www.xiaohongshu.com/user/profile/607544bf000000000100385c</t>
        </is>
      </c>
      <c r="H184" s="118" t="inlineStr">
        <is>
          <t>tiantong2468</t>
        </is>
      </c>
      <c r="I184" s="18" t="inlineStr">
        <is>
          <t>家居家装</t>
        </is>
      </c>
      <c r="J184" s="18" t="n"/>
      <c r="K184" s="18" t="n"/>
      <c r="L184" s="18" t="inlineStr">
        <is>
          <t>肩部</t>
        </is>
      </c>
      <c r="M184" s="18" t="n">
        <v>33.5</v>
      </c>
      <c r="N184" s="18" t="n">
        <v>216</v>
      </c>
      <c r="O184" s="18" t="n">
        <v>35000</v>
      </c>
      <c r="P184" s="18">
        <f>O184*1.1</f>
        <v/>
      </c>
      <c r="Q184" s="20">
        <f>P184/Z184</f>
        <v/>
      </c>
      <c r="R184" s="20">
        <f>P184/AA184</f>
        <v/>
      </c>
      <c r="S184" s="18" t="inlineStr">
        <is>
          <t>视频</t>
        </is>
      </c>
      <c r="T184" s="21" t="n">
        <v>0.88</v>
      </c>
      <c r="U184" s="21" t="n">
        <v>0.12</v>
      </c>
      <c r="V184" s="21" t="n">
        <v>0.49</v>
      </c>
      <c r="W184" s="21" t="n">
        <v>0.26</v>
      </c>
      <c r="X184" s="21" t="n">
        <v>0.5600000000000001</v>
      </c>
      <c r="Y184" s="21" t="n">
        <v>0.15</v>
      </c>
      <c r="Z184" s="22" t="n">
        <v>87801</v>
      </c>
      <c r="AA184" s="18" t="n">
        <v>5417</v>
      </c>
    </row>
    <row r="185" ht="19" customHeight="1" s="151">
      <c r="C185" s="18" t="inlineStr">
        <is>
          <t>品牌</t>
        </is>
      </c>
      <c r="D185" s="19" t="inlineStr">
        <is>
          <t xml:space="preserve">改造博主，近期爆文 </t>
        </is>
      </c>
      <c r="E185" s="7" t="inlineStr">
        <is>
          <t>远方邵年(自装日记)</t>
        </is>
      </c>
      <c r="F185" s="7" t="inlineStr">
        <is>
          <t>https://pgy.xiaohongshu.com/solar/pre-trade/blogger-detail/60053a66000000000100b146?track_id=kolMatch_fdb844e06a244a5c8eeeea54406b4840&amp;source=Advertiser_Kol</t>
        </is>
      </c>
      <c r="G185" s="19" t="inlineStr">
        <is>
          <t>https://www.xiaohongshu.com/user/profile/60053a66000000000100b146</t>
        </is>
      </c>
      <c r="H185" s="118" t="inlineStr">
        <is>
          <t>KF52978</t>
        </is>
      </c>
      <c r="I185" s="18" t="inlineStr">
        <is>
          <t>家居家装</t>
        </is>
      </c>
      <c r="J185" s="18" t="n"/>
      <c r="K185" s="18" t="n"/>
      <c r="L185" s="18" t="inlineStr">
        <is>
          <t>肩部</t>
        </is>
      </c>
      <c r="M185" s="18" t="n">
        <v>39.9</v>
      </c>
      <c r="N185" s="18" t="n">
        <v>482</v>
      </c>
      <c r="O185" s="18" t="n">
        <v>32800</v>
      </c>
      <c r="P185" s="18">
        <f>O185*1.1</f>
        <v/>
      </c>
      <c r="Q185" s="20">
        <f>P185/Z185</f>
        <v/>
      </c>
      <c r="R185" s="20">
        <f>P185/AA185</f>
        <v/>
      </c>
      <c r="S185" s="18" t="inlineStr">
        <is>
          <t>视频</t>
        </is>
      </c>
      <c r="T185" s="21" t="n">
        <v>0.83</v>
      </c>
      <c r="U185" s="21" t="n">
        <v>0.04</v>
      </c>
      <c r="V185" s="21" t="n">
        <v>0.44</v>
      </c>
      <c r="W185" s="21" t="n">
        <v>0.38</v>
      </c>
      <c r="X185" s="21" t="n">
        <v>0.45</v>
      </c>
      <c r="Y185" s="21" t="n">
        <v>0.21</v>
      </c>
      <c r="Z185" s="22" t="n">
        <v>22290</v>
      </c>
      <c r="AA185" s="18" t="n">
        <v>2772</v>
      </c>
    </row>
    <row r="186" ht="19" customHeight="1" s="151">
      <c r="C186" s="18" t="inlineStr">
        <is>
          <t>品牌</t>
        </is>
      </c>
      <c r="D186" s="19" t="inlineStr">
        <is>
          <t>高端干货分享，有娃家庭</t>
        </is>
      </c>
      <c r="E186" s="7" t="inlineStr">
        <is>
          <t>七七Nina</t>
        </is>
      </c>
      <c r="F186" s="7" t="inlineStr">
        <is>
          <t>https://pgy.xiaohongshu.com/solar/pre-trade/blogger-detail/651fede3000000002302512b?track_id=kolMatch_fdb844e06a244a5c8eeeea54406b4840&amp;source=Advertiser_Kol</t>
        </is>
      </c>
      <c r="G186" s="19" t="inlineStr">
        <is>
          <t>https://www.xiaohongshu.com/user/profile/651fede3000000002302512b</t>
        </is>
      </c>
      <c r="H186" s="118" t="n">
        <v>3630706979</v>
      </c>
      <c r="I186" s="18" t="inlineStr">
        <is>
          <t>家居家装</t>
        </is>
      </c>
      <c r="J186" s="18" t="n"/>
      <c r="K186" s="18" t="n"/>
      <c r="L186" s="18" t="inlineStr">
        <is>
          <t>肩部</t>
        </is>
      </c>
      <c r="M186" s="18" t="n">
        <v>32.6</v>
      </c>
      <c r="N186" s="18" t="n">
        <v>164</v>
      </c>
      <c r="O186" s="18" t="n">
        <v>32000</v>
      </c>
      <c r="P186" s="18">
        <f>O186*1.1</f>
        <v/>
      </c>
      <c r="Q186" s="20">
        <f>P186/Z186</f>
        <v/>
      </c>
      <c r="R186" s="20">
        <f>P186/AA186</f>
        <v/>
      </c>
      <c r="S186" s="18" t="inlineStr">
        <is>
          <t>视频</t>
        </is>
      </c>
      <c r="T186" s="21" t="n">
        <v>0.78</v>
      </c>
      <c r="U186" s="21" t="n">
        <v>0.28</v>
      </c>
      <c r="V186" s="21" t="n">
        <v>0.41</v>
      </c>
      <c r="W186" s="21" t="n">
        <v>0.19</v>
      </c>
      <c r="X186" s="21" t="n">
        <v>0.43</v>
      </c>
      <c r="Y186" s="21" t="n">
        <v>0.14</v>
      </c>
      <c r="Z186" s="22" t="n">
        <v>108435</v>
      </c>
      <c r="AA186" s="18" t="n">
        <v>6241</v>
      </c>
    </row>
    <row r="187" ht="19" customHeight="1" s="151">
      <c r="C187" s="18" t="inlineStr">
        <is>
          <t>品牌</t>
        </is>
      </c>
      <c r="D187" s="19" t="inlineStr">
        <is>
          <t>法式极简风厨房 数据好</t>
        </is>
      </c>
      <c r="E187" s="7" t="inlineStr">
        <is>
          <t>一二三的三</t>
        </is>
      </c>
      <c r="F187" s="7" t="inlineStr">
        <is>
          <t>https://pgy.xiaohongshu.com/solar/pre-trade/blogger-detail/5a78f60f11be1036f49b3a9c?track_id=kolMatch_a9479604e4ea49289dbb68450c585a5d&amp;source=Advertiser_Kol</t>
        </is>
      </c>
      <c r="G187" s="19" t="inlineStr">
        <is>
          <t>https://www.xiaohongshu.com/user/profile/5a78f60f11be1036f49b3a9c</t>
        </is>
      </c>
      <c r="H187" s="118" t="inlineStr">
        <is>
          <t>san19910319</t>
        </is>
      </c>
      <c r="I187" s="18" t="inlineStr">
        <is>
          <t>家居家装</t>
        </is>
      </c>
      <c r="J187" s="18" t="n"/>
      <c r="K187" s="18" t="n"/>
      <c r="L187" s="18" t="inlineStr">
        <is>
          <t>肩部</t>
        </is>
      </c>
      <c r="M187" s="18" t="n">
        <v>30.3</v>
      </c>
      <c r="N187" s="18" t="n">
        <v>312</v>
      </c>
      <c r="O187" s="18" t="n">
        <v>31800</v>
      </c>
      <c r="P187" s="18">
        <f>O187*1.1</f>
        <v/>
      </c>
      <c r="Q187" s="20">
        <f>P187/Z187</f>
        <v/>
      </c>
      <c r="R187" s="20">
        <f>P187/AA187</f>
        <v/>
      </c>
      <c r="S187" s="18" t="inlineStr">
        <is>
          <t>视频</t>
        </is>
      </c>
      <c r="T187" s="21" t="n">
        <v>0.85</v>
      </c>
      <c r="U187" s="21" t="n">
        <v>0.21</v>
      </c>
      <c r="V187" s="21" t="n">
        <v>0.39</v>
      </c>
      <c r="W187" s="21" t="n">
        <v>0.21</v>
      </c>
      <c r="X187" s="21" t="n">
        <v>0.48</v>
      </c>
      <c r="Y187" s="21" t="n">
        <v>0.16</v>
      </c>
      <c r="Z187" s="22" t="n">
        <v>91933</v>
      </c>
      <c r="AA187" s="18" t="n">
        <v>2317</v>
      </c>
    </row>
    <row r="188" ht="19" customHeight="1" s="151">
      <c r="C188" s="18" t="inlineStr">
        <is>
          <t>品牌</t>
        </is>
      </c>
      <c r="D188" s="5" t="inlineStr">
        <is>
          <t xml:space="preserve">意式极简风，有开放式厨房场景 </t>
        </is>
      </c>
      <c r="E188" s="7" t="inlineStr">
        <is>
          <t>Dino</t>
        </is>
      </c>
      <c r="F188" s="7" t="inlineStr">
        <is>
          <t>https://pgy.xiaohongshu.com/solar/pre-trade/blogger-detail/5ab9d78211be104a5b479602?track_id=kolMatch_a9479604e4ea49289dbb68450c585a5d&amp;source=Advertiser_Kol</t>
        </is>
      </c>
      <c r="G188" s="19" t="inlineStr">
        <is>
          <t>https://www.xiaohongshu.com/user/profile/5ab9d78211be104a5b479602</t>
        </is>
      </c>
      <c r="H188" s="118" t="inlineStr">
        <is>
          <t>Dinojim</t>
        </is>
      </c>
      <c r="I188" s="18" t="inlineStr">
        <is>
          <t>家居家装</t>
        </is>
      </c>
      <c r="J188" s="18" t="n"/>
      <c r="K188" s="18" t="n"/>
      <c r="L188" s="18" t="inlineStr">
        <is>
          <t>腰部</t>
        </is>
      </c>
      <c r="M188" s="18" t="n">
        <v>14.5</v>
      </c>
      <c r="N188" s="18" t="n">
        <v>127</v>
      </c>
      <c r="O188" s="18" t="n">
        <v>28000</v>
      </c>
      <c r="P188" s="18">
        <f>O188*1.1</f>
        <v/>
      </c>
      <c r="Q188" s="20">
        <f>P188/Z188</f>
        <v/>
      </c>
      <c r="R188" s="20">
        <f>P188/AA188</f>
        <v/>
      </c>
      <c r="S188" s="18" t="inlineStr">
        <is>
          <t>视频</t>
        </is>
      </c>
      <c r="T188" s="21" t="n">
        <v>0.71</v>
      </c>
      <c r="U188" s="21" t="n">
        <v>0.06</v>
      </c>
      <c r="V188" s="21" t="n">
        <v>0.47</v>
      </c>
      <c r="W188" s="21" t="n">
        <v>0.34</v>
      </c>
      <c r="X188" s="21" t="n">
        <v>0.66</v>
      </c>
      <c r="Y188" s="21" t="n">
        <v>0.14</v>
      </c>
      <c r="Z188" s="22" t="n">
        <v>12970</v>
      </c>
      <c r="AA188" s="18" t="n">
        <v>732</v>
      </c>
    </row>
    <row r="189" ht="19" customHeight="1" s="151">
      <c r="C189" s="18" t="inlineStr">
        <is>
          <t>品牌</t>
        </is>
      </c>
      <c r="D189" s="19" t="inlineStr">
        <is>
          <t>设计改造博主，人群对等</t>
        </is>
      </c>
      <c r="E189" s="7" t="inlineStr">
        <is>
          <t>Janson的生活美学</t>
        </is>
      </c>
      <c r="F189" s="7" t="inlineStr">
        <is>
          <t>https://pgy.xiaohongshu.com/solar/pre-trade/blogger-detail/5efded3000000000010008e4?track_id=kolMatch_a9479604e4ea49289dbb68450c585a5d&amp;source=Advertiser_Kol</t>
        </is>
      </c>
      <c r="G189" s="19" t="inlineStr">
        <is>
          <t>https://www.xiaohongshu.com/user/profile/5efded3000000000010008e4</t>
        </is>
      </c>
      <c r="H189" s="118" t="inlineStr">
        <is>
          <t>Jansondesign777</t>
        </is>
      </c>
      <c r="I189" s="18" t="inlineStr">
        <is>
          <t>家居家装</t>
        </is>
      </c>
      <c r="J189" s="18" t="n"/>
      <c r="K189" s="18" t="n"/>
      <c r="L189" s="18" t="inlineStr">
        <is>
          <t>腰部</t>
        </is>
      </c>
      <c r="M189" s="18" t="n">
        <v>15.5</v>
      </c>
      <c r="N189" s="18" t="n">
        <v>130</v>
      </c>
      <c r="O189" s="18" t="n">
        <v>32000</v>
      </c>
      <c r="P189" s="18">
        <f>O189*1.1</f>
        <v/>
      </c>
      <c r="Q189" s="20">
        <f>P189/Z189</f>
        <v/>
      </c>
      <c r="R189" s="20">
        <f>P189/AA189</f>
        <v/>
      </c>
      <c r="S189" s="18" t="inlineStr">
        <is>
          <t>视频</t>
        </is>
      </c>
      <c r="T189" s="21" t="n">
        <v>0.62</v>
      </c>
      <c r="U189" s="21" t="n">
        <v>0.05</v>
      </c>
      <c r="V189" s="21" t="n">
        <v>0.37</v>
      </c>
      <c r="W189" s="21" t="n">
        <v>0.36</v>
      </c>
      <c r="X189" s="21" t="n">
        <v>0.52</v>
      </c>
      <c r="Y189" s="21" t="n">
        <v>0.2</v>
      </c>
      <c r="Z189" s="22" t="n">
        <v>36855</v>
      </c>
      <c r="AA189" s="18" t="n">
        <v>4964</v>
      </c>
    </row>
    <row r="190" ht="19" customHeight="1" s="151">
      <c r="C190" s="18" t="inlineStr">
        <is>
          <t>品牌</t>
        </is>
      </c>
      <c r="D190" s="19" t="inlineStr">
        <is>
          <t>开放式厨房 整体画质高</t>
        </is>
      </c>
      <c r="E190" s="7" t="inlineStr">
        <is>
          <t>阙小姐</t>
        </is>
      </c>
      <c r="F190" s="7" t="inlineStr">
        <is>
          <t>https://pgy.xiaohongshu.com/solar/pre-trade/blogger-detail/5c530a34000000001b016497?track_id=kolMatch_40cd66ad6c4b4d1b97e0d14dfd9f237d&amp;source=Advertiser_Kol</t>
        </is>
      </c>
      <c r="G190" s="19" t="inlineStr">
        <is>
          <t>https://www.xiaohongshu.com/user/profile/5c530a34000000001b016497</t>
        </is>
      </c>
      <c r="H190" s="118" t="inlineStr">
        <is>
          <t>mdhj8848</t>
        </is>
      </c>
      <c r="I190" s="18" t="inlineStr">
        <is>
          <t>家居家装</t>
        </is>
      </c>
      <c r="J190" s="18" t="n"/>
      <c r="K190" s="18" t="n"/>
      <c r="L190" s="18" t="inlineStr">
        <is>
          <t>肩部</t>
        </is>
      </c>
      <c r="M190" s="18" t="n">
        <v>32.1</v>
      </c>
      <c r="N190" s="18" t="n">
        <v>194</v>
      </c>
      <c r="O190" s="18" t="n">
        <v>38800</v>
      </c>
      <c r="P190" s="18">
        <f>O190*1.1</f>
        <v/>
      </c>
      <c r="Q190" s="20">
        <f>P190/Z190</f>
        <v/>
      </c>
      <c r="R190" s="20">
        <f>P190/AA190</f>
        <v/>
      </c>
      <c r="S190" s="18" t="inlineStr">
        <is>
          <t>视频</t>
        </is>
      </c>
      <c r="T190" s="21" t="n">
        <v>0.88</v>
      </c>
      <c r="U190" s="21" t="n">
        <v>0.03</v>
      </c>
      <c r="V190" s="21" t="n">
        <v>0.3</v>
      </c>
      <c r="W190" s="21" t="n">
        <v>0.45</v>
      </c>
      <c r="X190" s="21" t="n">
        <v>0.5600000000000001</v>
      </c>
      <c r="Y190" s="21" t="n">
        <v>0.21</v>
      </c>
      <c r="Z190" s="22" t="n">
        <v>27636</v>
      </c>
      <c r="AA190" s="18" t="n">
        <v>1527</v>
      </c>
    </row>
    <row r="191" ht="19" customHeight="1" s="151">
      <c r="C191" s="18" t="inlineStr">
        <is>
          <t>品牌</t>
        </is>
      </c>
      <c r="D191" s="19" t="inlineStr">
        <is>
          <t xml:space="preserve">年轻夫妻 智能化生活方式 </t>
        </is>
      </c>
      <c r="E191" s="7" t="inlineStr">
        <is>
          <t>ZT阿姨</t>
        </is>
      </c>
      <c r="F191" s="7" t="inlineStr">
        <is>
          <t>https://pgy.xiaohongshu.com/solar/pre-trade/blogger-detail/5a728a8b4eacab55f4389435?track_id=kolMatch_3379071a18274cdc8b2870e8c9afb12f&amp;source=Advertiser_Kol</t>
        </is>
      </c>
      <c r="G191" s="19" t="inlineStr">
        <is>
          <t>https://www.xiaohongshu.com/user/profile/5a728a8b4eacab55f4389435</t>
        </is>
      </c>
      <c r="H191" s="118" t="n">
        <v>186440276</v>
      </c>
      <c r="I191" s="18" t="inlineStr">
        <is>
          <t>家居家装</t>
        </is>
      </c>
      <c r="J191" s="18" t="n"/>
      <c r="K191" s="18" t="n"/>
      <c r="L191" s="18" t="inlineStr">
        <is>
          <t>腰部</t>
        </is>
      </c>
      <c r="M191" s="18" t="n">
        <v>22.8</v>
      </c>
      <c r="N191" s="18" t="n">
        <v>225</v>
      </c>
      <c r="O191" s="18" t="n">
        <v>34000</v>
      </c>
      <c r="P191" s="18">
        <f>O191*1.1</f>
        <v/>
      </c>
      <c r="Q191" s="20">
        <f>P191/Z191</f>
        <v/>
      </c>
      <c r="R191" s="20">
        <f>P191/AA191</f>
        <v/>
      </c>
      <c r="S191" s="18" t="inlineStr">
        <is>
          <t>视频</t>
        </is>
      </c>
      <c r="T191" s="21" t="n">
        <v>0.86</v>
      </c>
      <c r="U191" s="21" t="n">
        <v>0.13</v>
      </c>
      <c r="V191" s="21" t="n">
        <v>0.48</v>
      </c>
      <c r="W191" s="21" t="n">
        <v>0.26</v>
      </c>
      <c r="X191" s="21" t="n">
        <v>0.59</v>
      </c>
      <c r="Y191" s="21" t="n">
        <v>0.15</v>
      </c>
      <c r="Z191" s="22" t="n">
        <v>77517</v>
      </c>
      <c r="AA191" s="18" t="n">
        <v>6629</v>
      </c>
    </row>
    <row r="192" ht="19" customHeight="1" s="151">
      <c r="C192" s="18" t="inlineStr">
        <is>
          <t>品牌</t>
        </is>
      </c>
      <c r="D192" s="19" t="inlineStr">
        <is>
          <t>宅家仪式感 整体温馨</t>
        </is>
      </c>
      <c r="E192" s="7" t="inlineStr">
        <is>
          <t>婧婧子Mirror</t>
        </is>
      </c>
      <c r="F192" s="7" t="inlineStr">
        <is>
          <t>https://pgy.xiaohongshu.com/solar/pre-trade/blogger-detail/6633818a0000000003033423?track_id=kolMatch_46fe864742064ddbb1a659210da654ae&amp;source=Advertiser_Kol</t>
        </is>
      </c>
      <c r="G192" s="19" t="inlineStr">
        <is>
          <t>https://www.xiaohongshu.com/user/profile/6633818a0000000003033423</t>
        </is>
      </c>
      <c r="H192" s="118" t="n">
        <v>42156419264</v>
      </c>
      <c r="I192" s="18" t="inlineStr">
        <is>
          <t>家居家装</t>
        </is>
      </c>
      <c r="J192" s="18" t="n"/>
      <c r="K192" s="18" t="n"/>
      <c r="L192" s="18" t="inlineStr">
        <is>
          <t>肩部</t>
        </is>
      </c>
      <c r="M192" s="18" t="n">
        <v>41</v>
      </c>
      <c r="N192" s="18" t="n">
        <v>165</v>
      </c>
      <c r="O192" s="18" t="n">
        <v>28000</v>
      </c>
      <c r="P192" s="18">
        <f>O192*1.1</f>
        <v/>
      </c>
      <c r="Q192" s="20">
        <f>P192/Z192</f>
        <v/>
      </c>
      <c r="R192" s="20">
        <f>P192/AA192</f>
        <v/>
      </c>
      <c r="S192" s="18" t="inlineStr">
        <is>
          <t>视频</t>
        </is>
      </c>
      <c r="T192" s="21" t="n">
        <v>0.77</v>
      </c>
      <c r="U192" s="21" t="n">
        <v>0.17</v>
      </c>
      <c r="V192" s="21" t="n">
        <v>0.35</v>
      </c>
      <c r="W192" s="21" t="n">
        <v>0.29</v>
      </c>
      <c r="X192" s="21" t="n">
        <v>0.39</v>
      </c>
      <c r="Y192" s="21" t="n">
        <v>0.19</v>
      </c>
      <c r="Z192" s="22" t="n">
        <v>99465</v>
      </c>
      <c r="AA192" s="18" t="n">
        <v>8851</v>
      </c>
    </row>
    <row r="193" ht="19" customHeight="1" s="151">
      <c r="C193" s="18" t="inlineStr">
        <is>
          <t>品牌</t>
        </is>
      </c>
      <c r="D193" s="19" t="inlineStr">
        <is>
          <t>专业测评方向，数据高</t>
        </is>
      </c>
      <c r="E193" s="7" t="inlineStr">
        <is>
          <t>往小猫</t>
        </is>
      </c>
      <c r="F193" s="7" t="inlineStr">
        <is>
          <t>https://pgy.xiaohongshu.com/solar/pre-trade/blogger-detail/59e027976eea881c2e59e726?track_id=kolMatch_46fe864742064ddbb1a659210da654ae&amp;source=Advertiser_Kol</t>
        </is>
      </c>
      <c r="G193" s="19" t="inlineStr">
        <is>
          <t>https://www.xiaohongshu.com/user/profile/59e027976eea881c2e59e726</t>
        </is>
      </c>
      <c r="H193" s="118" t="n">
        <v>950225427</v>
      </c>
      <c r="I193" s="18" t="inlineStr">
        <is>
          <t>家居家装</t>
        </is>
      </c>
      <c r="J193" s="18" t="n"/>
      <c r="K193" s="18" t="n"/>
      <c r="L193" s="18" t="inlineStr">
        <is>
          <t>腰部</t>
        </is>
      </c>
      <c r="M193" s="18" t="n">
        <v>23.2</v>
      </c>
      <c r="N193" s="18" t="n">
        <v>516</v>
      </c>
      <c r="O193" s="18" t="n">
        <v>36000</v>
      </c>
      <c r="P193" s="18">
        <f>O193*1.1</f>
        <v/>
      </c>
      <c r="Q193" s="20">
        <f>P193/Z193</f>
        <v/>
      </c>
      <c r="R193" s="20">
        <f>P193/AA193</f>
        <v/>
      </c>
      <c r="S193" s="18" t="inlineStr">
        <is>
          <t>视频</t>
        </is>
      </c>
      <c r="T193" s="21" t="n">
        <v>0.87</v>
      </c>
      <c r="U193" s="21" t="n">
        <v>0.1</v>
      </c>
      <c r="V193" s="21" t="n">
        <v>0.45</v>
      </c>
      <c r="W193" s="21" t="n">
        <v>0.28</v>
      </c>
      <c r="X193" s="21" t="n">
        <v>0.46</v>
      </c>
      <c r="Y193" s="21" t="n">
        <v>0.19</v>
      </c>
      <c r="Z193" s="22" t="n">
        <v>801049</v>
      </c>
      <c r="AA193" s="22" t="n">
        <v>61353</v>
      </c>
    </row>
    <row r="194" ht="19" customHeight="1" s="151">
      <c r="C194" s="18" t="inlineStr">
        <is>
          <t>品牌</t>
        </is>
      </c>
      <c r="D194" s="19" t="inlineStr">
        <is>
          <t>95后花园别墅，高质量生活</t>
        </is>
      </c>
      <c r="E194" s="7" t="inlineStr">
        <is>
          <t>甜糯糯吖</t>
        </is>
      </c>
      <c r="F194" s="7" t="inlineStr">
        <is>
          <t>https://pgy.xiaohongshu.com/solar/pre-trade/blogger-detail/591b383982ec392dc12df06a?track_id=kolMatch_46fe864742064ddbb1a659210da654ae&amp;source=Advertiser_Kol</t>
        </is>
      </c>
      <c r="G194" s="19" t="inlineStr">
        <is>
          <t>https://www.xiaohongshu.com/user/profile/591b383982ec392dc12df06a</t>
        </is>
      </c>
      <c r="H194" s="118" t="n">
        <v>265621777</v>
      </c>
      <c r="I194" s="18" t="inlineStr">
        <is>
          <t>家居家装</t>
        </is>
      </c>
      <c r="J194" s="18" t="n"/>
      <c r="K194" s="18" t="n"/>
      <c r="L194" s="18" t="inlineStr">
        <is>
          <t>肩部</t>
        </is>
      </c>
      <c r="M194" s="18" t="n">
        <v>38</v>
      </c>
      <c r="N194" s="18" t="n">
        <v>200</v>
      </c>
      <c r="O194" s="22" t="n">
        <v>29800</v>
      </c>
      <c r="P194" s="18">
        <f>O194*1.1</f>
        <v/>
      </c>
      <c r="Q194" s="20">
        <f>P194/Z194</f>
        <v/>
      </c>
      <c r="R194" s="20">
        <f>P194/AA194</f>
        <v/>
      </c>
      <c r="S194" s="18" t="inlineStr">
        <is>
          <t>视频</t>
        </is>
      </c>
      <c r="T194" s="21" t="n">
        <v>0.95</v>
      </c>
      <c r="U194" s="21" t="n">
        <v>0.2</v>
      </c>
      <c r="V194" s="21" t="n">
        <v>0.49</v>
      </c>
      <c r="W194" s="21" t="n">
        <v>0.17</v>
      </c>
      <c r="X194" s="21" t="n">
        <v>0.55</v>
      </c>
      <c r="Y194" s="21" t="n">
        <v>0.16</v>
      </c>
      <c r="Z194" s="22" t="n">
        <v>36090</v>
      </c>
      <c r="AA194" s="18" t="n">
        <v>973</v>
      </c>
    </row>
    <row r="195" ht="19" customHeight="1" s="151">
      <c r="C195" s="18" t="inlineStr">
        <is>
          <t>品牌</t>
        </is>
      </c>
      <c r="D195" s="19" t="inlineStr">
        <is>
          <t>极简改造风 智能化 互动高</t>
        </is>
      </c>
      <c r="E195" s="7" t="inlineStr">
        <is>
          <t>方盒子Cube</t>
        </is>
      </c>
      <c r="F195" s="7" t="inlineStr">
        <is>
          <t>https://pgy.xiaohongshu.com/solar/pre-trade/blogger-detail/5c73e09c000000001000f675?track_id=kolMatch_46fe864742064ddbb1a659210da654ae&amp;source=Advertiser_Kol</t>
        </is>
      </c>
      <c r="G195" s="19" t="inlineStr">
        <is>
          <t>https://www.xiaohongshu.com/user/profile/5c73e09c000000001000f675</t>
        </is>
      </c>
      <c r="H195" s="118" t="inlineStr">
        <is>
          <t>fanghezi666</t>
        </is>
      </c>
      <c r="I195" s="18" t="inlineStr">
        <is>
          <t>家居家装</t>
        </is>
      </c>
      <c r="J195" s="18" t="n"/>
      <c r="K195" s="18" t="n"/>
      <c r="L195" s="18" t="inlineStr">
        <is>
          <t>腰部</t>
        </is>
      </c>
      <c r="M195" s="18" t="n">
        <v>17.4</v>
      </c>
      <c r="N195" s="18" t="n">
        <v>152</v>
      </c>
      <c r="O195" s="18" t="n">
        <v>41800</v>
      </c>
      <c r="P195" s="18">
        <f>O195*1.1</f>
        <v/>
      </c>
      <c r="Q195" s="20">
        <f>P195/Z195</f>
        <v/>
      </c>
      <c r="R195" s="20">
        <f>P195/AA195</f>
        <v/>
      </c>
      <c r="S195" s="18" t="inlineStr">
        <is>
          <t>视频</t>
        </is>
      </c>
      <c r="T195" s="21" t="n">
        <v>0.75</v>
      </c>
      <c r="U195" s="21" t="n">
        <v>0.18</v>
      </c>
      <c r="V195" s="21" t="n">
        <v>0.39</v>
      </c>
      <c r="W195" s="21" t="n">
        <v>0.25</v>
      </c>
      <c r="X195" s="21" t="n">
        <v>0.53</v>
      </c>
      <c r="Y195" s="21" t="n">
        <v>0.13</v>
      </c>
      <c r="Z195" s="22" t="n">
        <v>61417</v>
      </c>
      <c r="AA195" s="22" t="n">
        <v>8904</v>
      </c>
    </row>
    <row r="196" ht="19" customHeight="1" s="151">
      <c r="C196" s="18" t="inlineStr">
        <is>
          <t>品牌</t>
        </is>
      </c>
      <c r="D196" s="19" t="inlineStr">
        <is>
          <t xml:space="preserve">场景化很不错 </t>
        </is>
      </c>
      <c r="E196" s="7" t="inlineStr">
        <is>
          <t>左米格（软装中）</t>
        </is>
      </c>
      <c r="F196" s="7" t="inlineStr">
        <is>
          <t>https://pgy.xiaohongshu.com/solar/pre-trade/blogger-detail/672b1c1f000000001d02f480?track_id=kolMatch_bb78f6a8c2f84a72afebd917afab609b&amp;source=Advertiser_Kol</t>
        </is>
      </c>
      <c r="G196" s="19" t="inlineStr">
        <is>
          <t>https://www.xiaohongshu.com/user/profile/672b1c1f000000001d02f480</t>
        </is>
      </c>
      <c r="H196" s="118" t="n">
        <v>95479669803</v>
      </c>
      <c r="I196" s="18" t="inlineStr">
        <is>
          <t>家居家装</t>
        </is>
      </c>
      <c r="J196" s="18" t="n"/>
      <c r="K196" s="18" t="n"/>
      <c r="L196" s="18" t="inlineStr">
        <is>
          <t>腰部</t>
        </is>
      </c>
      <c r="M196" s="18" t="n">
        <v>10.3</v>
      </c>
      <c r="N196" s="18" t="n">
        <v>109</v>
      </c>
      <c r="O196" s="18" t="n">
        <v>8900</v>
      </c>
      <c r="P196" s="18">
        <f>O196*1.1</f>
        <v/>
      </c>
      <c r="Q196" s="20">
        <f>P196/Z196</f>
        <v/>
      </c>
      <c r="R196" s="20">
        <f>P196/AA196</f>
        <v/>
      </c>
      <c r="S196" s="18" t="inlineStr">
        <is>
          <t>视频</t>
        </is>
      </c>
      <c r="T196" s="21" t="n">
        <v>0.79</v>
      </c>
      <c r="U196" s="21" t="n">
        <v>0.06</v>
      </c>
      <c r="V196" s="21" t="n">
        <v>0.23</v>
      </c>
      <c r="W196" s="21" t="n">
        <v>0.32</v>
      </c>
      <c r="X196" s="21" t="n">
        <v>0.27</v>
      </c>
      <c r="Y196" s="21" t="n">
        <v>0.25</v>
      </c>
      <c r="Z196" s="22" t="n">
        <v>14053</v>
      </c>
      <c r="AA196" s="18" t="n">
        <v>1698</v>
      </c>
    </row>
    <row r="197" ht="19" customHeight="1" s="151">
      <c r="C197" s="18" t="inlineStr">
        <is>
          <t>品牌</t>
        </is>
      </c>
      <c r="D197" s="19" t="inlineStr">
        <is>
          <t>测评博主，数据不错</t>
        </is>
      </c>
      <c r="E197" s="7" t="inlineStr">
        <is>
          <t>装修脑洞菌</t>
        </is>
      </c>
      <c r="F197" s="7" t="inlineStr">
        <is>
          <t>https://pgy.xiaohongshu.com/solar/pre-trade/blogger-detail/5f92de7e000000000101e7fe?track_id=kolMatch_bb78f6a8c2f84a72afebd917afab609b&amp;source=Advertiser_Kol</t>
        </is>
      </c>
      <c r="G197" s="19" t="inlineStr">
        <is>
          <t>https://www.xiaohongshu.com/user/profile/5f92de7e000000000101e7fe</t>
        </is>
      </c>
      <c r="H197" s="118" t="n">
        <v>1021566562</v>
      </c>
      <c r="I197" s="18" t="inlineStr">
        <is>
          <t>家居家装</t>
        </is>
      </c>
      <c r="J197" s="18" t="n"/>
      <c r="K197" s="18" t="n"/>
      <c r="L197" s="18" t="inlineStr">
        <is>
          <t>腰部</t>
        </is>
      </c>
      <c r="M197" s="18" t="n">
        <v>21.8</v>
      </c>
      <c r="N197" s="18" t="n">
        <v>338</v>
      </c>
      <c r="O197" s="18" t="n">
        <v>24000</v>
      </c>
      <c r="P197" s="18">
        <f>O197*1.1</f>
        <v/>
      </c>
      <c r="Q197" s="20">
        <f>P197/Z197</f>
        <v/>
      </c>
      <c r="R197" s="20">
        <f>P197/AA197</f>
        <v/>
      </c>
      <c r="S197" s="18" t="inlineStr">
        <is>
          <t>视频</t>
        </is>
      </c>
      <c r="T197" s="21" t="n">
        <v>0.83</v>
      </c>
      <c r="U197" s="21" t="n">
        <v>0.14</v>
      </c>
      <c r="V197" s="21" t="n">
        <v>0.49</v>
      </c>
      <c r="W197" s="21" t="n">
        <v>0.23</v>
      </c>
      <c r="X197" s="21" t="n">
        <v>0.55</v>
      </c>
      <c r="Y197" s="21" t="n">
        <v>0.16</v>
      </c>
      <c r="Z197" s="22" t="n">
        <v>86463</v>
      </c>
      <c r="AA197" s="18" t="n">
        <v>5254</v>
      </c>
    </row>
    <row r="198" ht="19" customHeight="1" s="151">
      <c r="C198" s="18" t="inlineStr">
        <is>
          <t>品牌</t>
        </is>
      </c>
      <c r="D198" s="19" t="inlineStr">
        <is>
          <t>家居改造博主，擅分享</t>
        </is>
      </c>
      <c r="E198" s="7" t="inlineStr">
        <is>
          <t>叶梅梅过家家</t>
        </is>
      </c>
      <c r="F198" s="7" t="inlineStr">
        <is>
          <t>https://pgy.xiaohongshu.com/solar/pre-trade/blogger-detail/5ade03f34eacab2ecdbedb82?track_id=kolMatch_abc92dfd537549259c52ff8cd9edfb4b&amp;source=Advertiser_Kol</t>
        </is>
      </c>
      <c r="G198" s="19" t="inlineStr">
        <is>
          <t>https://www.xiaohongshu.com/user/profile/5ade03f34eacab2ecdbedb82</t>
        </is>
      </c>
      <c r="H198" s="118" t="n">
        <v>279448318</v>
      </c>
      <c r="I198" s="18" t="inlineStr">
        <is>
          <t>家居家装</t>
        </is>
      </c>
      <c r="J198" s="18" t="n"/>
      <c r="K198" s="18" t="n"/>
      <c r="L198" s="18" t="inlineStr">
        <is>
          <t>腰部</t>
        </is>
      </c>
      <c r="M198" s="18" t="n">
        <v>18.6</v>
      </c>
      <c r="N198" s="18" t="n">
        <v>172</v>
      </c>
      <c r="O198" s="18" t="n">
        <v>36000</v>
      </c>
      <c r="P198" s="18">
        <f>O198*1.1</f>
        <v/>
      </c>
      <c r="Q198" s="20">
        <f>P198/Z198</f>
        <v/>
      </c>
      <c r="R198" s="20">
        <f>P198/AA198</f>
        <v/>
      </c>
      <c r="S198" s="18" t="inlineStr">
        <is>
          <t>视频</t>
        </is>
      </c>
      <c r="T198" s="21" t="n">
        <v>0.82</v>
      </c>
      <c r="U198" s="21" t="n">
        <v>0.17</v>
      </c>
      <c r="V198" s="21" t="n">
        <v>0.38</v>
      </c>
      <c r="W198" s="21" t="n">
        <v>0.27</v>
      </c>
      <c r="X198" s="21" t="n">
        <v>0.45</v>
      </c>
      <c r="Y198" s="21" t="n">
        <v>0.18</v>
      </c>
      <c r="Z198" s="22" t="n">
        <v>46277</v>
      </c>
      <c r="AA198" s="18" t="n">
        <v>1490</v>
      </c>
    </row>
    <row r="199" ht="19" customHeight="1" s="151">
      <c r="C199" s="18" t="inlineStr">
        <is>
          <t>品牌</t>
        </is>
      </c>
      <c r="D199" s="19" t="inlineStr">
        <is>
          <t xml:space="preserve">带过方太，有厨房场景 </t>
        </is>
      </c>
      <c r="E199" s="7" t="inlineStr">
        <is>
          <t>小轩太太</t>
        </is>
      </c>
      <c r="F199" s="7" t="inlineStr">
        <is>
          <t>https://pgy.xiaohongshu.com/solar/pre-trade/blogger-detail/5b324990e8ac2b476dc5f459?track_id=kolMatch_abc92dfd537549259c52ff8cd9edfb4b&amp;source=Advertiser_Kol</t>
        </is>
      </c>
      <c r="G199" s="19" t="inlineStr">
        <is>
          <t>https://www.xiaohongshu.com/user/profile/5b324990e8ac2b476dc5f459</t>
        </is>
      </c>
      <c r="H199" s="118" t="n">
        <v>119084904</v>
      </c>
      <c r="I199" s="18" t="inlineStr">
        <is>
          <t>家居家装</t>
        </is>
      </c>
      <c r="J199" s="18" t="n"/>
      <c r="K199" s="18" t="n"/>
      <c r="L199" s="18" t="inlineStr">
        <is>
          <t>肩部</t>
        </is>
      </c>
      <c r="M199" s="18" t="n">
        <v>32.4</v>
      </c>
      <c r="N199" s="18" t="n">
        <v>858</v>
      </c>
      <c r="O199" s="18" t="n">
        <v>35000</v>
      </c>
      <c r="P199" s="18">
        <f>O199*1.1</f>
        <v/>
      </c>
      <c r="Q199" s="20">
        <f>P199/Z199</f>
        <v/>
      </c>
      <c r="R199" s="20">
        <f>P199/AA199</f>
        <v/>
      </c>
      <c r="S199" s="18" t="inlineStr">
        <is>
          <t>视频</t>
        </is>
      </c>
      <c r="T199" s="21" t="n">
        <v>0.87</v>
      </c>
      <c r="U199" s="21" t="n">
        <v>0.14</v>
      </c>
      <c r="V199" s="21" t="n">
        <v>0.49</v>
      </c>
      <c r="W199" s="21" t="n">
        <v>0.23</v>
      </c>
      <c r="X199" s="21" t="n">
        <v>0.5</v>
      </c>
      <c r="Y199" s="21" t="n">
        <v>0.18</v>
      </c>
      <c r="Z199" s="22" t="n">
        <v>58300</v>
      </c>
      <c r="AA199" s="18" t="n">
        <v>5985</v>
      </c>
    </row>
    <row r="200" ht="19" customHeight="1" s="151">
      <c r="C200" s="18" t="inlineStr">
        <is>
          <t>品牌</t>
        </is>
      </c>
      <c r="D200" s="19" t="inlineStr">
        <is>
          <t>丁克夫妻 ，高质生活质量场景</t>
        </is>
      </c>
      <c r="E200" s="7" t="inlineStr">
        <is>
          <t>金牛座张太太</t>
        </is>
      </c>
      <c r="F200" s="7" t="inlineStr">
        <is>
          <t>https://pgy.xiaohongshu.com/solar/pre-trade/blogger-detail/5fae8b090000000001003092?track_id=kolMatch_1bf7af07d3cc4d45b6e9959981f2ccf8&amp;source=Advertiser_Kol</t>
        </is>
      </c>
      <c r="G200" s="19" t="inlineStr">
        <is>
          <t>https://www.xiaohongshu.com/user/profile/5fae8b090000000001003092</t>
        </is>
      </c>
      <c r="H200" s="118" t="n">
        <v>1089132100</v>
      </c>
      <c r="I200" s="18" t="inlineStr">
        <is>
          <t>家居家装</t>
        </is>
      </c>
      <c r="J200" s="18" t="n"/>
      <c r="K200" s="18" t="n"/>
      <c r="L200" s="18" t="inlineStr">
        <is>
          <t>腰部</t>
        </is>
      </c>
      <c r="M200" s="18" t="n">
        <v>13.3</v>
      </c>
      <c r="N200" s="18" t="n">
        <v>97</v>
      </c>
      <c r="O200" s="18" t="n">
        <v>33000</v>
      </c>
      <c r="P200" s="18">
        <f>O200*1.1</f>
        <v/>
      </c>
      <c r="Q200" s="20">
        <f>P200/Z200</f>
        <v/>
      </c>
      <c r="R200" s="20">
        <f>P200/AA200</f>
        <v/>
      </c>
      <c r="S200" s="18" t="inlineStr">
        <is>
          <t>视频</t>
        </is>
      </c>
      <c r="T200" s="21" t="n">
        <v>0.8</v>
      </c>
      <c r="U200" s="21" t="n">
        <v>0.05</v>
      </c>
      <c r="V200" s="21" t="n">
        <v>0.34</v>
      </c>
      <c r="W200" s="21" t="n">
        <v>0.42</v>
      </c>
      <c r="X200" s="21" t="n">
        <v>0.64</v>
      </c>
      <c r="Y200" s="21" t="n">
        <v>0.16</v>
      </c>
      <c r="Z200" s="22" t="n">
        <v>14257</v>
      </c>
      <c r="AA200" s="18" t="n">
        <v>1473</v>
      </c>
    </row>
    <row r="201" ht="19" customHeight="1" s="151">
      <c r="C201" s="18" t="inlineStr">
        <is>
          <t>品牌</t>
        </is>
      </c>
      <c r="D201" s="19" t="inlineStr">
        <is>
          <t>极简厨房场景 爆文多</t>
        </is>
      </c>
      <c r="E201" s="7" t="inlineStr">
        <is>
          <t>火火聊家居</t>
        </is>
      </c>
      <c r="F201" s="7" t="inlineStr">
        <is>
          <t>https://pgy.xiaohongshu.com/solar/pre-trade/blogger-detail/5b86542a331e3000017cd7e1?track_id=kolMatch_fd5dc0b254194ddf9981ca4308ccea75&amp;source=Advertiser_Kol</t>
        </is>
      </c>
      <c r="G201" s="19" t="inlineStr">
        <is>
          <t>https://www.xiaohongshu.com/user/profile/5b86542a331e3000017cd7e1</t>
        </is>
      </c>
      <c r="H201" s="118" t="n">
        <v>411597539</v>
      </c>
      <c r="I201" s="18" t="inlineStr">
        <is>
          <t>家居家装</t>
        </is>
      </c>
      <c r="J201" s="18" t="n"/>
      <c r="K201" s="18" t="n"/>
      <c r="L201" s="18" t="inlineStr">
        <is>
          <t>肩部</t>
        </is>
      </c>
      <c r="M201" s="18" t="n">
        <v>31.9</v>
      </c>
      <c r="N201" s="18" t="n">
        <v>360</v>
      </c>
      <c r="O201" s="18" t="n">
        <v>35000</v>
      </c>
      <c r="P201" s="18">
        <f>O201*1.1</f>
        <v/>
      </c>
      <c r="Q201" s="20">
        <f>P201/Z201</f>
        <v/>
      </c>
      <c r="R201" s="20">
        <f>P201/AA201</f>
        <v/>
      </c>
      <c r="S201" s="18" t="inlineStr">
        <is>
          <t>视频</t>
        </is>
      </c>
      <c r="T201" s="21" t="n">
        <v>0.84</v>
      </c>
      <c r="U201" s="21" t="n">
        <v>0.07000000000000001</v>
      </c>
      <c r="V201" s="21" t="n">
        <v>0.37</v>
      </c>
      <c r="W201" s="21" t="n">
        <v>0.39</v>
      </c>
      <c r="X201" s="21" t="n">
        <v>0.52</v>
      </c>
      <c r="Y201" s="21" t="n">
        <v>0.21</v>
      </c>
      <c r="Z201" s="22" t="n">
        <v>38212</v>
      </c>
      <c r="AA201" s="18" t="n">
        <v>5919</v>
      </c>
    </row>
    <row r="202" ht="19" customHeight="1" s="151">
      <c r="C202" s="18" t="inlineStr">
        <is>
          <t>品牌</t>
        </is>
      </c>
      <c r="D202" s="19" t="inlineStr">
        <is>
          <t>测评博主，互动不错</t>
        </is>
      </c>
      <c r="E202" s="7" t="inlineStr">
        <is>
          <t>kk家居生活</t>
        </is>
      </c>
      <c r="F202" s="7" t="inlineStr">
        <is>
          <t>https://pgy.xiaohongshu.com/solar/pre-trade/blogger-detail/564e8034a40e18356b5bcf61?track_id=kolMatch_fe3e470d0e4a4b6a98af341fddff6c66&amp;source=Advertiser_Kol</t>
        </is>
      </c>
      <c r="G202" s="19" t="inlineStr">
        <is>
          <t>https://www.xiaohongshu.com/user/profile/564e8034a40e18356b5bcf61</t>
        </is>
      </c>
      <c r="H202" s="118" t="inlineStr">
        <is>
          <t>kkkk8866</t>
        </is>
      </c>
      <c r="I202" s="18" t="inlineStr">
        <is>
          <t>家居家装</t>
        </is>
      </c>
      <c r="J202" s="18" t="n"/>
      <c r="K202" s="18" t="n"/>
      <c r="L202" s="18" t="inlineStr">
        <is>
          <t>腰部</t>
        </is>
      </c>
      <c r="M202" s="18" t="n">
        <v>11.3</v>
      </c>
      <c r="N202" s="18" t="n">
        <v>79</v>
      </c>
      <c r="O202" s="18" t="n">
        <v>15000</v>
      </c>
      <c r="P202" s="18">
        <f>O202*1.1</f>
        <v/>
      </c>
      <c r="Q202" s="20">
        <f>P202/Z202</f>
        <v/>
      </c>
      <c r="R202" s="20">
        <f>P202/AA202</f>
        <v/>
      </c>
      <c r="S202" s="18" t="inlineStr">
        <is>
          <t>视频</t>
        </is>
      </c>
      <c r="T202" s="21" t="n">
        <v>0.84</v>
      </c>
      <c r="U202" s="21" t="n">
        <v>0.03</v>
      </c>
      <c r="V202" s="21" t="n">
        <v>0.25</v>
      </c>
      <c r="W202" s="21" t="n">
        <v>0.41</v>
      </c>
      <c r="X202" s="21" t="n">
        <v>0.41</v>
      </c>
      <c r="Y202" s="21" t="n">
        <v>0.25</v>
      </c>
      <c r="Z202" s="22" t="n">
        <v>32985</v>
      </c>
      <c r="AA202" s="18" t="n">
        <v>2602</v>
      </c>
    </row>
    <row r="203" ht="19" customHeight="1" s="151">
      <c r="A203" s="7" t="inlineStr">
        <is>
          <t>2026/3/11提报刘云</t>
        </is>
      </c>
      <c r="C203" s="32" t="n"/>
      <c r="D203" s="19" t="n"/>
      <c r="E203" s="18" t="n"/>
      <c r="F203" s="7" t="n"/>
      <c r="G203" s="19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>
        <f>O203*1.1</f>
        <v/>
      </c>
      <c r="Q203" s="20">
        <f>P203/Z203</f>
        <v/>
      </c>
      <c r="R203" s="20">
        <f>P203/AA203</f>
        <v/>
      </c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</row>
    <row r="204" ht="19" customHeight="1" s="151">
      <c r="C204" s="18" t="inlineStr">
        <is>
          <t>品牌</t>
        </is>
      </c>
      <c r="D204" s="19" t="inlineStr">
        <is>
          <t>家居男博主，生活比较日常，活人感强</t>
        </is>
      </c>
      <c r="E204" s="18" t="inlineStr">
        <is>
          <t>Henry陈现一</t>
        </is>
      </c>
      <c r="F204" s="7" t="inlineStr">
        <is>
          <t>https://pgy.xiaohongshu.com/solar/pre-trade/blogger-detail/5c08b651000000000700f4e0?track_id=kolMatch_eec1ca0761ff446ab53583a2fdb0e4b0&amp;source=Advertiser_Kol</t>
        </is>
      </c>
      <c r="G204" s="19" t="inlineStr">
        <is>
          <t>https://www.xiaohongshu.com/user/profile/5c08b651000000000700f4e0</t>
        </is>
      </c>
      <c r="H204" s="18" t="inlineStr">
        <is>
          <t xml:space="preserve"> cxy1799</t>
        </is>
      </c>
      <c r="I204" s="18" t="inlineStr">
        <is>
          <t>家居家装</t>
        </is>
      </c>
      <c r="J204" s="18" t="n"/>
      <c r="K204" s="18" t="n"/>
      <c r="L204" s="18" t="inlineStr">
        <is>
          <t>腰部</t>
        </is>
      </c>
      <c r="M204" s="18" t="n">
        <v>15</v>
      </c>
      <c r="N204" s="18" t="n">
        <v>41</v>
      </c>
      <c r="O204" s="18" t="n">
        <v>25000</v>
      </c>
      <c r="P204" s="18">
        <f>O204*1.1</f>
        <v/>
      </c>
      <c r="Q204" s="20">
        <f>P204/Z204</f>
        <v/>
      </c>
      <c r="R204" s="20">
        <f>P204/AA204</f>
        <v/>
      </c>
      <c r="S204" s="18" t="inlineStr">
        <is>
          <t>视频</t>
        </is>
      </c>
      <c r="T204" s="21" t="n">
        <v>0.83</v>
      </c>
      <c r="U204" s="21" t="n">
        <v>0.08</v>
      </c>
      <c r="V204" s="21" t="n">
        <v>0.36</v>
      </c>
      <c r="W204" s="21" t="n">
        <v>0.32</v>
      </c>
      <c r="X204" s="21" t="n">
        <v>0.49</v>
      </c>
      <c r="Y204" s="21" t="n">
        <v>0.22</v>
      </c>
      <c r="Z204" s="22" t="n">
        <v>78185</v>
      </c>
      <c r="AA204" s="18" t="n">
        <v>2059</v>
      </c>
    </row>
    <row r="205" ht="19" customHeight="1" s="151">
      <c r="C205" s="18" t="inlineStr">
        <is>
          <t>品牌</t>
        </is>
      </c>
      <c r="D205" s="19" t="inlineStr">
        <is>
          <t>30岁装了2套房，日常家电广告多</t>
        </is>
      </c>
      <c r="E205" s="18" t="inlineStr">
        <is>
          <t>耶萌</t>
        </is>
      </c>
      <c r="F205" s="7" t="inlineStr">
        <is>
          <t>https://pgy.xiaohongshu.com/solar/pre-trade/blogger-detail/590043de50c4b428effa91e0?track_id=kolMatch_7b7c2b3b4757440c87675823077c032c&amp;source=Advertiser_Kol</t>
        </is>
      </c>
      <c r="G205" s="19" t="inlineStr">
        <is>
          <t>https://www.xiaohongshu.com/user/profile/590043de50c4b428effa91e0</t>
        </is>
      </c>
      <c r="H205" s="18" t="n">
        <v>116500971</v>
      </c>
      <c r="I205" s="18" t="inlineStr">
        <is>
          <t>家居家装</t>
        </is>
      </c>
      <c r="J205" s="18" t="n"/>
      <c r="K205" s="18" t="n"/>
      <c r="L205" s="18" t="inlineStr">
        <is>
          <t>腰部</t>
        </is>
      </c>
      <c r="M205" s="18" t="n">
        <v>18</v>
      </c>
      <c r="N205" s="18" t="n">
        <v>278</v>
      </c>
      <c r="O205" s="18" t="n">
        <v>26800</v>
      </c>
      <c r="P205" s="18">
        <f>O205*1.1</f>
        <v/>
      </c>
      <c r="Q205" s="20">
        <f>P205/Z205</f>
        <v/>
      </c>
      <c r="R205" s="20">
        <f>P205/AA205</f>
        <v/>
      </c>
      <c r="S205" s="18" t="inlineStr">
        <is>
          <t>视频</t>
        </is>
      </c>
      <c r="T205" s="21" t="n">
        <v>0.78</v>
      </c>
      <c r="U205" s="21" t="n">
        <v>0.13</v>
      </c>
      <c r="V205" s="21" t="n">
        <v>0.46</v>
      </c>
      <c r="W205" s="21" t="n">
        <v>0.28</v>
      </c>
      <c r="X205" s="21" t="n">
        <v>0.59</v>
      </c>
      <c r="Y205" s="21" t="n">
        <v>0.17</v>
      </c>
      <c r="Z205" s="22" t="n">
        <v>15944</v>
      </c>
      <c r="AA205" s="18" t="n">
        <v>2014</v>
      </c>
    </row>
    <row r="206" ht="19" customHeight="1" s="151">
      <c r="C206" s="18" t="inlineStr">
        <is>
          <t>品牌</t>
        </is>
      </c>
      <c r="D206" s="19" t="inlineStr">
        <is>
          <t>我有四个姐帐号的弟媳，多娃家庭以做饭为主</t>
        </is>
      </c>
      <c r="E206" s="18" t="inlineStr">
        <is>
          <t>弟媳吖</t>
        </is>
      </c>
      <c r="F206" s="19" t="inlineStr">
        <is>
          <t>https://pgy.xiaohongshu.com/solar/pre-trade/blogger-detail/56a4b5f61c07df3347b9fb83?track_id=kolSimilar_ac63ea3e75e040bf9bb3d28ef1decef5&amp;source=Advertiser_Similar_Kol</t>
        </is>
      </c>
      <c r="G206" s="19" t="inlineStr">
        <is>
          <t>https://www.xiaohongshu.com/user/profile/56a4b5f61c07df3347b9fb83</t>
        </is>
      </c>
      <c r="H206" s="18" t="inlineStr">
        <is>
          <t xml:space="preserve"> ZDXJ201255</t>
        </is>
      </c>
      <c r="I206" s="18" t="inlineStr">
        <is>
          <t>母婴</t>
        </is>
      </c>
      <c r="J206" s="18" t="inlineStr">
        <is>
          <t>尾部</t>
        </is>
      </c>
      <c r="K206" s="18" t="n"/>
      <c r="L206" s="18" t="inlineStr">
        <is>
          <t>腰部</t>
        </is>
      </c>
      <c r="M206" s="18" t="n">
        <v>4</v>
      </c>
      <c r="N206" s="18" t="n">
        <v>66</v>
      </c>
      <c r="O206" s="18" t="n">
        <v>25000</v>
      </c>
      <c r="P206" s="18">
        <f>O206*1.1</f>
        <v/>
      </c>
      <c r="Q206" s="20">
        <f>P206/Z206</f>
        <v/>
      </c>
      <c r="R206" s="20">
        <f>P206/AA206</f>
        <v/>
      </c>
      <c r="S206" s="18" t="inlineStr">
        <is>
          <t>视频</t>
        </is>
      </c>
      <c r="T206" s="35" t="n">
        <v>0.95</v>
      </c>
      <c r="U206" s="35" t="n">
        <v>0.18</v>
      </c>
      <c r="V206" s="35" t="n">
        <v>0.38</v>
      </c>
      <c r="W206" s="35" t="n">
        <v>0.29</v>
      </c>
      <c r="X206" s="35" t="n">
        <v>0.49</v>
      </c>
      <c r="Y206" s="35" t="n">
        <v>0.17</v>
      </c>
      <c r="Z206" s="22" t="n">
        <v>187909</v>
      </c>
      <c r="AA206" s="18" t="n">
        <v>4867</v>
      </c>
    </row>
    <row r="207" ht="19" customHeight="1" s="151">
      <c r="C207" s="18" t="inlineStr">
        <is>
          <t>品牌</t>
        </is>
      </c>
      <c r="D207" s="19" t="inlineStr">
        <is>
          <t>东北地区，爱做饭和打扫卫生，与品牌调性匹配</t>
        </is>
      </c>
      <c r="E207" s="18" t="inlineStr">
        <is>
          <t>东北男保洁</t>
        </is>
      </c>
      <c r="F207" s="19" t="inlineStr">
        <is>
          <t>https://pgy.xiaohongshu.com/solar/pre-trade/blogger-detail/647c3958000000000f0061aa?track_id=kolSimilar_3f22f5cf5ff1495cbda860b05232bf56&amp;source=Advertiser_Similar_Kol</t>
        </is>
      </c>
      <c r="G207" s="19" t="inlineStr">
        <is>
          <t>https://www.xiaohongshu.com/user/profile/647c3958000000000f0061aa</t>
        </is>
      </c>
      <c r="H207" s="19" t="n">
        <v>8971663370</v>
      </c>
      <c r="I207" s="18" t="inlineStr">
        <is>
          <t>生活记录、母婴</t>
        </is>
      </c>
      <c r="J207" s="18" t="inlineStr">
        <is>
          <t>腰部</t>
        </is>
      </c>
      <c r="K207" s="18" t="n">
        <v>21</v>
      </c>
      <c r="L207" s="18" t="inlineStr">
        <is>
          <t>腰部</t>
        </is>
      </c>
      <c r="M207" s="18" t="n">
        <v>21</v>
      </c>
      <c r="N207" s="153" t="n">
        <v>391</v>
      </c>
      <c r="O207" s="18" t="n">
        <v>40000</v>
      </c>
      <c r="P207" s="18">
        <f>O207*1.1</f>
        <v/>
      </c>
      <c r="Q207" s="20">
        <f>P207/Z207</f>
        <v/>
      </c>
      <c r="R207" s="20">
        <f>P207/AA207</f>
        <v/>
      </c>
      <c r="S207" s="18" t="inlineStr">
        <is>
          <t>视频</t>
        </is>
      </c>
      <c r="T207" s="35" t="n">
        <v>0.9399999999999999</v>
      </c>
      <c r="U207" s="35" t="n">
        <v>0.35</v>
      </c>
      <c r="V207" s="35" t="n">
        <v>0.5</v>
      </c>
      <c r="W207" s="35" t="n">
        <v>0.095</v>
      </c>
      <c r="X207" s="35" t="n">
        <v>0.52</v>
      </c>
      <c r="Y207" s="35" t="n">
        <v>0.15</v>
      </c>
      <c r="Z207" s="22" t="n">
        <v>134305</v>
      </c>
      <c r="AA207" s="18" t="n">
        <v>5300</v>
      </c>
    </row>
    <row r="208" ht="19" customHeight="1" s="151">
      <c r="C208" s="18" t="inlineStr">
        <is>
          <t>品牌</t>
        </is>
      </c>
      <c r="D208" s="19" t="inlineStr">
        <is>
          <t>家居博主，爱烟火气，风格比较合适</t>
        </is>
      </c>
      <c r="E208" s="18" t="inlineStr">
        <is>
          <t>退休少女栗栗七</t>
        </is>
      </c>
      <c r="F208" s="19" t="inlineStr">
        <is>
          <t>https://pgy.xiaohongshu.com/solar/pre-trade/blogger-detail/552a0b759c5a6e4dc7df52a2?track_id=kolGeneralSearch_00c311a775f94615b3fbfb609028c7b3&amp;source=Advertiser_Kol</t>
        </is>
      </c>
      <c r="G208" s="19" t="inlineStr">
        <is>
          <t xml:space="preserve"> https://www.xiaohongshu.com/user/profile/552a0b759c5a6e4dc7df52a2</t>
        </is>
      </c>
      <c r="H208" s="19" t="inlineStr">
        <is>
          <t xml:space="preserve"> 
StellaMJMJ</t>
        </is>
      </c>
      <c r="I208" s="18" t="inlineStr">
        <is>
          <t>家居家装</t>
        </is>
      </c>
      <c r="J208" s="18" t="n"/>
      <c r="K208" s="18" t="n"/>
      <c r="L208" s="18" t="inlineStr">
        <is>
          <t>腰部</t>
        </is>
      </c>
      <c r="M208" s="18" t="n">
        <v>14.5</v>
      </c>
      <c r="N208" s="153" t="n">
        <v>220.9</v>
      </c>
      <c r="O208" s="18" t="n">
        <v>25000</v>
      </c>
      <c r="P208" s="18">
        <f>O208*1.1</f>
        <v/>
      </c>
      <c r="Q208" s="20">
        <f>P208/Z208</f>
        <v/>
      </c>
      <c r="R208" s="20">
        <f>P208/AA208</f>
        <v/>
      </c>
      <c r="S208" s="18" t="inlineStr">
        <is>
          <t>视频</t>
        </is>
      </c>
      <c r="T208" s="35" t="n">
        <v>0.866</v>
      </c>
      <c r="U208" s="35" t="n">
        <v>0.143</v>
      </c>
      <c r="V208" s="35" t="n">
        <v>0.341</v>
      </c>
      <c r="W208" s="35" t="n">
        <v>0.285</v>
      </c>
      <c r="X208" s="35" t="n">
        <v>0.394</v>
      </c>
      <c r="Y208" s="35" t="n">
        <v>0.213</v>
      </c>
      <c r="Z208" s="22" t="n">
        <v>14887</v>
      </c>
      <c r="AA208" s="18" t="n">
        <v>1974</v>
      </c>
    </row>
    <row r="209" ht="19" customHeight="1" s="151">
      <c r="C209" s="18" t="inlineStr">
        <is>
          <t>品牌</t>
        </is>
      </c>
      <c r="D209" s="19" t="inlineStr">
        <is>
          <t>日常做饭内容，需求量大，接地气</t>
        </is>
      </c>
      <c r="E209" s="18" t="inlineStr">
        <is>
          <t>小甜甜麻麻吖</t>
        </is>
      </c>
      <c r="F209" s="19" t="inlineStr">
        <is>
          <t>https://pgy.xiaohongshu.com/solar/pre-trade/blogger-detail/5d0da42c000000001200fce3?track_id=kolGeneralSearch_898220e5882741b39b65225f7342af41&amp;source=Advertiser_Kol</t>
        </is>
      </c>
      <c r="G209" s="19" t="inlineStr">
        <is>
          <t xml:space="preserve"> https://www.xiaohongshu.com/user/profile/5d0da42c000000001200fce3</t>
        </is>
      </c>
      <c r="H209" s="19" t="n">
        <v>583794222</v>
      </c>
      <c r="I209" s="18" t="inlineStr">
        <is>
          <t>家居家装</t>
        </is>
      </c>
      <c r="J209" s="18" t="n"/>
      <c r="K209" s="18" t="n"/>
      <c r="L209" s="18" t="inlineStr">
        <is>
          <t>腰部</t>
        </is>
      </c>
      <c r="M209" s="18" t="n">
        <v>23.5</v>
      </c>
      <c r="N209" s="153" t="n">
        <v>135.7</v>
      </c>
      <c r="O209" s="18" t="n">
        <v>11000</v>
      </c>
      <c r="P209" s="18">
        <f>O209*1.1</f>
        <v/>
      </c>
      <c r="Q209" s="20">
        <f>P209/Z209</f>
        <v/>
      </c>
      <c r="R209" s="20">
        <f>P209/AA209</f>
        <v/>
      </c>
      <c r="S209" s="18" t="inlineStr">
        <is>
          <t>视频</t>
        </is>
      </c>
      <c r="T209" s="35" t="n">
        <v>0.9399999999999999</v>
      </c>
      <c r="U209" s="35" t="n">
        <v>0.06</v>
      </c>
      <c r="V209" s="35" t="n">
        <v>0.361</v>
      </c>
      <c r="W209" s="35" t="n">
        <v>0.369</v>
      </c>
      <c r="X209" s="35" t="n">
        <v>0.379</v>
      </c>
      <c r="Y209" s="35" t="n">
        <v>0.212</v>
      </c>
      <c r="Z209" s="22" t="n">
        <v>40950</v>
      </c>
      <c r="AA209" s="18" t="n">
        <v>3845</v>
      </c>
    </row>
    <row r="210" ht="19" customHeight="1" s="151">
      <c r="C210" s="18" t="inlineStr">
        <is>
          <t>品牌</t>
        </is>
      </c>
      <c r="D210" s="19" t="inlineStr">
        <is>
          <t>婚前买房，精致生活日常，带有故事性</t>
        </is>
      </c>
      <c r="E210" s="18" t="inlineStr">
        <is>
          <t>有杯美式</t>
        </is>
      </c>
      <c r="F210" s="7" t="inlineStr">
        <is>
          <t>https://pgy.xiaohongshu.com/solar/pre-trade/blogger-detail/5e6c432b0000000001008fd0?track_id=kolMatch_7b7c2b3b4757440c87675823077c032c&amp;source=Advertiser_Kol</t>
        </is>
      </c>
      <c r="G210" s="19" t="inlineStr">
        <is>
          <t>https://www.xiaohongshu.com/user/profile/5e6c432b0000000001008fd0</t>
        </is>
      </c>
      <c r="H210" s="18" t="n">
        <v>900176256</v>
      </c>
      <c r="I210" s="18" t="inlineStr">
        <is>
          <t>家居家装</t>
        </is>
      </c>
      <c r="J210" s="18" t="n"/>
      <c r="K210" s="18" t="n"/>
      <c r="L210" s="18" t="inlineStr">
        <is>
          <t>腰部</t>
        </is>
      </c>
      <c r="M210" s="18" t="n">
        <v>47</v>
      </c>
      <c r="N210" s="18" t="n">
        <v>503</v>
      </c>
      <c r="O210" s="18" t="n">
        <v>42000</v>
      </c>
      <c r="P210" s="18">
        <f>O210*1.1</f>
        <v/>
      </c>
      <c r="Q210" s="20">
        <f>P210/Z210</f>
        <v/>
      </c>
      <c r="R210" s="20">
        <f>P210/AA210</f>
        <v/>
      </c>
      <c r="S210" s="18" t="inlineStr">
        <is>
          <t>视频</t>
        </is>
      </c>
      <c r="T210" s="21" t="n">
        <v>0.73</v>
      </c>
      <c r="U210" s="21" t="n">
        <v>0.22</v>
      </c>
      <c r="V210" s="21" t="n">
        <v>0.38</v>
      </c>
      <c r="W210" s="21" t="n">
        <v>0.23</v>
      </c>
      <c r="X210" s="21" t="n">
        <v>0.59</v>
      </c>
      <c r="Y210" s="21" t="n">
        <v>0.12</v>
      </c>
      <c r="Z210" s="22" t="n">
        <v>63739</v>
      </c>
      <c r="AA210" s="18" t="n">
        <v>2030</v>
      </c>
    </row>
    <row r="211" ht="19" customHeight="1" s="151">
      <c r="C211" s="18" t="inlineStr">
        <is>
          <t>品牌</t>
        </is>
      </c>
      <c r="D211" s="19" t="inlineStr">
        <is>
          <t>40平一室一厅小家，收纳很整洁</t>
        </is>
      </c>
      <c r="E211" s="18" t="inlineStr">
        <is>
          <t>就是6</t>
        </is>
      </c>
      <c r="F211" s="7" t="inlineStr">
        <is>
          <t>https://pgy.xiaohongshu.com/solar/pre-trade/blogger-detail/5ac03db2e8ac2b74a11fa261?track_id=kolMatch_7b7c2b3b4757440c87675823077c032c&amp;source=Advertiser_Kol</t>
        </is>
      </c>
      <c r="G211" s="19" t="inlineStr">
        <is>
          <t>https://www.xiaohongshu.com/user/profile/5ac03db2e8ac2b74a11fa261</t>
        </is>
      </c>
      <c r="H211" s="18" t="n">
        <v>187242780</v>
      </c>
      <c r="I211" s="18" t="inlineStr">
        <is>
          <t>家居家装</t>
        </is>
      </c>
      <c r="J211" s="18" t="n"/>
      <c r="K211" s="18" t="n"/>
      <c r="L211" s="18" t="inlineStr">
        <is>
          <t>腰部</t>
        </is>
      </c>
      <c r="M211" s="18" t="n">
        <v>42</v>
      </c>
      <c r="N211" s="18" t="n">
        <v>526</v>
      </c>
      <c r="O211" s="18" t="n">
        <v>45000</v>
      </c>
      <c r="P211" s="18">
        <f>O211*1.1</f>
        <v/>
      </c>
      <c r="Q211" s="20">
        <f>P211/Z211</f>
        <v/>
      </c>
      <c r="R211" s="20">
        <f>P211/AA211</f>
        <v/>
      </c>
      <c r="S211" s="18" t="inlineStr">
        <is>
          <t>视频</t>
        </is>
      </c>
      <c r="T211" s="21" t="n">
        <v>0.76</v>
      </c>
      <c r="U211" s="21" t="n">
        <v>0.15</v>
      </c>
      <c r="V211" s="21" t="n">
        <v>0.42</v>
      </c>
      <c r="W211" s="21" t="n">
        <v>0.28</v>
      </c>
      <c r="X211" s="21" t="n">
        <v>0.54</v>
      </c>
      <c r="Y211" s="21" t="n">
        <v>0.17</v>
      </c>
      <c r="Z211" s="22" t="n">
        <v>218890</v>
      </c>
      <c r="AA211" s="18" t="n">
        <v>11190</v>
      </c>
    </row>
    <row r="212" ht="19" customHeight="1" s="151">
      <c r="C212" s="18" t="inlineStr">
        <is>
          <t>品牌</t>
        </is>
      </c>
      <c r="D212" s="32" t="inlineStr">
        <is>
          <t>是探家居类博主，有不同的家居风格视频，也很好结合</t>
        </is>
      </c>
      <c r="E212" s="7" t="inlineStr">
        <is>
          <t>肥坚闲不住</t>
        </is>
      </c>
      <c r="F212" s="7" t="inlineStr">
        <is>
          <t>https://pgy.xiaohongshu.com/solar/pre-trade/blogger-detail/5c87b12a0000000011017ca9?track_id=kolMatch_5782abd733964a39adc92ed29b79704b&amp;source=Advertiser_Kol</t>
        </is>
      </c>
      <c r="G212" s="19" t="inlineStr">
        <is>
          <t>https://www.xiaohongshu.com/user/profile/5c87b12a0000000011017ca9</t>
        </is>
      </c>
      <c r="H212" s="18" t="n">
        <v>975157141</v>
      </c>
      <c r="I212" s="18" t="inlineStr">
        <is>
          <t>家居家装</t>
        </is>
      </c>
      <c r="J212" s="18" t="n"/>
      <c r="K212" s="18" t="n"/>
      <c r="L212" s="18" t="inlineStr">
        <is>
          <t>腰部</t>
        </is>
      </c>
      <c r="M212" s="18" t="n">
        <v>43</v>
      </c>
      <c r="N212" s="18" t="n">
        <v>367</v>
      </c>
      <c r="O212" s="18" t="n">
        <v>58000</v>
      </c>
      <c r="P212" s="18">
        <f>O212*1.1</f>
        <v/>
      </c>
      <c r="Q212" s="20">
        <f>P212/Z212</f>
        <v/>
      </c>
      <c r="R212" s="20">
        <f>P212/AA212</f>
        <v/>
      </c>
      <c r="S212" s="18" t="inlineStr">
        <is>
          <t>视频</t>
        </is>
      </c>
      <c r="T212" s="21" t="n">
        <v>0.79</v>
      </c>
      <c r="U212" s="21" t="n">
        <v>0.07000000000000001</v>
      </c>
      <c r="V212" s="21" t="n">
        <v>0.28</v>
      </c>
      <c r="W212" s="21" t="n">
        <v>0.39</v>
      </c>
      <c r="X212" s="21" t="n">
        <v>0.36</v>
      </c>
      <c r="Y212" s="21" t="n">
        <v>0.26</v>
      </c>
      <c r="Z212" s="22" t="n">
        <v>137326</v>
      </c>
      <c r="AA212" s="18" t="n">
        <v>13982</v>
      </c>
    </row>
    <row r="213" ht="19" customHeight="1" s="151">
      <c r="C213" s="18" t="inlineStr">
        <is>
          <t>品牌</t>
        </is>
      </c>
      <c r="D213" s="19" t="inlineStr">
        <is>
          <t>96平复古中古风，装修干货</t>
        </is>
      </c>
      <c r="E213" s="7" t="inlineStr">
        <is>
          <t>大笨熊</t>
        </is>
      </c>
      <c r="F213" s="7" t="inlineStr">
        <is>
          <t>https://pgy.xiaohongshu.com/solar/pre-trade/blogger-detail/5f07169800000000010045aa?track_id=kolMatch_0b41447102ef437a939ae61516ce945b&amp;source=Advertiser_Kol</t>
        </is>
      </c>
      <c r="G213" s="19" t="inlineStr">
        <is>
          <t>https://www.xiaohongshu.com/user/profile/5f07169800000000010045aa</t>
        </is>
      </c>
      <c r="H213" s="18" t="inlineStr">
        <is>
          <t xml:space="preserve"> aKing1988</t>
        </is>
      </c>
      <c r="I213" s="18" t="inlineStr">
        <is>
          <t>家居家装</t>
        </is>
      </c>
      <c r="J213" s="18" t="n"/>
      <c r="K213" s="18" t="n"/>
      <c r="L213" s="18" t="inlineStr">
        <is>
          <t>腰部</t>
        </is>
      </c>
      <c r="M213" s="18" t="n">
        <v>16</v>
      </c>
      <c r="N213" s="18" t="n">
        <v>236</v>
      </c>
      <c r="O213" s="18" t="n">
        <v>22000</v>
      </c>
      <c r="P213" s="18">
        <f>O213*1.1</f>
        <v/>
      </c>
      <c r="Q213" s="20">
        <f>P213/Z213</f>
        <v/>
      </c>
      <c r="R213" s="20">
        <f>P213/AA213</f>
        <v/>
      </c>
      <c r="S213" s="18" t="inlineStr">
        <is>
          <t>视频</t>
        </is>
      </c>
      <c r="T213" s="21" t="n">
        <v>0.73</v>
      </c>
      <c r="U213" s="21" t="n">
        <v>0.05</v>
      </c>
      <c r="V213" s="21" t="n">
        <v>0.45</v>
      </c>
      <c r="W213" s="21" t="n">
        <v>0.35</v>
      </c>
      <c r="X213" s="21" t="n">
        <v>0.6</v>
      </c>
      <c r="Y213" s="21" t="n">
        <v>0.19</v>
      </c>
      <c r="Z213" s="22" t="n">
        <v>22414</v>
      </c>
      <c r="AA213" s="18" t="n">
        <v>1643</v>
      </c>
    </row>
    <row r="214" ht="19" customHeight="1" s="151">
      <c r="A214" s="43" t="inlineStr">
        <is>
          <t>以下为品牌3.12提报月亮</t>
        </is>
      </c>
      <c r="B214" s="43" t="n"/>
      <c r="C214" s="37" t="n"/>
      <c r="D214" s="121" t="n"/>
      <c r="E214" s="37" t="n"/>
      <c r="F214" s="121" t="n"/>
      <c r="G214" s="121" t="n"/>
      <c r="H214" s="37" t="n"/>
      <c r="I214" s="37" t="n"/>
      <c r="J214" s="37" t="n"/>
      <c r="K214" s="37" t="n"/>
      <c r="L214" s="37" t="n"/>
      <c r="M214" s="37" t="n"/>
      <c r="N214" s="37" t="n"/>
      <c r="O214" s="152" t="n"/>
      <c r="P214" s="152" t="n"/>
      <c r="Q214" s="152" t="n"/>
      <c r="R214" s="152" t="n"/>
      <c r="S214" s="37" t="n"/>
      <c r="T214" s="67" t="n"/>
      <c r="U214" s="41" t="n"/>
      <c r="V214" s="67" t="n"/>
      <c r="W214" s="67" t="n"/>
      <c r="X214" s="67" t="n"/>
      <c r="Y214" s="67" t="n"/>
      <c r="Z214" s="37" t="n"/>
      <c r="AA214" s="37" t="n"/>
      <c r="AB214" s="43" t="n"/>
      <c r="AC214" s="43" t="n"/>
      <c r="AD214" s="43" t="n"/>
      <c r="AE214" s="43" t="n"/>
      <c r="AF214" s="43" t="n"/>
      <c r="AG214" s="43" t="n"/>
      <c r="AH214" s="43" t="n"/>
      <c r="AI214" s="43" t="n"/>
      <c r="AJ214" s="43" t="n"/>
      <c r="AK214" s="43" t="n"/>
      <c r="AL214" s="43" t="n"/>
      <c r="AM214" s="43" t="n"/>
      <c r="AN214" s="43" t="n"/>
      <c r="AO214" s="43" t="n"/>
      <c r="AP214" s="43" t="n"/>
      <c r="AQ214" s="43" t="n"/>
    </row>
    <row r="215" ht="19" customHeight="1" s="151">
      <c r="C215" s="18" t="inlineStr">
        <is>
          <t>品牌</t>
        </is>
      </c>
      <c r="D215" s="134" t="inlineStr">
        <is>
          <t>大户型 ，人群符合，带过高客单电器</t>
        </is>
      </c>
      <c r="E215" s="18" t="inlineStr">
        <is>
          <t>宅小婧</t>
        </is>
      </c>
      <c r="F215" s="7" t="inlineStr">
        <is>
          <t>https://pgy.xiaohongshu.com/solar/pre-trade/blogger-detail/66265f6900000000070053c4?track_id=kolMatch_457d6baf52a4441bb734b73a6c5855e5&amp;source=Advertiser_Kol</t>
        </is>
      </c>
      <c r="G215" s="19" t="inlineStr">
        <is>
          <t>https://www.xiaohongshu.com/user/profile/66265f6900000000070053c4</t>
        </is>
      </c>
      <c r="H215" s="18" t="inlineStr">
        <is>
          <t xml:space="preserve"> ZXJ79192</t>
        </is>
      </c>
      <c r="I215" s="18" t="inlineStr">
        <is>
          <t>家居家装</t>
        </is>
      </c>
      <c r="J215" s="18" t="n"/>
      <c r="K215" s="18" t="n"/>
      <c r="L215" s="18" t="inlineStr">
        <is>
          <t>尾部</t>
        </is>
      </c>
      <c r="M215" s="18" t="n">
        <v>2.2</v>
      </c>
      <c r="N215" s="18" t="n">
        <v>22.6</v>
      </c>
      <c r="O215" s="18" t="n">
        <v>8000</v>
      </c>
      <c r="P215" s="18">
        <f>O215*1.1</f>
        <v/>
      </c>
      <c r="Q215" s="20">
        <f>P215/Z215</f>
        <v/>
      </c>
      <c r="R215" s="20">
        <f>P215/AA215</f>
        <v/>
      </c>
      <c r="S215" s="18" t="inlineStr">
        <is>
          <t>视频</t>
        </is>
      </c>
      <c r="T215" s="21" t="n">
        <v>0.74</v>
      </c>
      <c r="U215" s="21" t="n">
        <v>0.03</v>
      </c>
      <c r="V215" s="21" t="n">
        <v>0.34</v>
      </c>
      <c r="W215" s="21" t="n">
        <v>0.51</v>
      </c>
      <c r="X215" s="21" t="n">
        <v>0.53</v>
      </c>
      <c r="Y215" s="21" t="n">
        <v>0.24</v>
      </c>
      <c r="Z215" s="22" t="n">
        <v>8037</v>
      </c>
      <c r="AA215" s="18" t="n">
        <v>715</v>
      </c>
    </row>
    <row r="216" ht="19" customHeight="1" s="151">
      <c r="C216" s="18" t="inlineStr">
        <is>
          <t>品牌</t>
        </is>
      </c>
      <c r="D216" s="5" t="inlineStr">
        <is>
          <t>不锈钢厨房露出 装修设计师身份，人群符合</t>
        </is>
      </c>
      <c r="E216" s="18" t="inlineStr">
        <is>
          <t>胡椒焦焦</t>
        </is>
      </c>
      <c r="F216" s="7" t="inlineStr">
        <is>
          <t>https://pgy.xiaohongshu.com/solar/pre-trade/blogger-detail/5861c9ef5e87e72566ed50c8?track_id=kolMatch_4c05e5ef58964c39a6418794f6a5d4d7&amp;source=Advertiser_Kol</t>
        </is>
      </c>
      <c r="G216" s="19" t="inlineStr">
        <is>
          <t>https://www.xiaohongshu.com/user/profile/5861c9ef5e87e72566ed50c8</t>
        </is>
      </c>
      <c r="H216" s="18" t="inlineStr">
        <is>
          <t xml:space="preserve"> una123456777</t>
        </is>
      </c>
      <c r="I216" s="18" t="inlineStr">
        <is>
          <t>家居家装</t>
        </is>
      </c>
      <c r="J216" s="18" t="n"/>
      <c r="K216" s="18" t="n"/>
      <c r="L216" s="18" t="inlineStr">
        <is>
          <t>尾部</t>
        </is>
      </c>
      <c r="M216" s="18" t="n">
        <v>8.300000000000001</v>
      </c>
      <c r="N216" s="18" t="n">
        <v>40.8</v>
      </c>
      <c r="O216" s="18" t="n">
        <v>11000</v>
      </c>
      <c r="P216" s="18">
        <f>O216*1.1</f>
        <v/>
      </c>
      <c r="Q216" s="20">
        <f>P216/Z216</f>
        <v/>
      </c>
      <c r="R216" s="20">
        <f>P216/AA216</f>
        <v/>
      </c>
      <c r="S216" s="18" t="inlineStr">
        <is>
          <t>视频</t>
        </is>
      </c>
      <c r="T216" s="21" t="n">
        <v>0.86</v>
      </c>
      <c r="U216" s="21" t="n">
        <v>0.03</v>
      </c>
      <c r="V216" s="21" t="n">
        <v>0.23</v>
      </c>
      <c r="W216" s="21" t="n">
        <v>0.4</v>
      </c>
      <c r="X216" s="21" t="n">
        <v>0.46</v>
      </c>
      <c r="Y216" s="21" t="n">
        <v>0.27</v>
      </c>
      <c r="Z216" s="18" t="n">
        <v>4000</v>
      </c>
      <c r="AA216" s="18" t="n">
        <v>450</v>
      </c>
    </row>
    <row r="217" ht="19" customHeight="1" s="151">
      <c r="C217" s="18" t="inlineStr">
        <is>
          <t>品牌</t>
        </is>
      </c>
      <c r="D217" s="5" t="inlineStr">
        <is>
          <t>原木风厨房，原生态价值观，人群符合</t>
        </is>
      </c>
      <c r="E217" s="18" t="inlineStr">
        <is>
          <t>美冯佳节胖三斤🍎</t>
        </is>
      </c>
      <c r="F217" s="7" t="inlineStr">
        <is>
          <t>https://pgy.xiaohongshu.com/solar/pre-trade/blogger-detail/5c74ac850000000010030988?track_id=kolMatch_edea3bb4b6fd4ad099d2877bdff991cf&amp;source=Advertiser_Kol</t>
        </is>
      </c>
      <c r="G217" s="19" t="inlineStr">
        <is>
          <t>https://www.xiaohongshu.com/user/profile/5c74ac850000000010030988</t>
        </is>
      </c>
      <c r="H217" s="18" t="n">
        <v>893810425</v>
      </c>
      <c r="I217" s="18" t="inlineStr">
        <is>
          <t>家居家装</t>
        </is>
      </c>
      <c r="J217" s="18" t="n"/>
      <c r="K217" s="18" t="n"/>
      <c r="L217" s="18" t="inlineStr">
        <is>
          <t>尾部</t>
        </is>
      </c>
      <c r="M217" s="18" t="n">
        <v>4</v>
      </c>
      <c r="N217" s="18" t="n">
        <v>17.4</v>
      </c>
      <c r="O217" s="18" t="n">
        <v>9800</v>
      </c>
      <c r="P217" s="18">
        <f>O217*1.1</f>
        <v/>
      </c>
      <c r="Q217" s="20">
        <f>P217/Z217</f>
        <v/>
      </c>
      <c r="R217" s="20">
        <f>P217/AA217</f>
        <v/>
      </c>
      <c r="S217" s="18" t="inlineStr">
        <is>
          <t>视频</t>
        </is>
      </c>
      <c r="T217" s="21" t="n">
        <v>0.87</v>
      </c>
      <c r="U217" s="21" t="n">
        <v>0.05</v>
      </c>
      <c r="V217" s="21" t="n">
        <v>0.26</v>
      </c>
      <c r="W217" s="21" t="n">
        <v>0.37</v>
      </c>
      <c r="X217" s="21" t="n">
        <v>0.44</v>
      </c>
      <c r="Y217" s="21" t="n">
        <v>0.24</v>
      </c>
      <c r="Z217" s="22" t="n">
        <v>10120</v>
      </c>
      <c r="AA217" s="18" t="n">
        <v>555</v>
      </c>
    </row>
    <row r="218" ht="19" customHeight="1" s="151">
      <c r="C218" s="18" t="inlineStr">
        <is>
          <t>品牌</t>
        </is>
      </c>
      <c r="D218" s="5" t="inlineStr">
        <is>
          <t>过往家电爆文数据不错</t>
        </is>
      </c>
      <c r="E218" s="18" t="inlineStr">
        <is>
          <t>宅家小猪嗷</t>
        </is>
      </c>
      <c r="F218" s="7" t="inlineStr">
        <is>
          <t>https://pgy.xiaohongshu.com/solar/pre-trade/blogger-detail/599a4a805e87e761d13cf2ba?track_id=kolMatch_7794a23a4b764c948cf43c5fc29e5d22&amp;source=Advertiser_Kol</t>
        </is>
      </c>
      <c r="G218" s="19" t="inlineStr">
        <is>
          <t>https://www.xiaohongshu.com/user/profile/599a4a805e87e761d13cf2ba</t>
        </is>
      </c>
      <c r="H218" s="18" t="n">
        <v>953846653</v>
      </c>
      <c r="I218" s="18" t="inlineStr">
        <is>
          <t>家居家装</t>
        </is>
      </c>
      <c r="J218" s="18" t="n"/>
      <c r="K218" s="18" t="n"/>
      <c r="L218" s="18" t="inlineStr">
        <is>
          <t>腰部</t>
        </is>
      </c>
      <c r="M218" s="18" t="n">
        <v>13.3</v>
      </c>
      <c r="N218" s="18" t="n">
        <v>93.2</v>
      </c>
      <c r="O218" s="18" t="n">
        <v>16800</v>
      </c>
      <c r="P218" s="18">
        <f>O218*1.1</f>
        <v/>
      </c>
      <c r="Q218" s="20">
        <f>P218/Z218</f>
        <v/>
      </c>
      <c r="R218" s="20">
        <f>P218/AA218</f>
        <v/>
      </c>
      <c r="S218" s="18" t="inlineStr">
        <is>
          <t>视频</t>
        </is>
      </c>
      <c r="T218" s="21" t="n">
        <v>0.74</v>
      </c>
      <c r="U218" s="21" t="n">
        <v>0.15</v>
      </c>
      <c r="V218" s="21" t="n">
        <v>0.18</v>
      </c>
      <c r="W218" s="21" t="n">
        <v>0.26</v>
      </c>
      <c r="X218" s="21" t="n">
        <v>0.17</v>
      </c>
      <c r="Y218" s="21" t="n">
        <v>0.25</v>
      </c>
      <c r="Z218" s="18" t="n">
        <v>12000</v>
      </c>
      <c r="AA218" s="18" t="n">
        <v>900</v>
      </c>
    </row>
    <row r="219" ht="19" customHeight="1" s="151">
      <c r="C219" s="18" t="inlineStr">
        <is>
          <t>品牌</t>
        </is>
      </c>
      <c r="D219" s="5" t="inlineStr">
        <is>
          <t>智能家居测评 内容有质量</t>
        </is>
      </c>
      <c r="E219" s="18" t="inlineStr">
        <is>
          <t>智享零零七</t>
        </is>
      </c>
      <c r="F219" s="7" t="inlineStr">
        <is>
          <t>https://pgy.xiaohongshu.com/solar/pre-trade/blogger-detail/685e6c7b000000001b023509?track_id=kolMatch_457d6baf52a4441bb734b73a6c5855e5&amp;source=Advertiser_Kol</t>
        </is>
      </c>
      <c r="G219" s="19" t="inlineStr">
        <is>
          <t>https://www.xiaohongshu.com/user/profile/685e6c7b000000001b023509</t>
        </is>
      </c>
      <c r="H219" s="18" t="n">
        <v>49608876829</v>
      </c>
      <c r="I219" s="18" t="inlineStr">
        <is>
          <t>家居家装</t>
        </is>
      </c>
      <c r="J219" s="18" t="n"/>
      <c r="K219" s="18" t="n"/>
      <c r="L219" s="18" t="inlineStr">
        <is>
          <t>腰部</t>
        </is>
      </c>
      <c r="M219" s="18" t="n">
        <v>14.1</v>
      </c>
      <c r="N219" s="18" t="n">
        <v>40.1</v>
      </c>
      <c r="O219" s="18" t="n">
        <v>10800</v>
      </c>
      <c r="P219" s="18">
        <f>O219*1.1</f>
        <v/>
      </c>
      <c r="Q219" s="20">
        <f>P219/Z219</f>
        <v/>
      </c>
      <c r="R219" s="20">
        <f>P219/AA219</f>
        <v/>
      </c>
      <c r="S219" s="18" t="inlineStr">
        <is>
          <t>视频</t>
        </is>
      </c>
      <c r="T219" s="21" t="n">
        <v>0.73</v>
      </c>
      <c r="U219" s="21" t="n">
        <v>0.16</v>
      </c>
      <c r="V219" s="21" t="n">
        <v>0.19</v>
      </c>
      <c r="W219" s="21" t="n">
        <v>0.25</v>
      </c>
      <c r="X219" s="21" t="n">
        <v>0.2</v>
      </c>
      <c r="Y219" s="21" t="n">
        <v>0.24</v>
      </c>
      <c r="Z219" s="18" t="n">
        <v>13000</v>
      </c>
      <c r="AA219" s="18" t="n">
        <v>1100</v>
      </c>
    </row>
    <row r="220" ht="19" customHeight="1" s="151">
      <c r="C220" s="18" t="inlineStr">
        <is>
          <t>品牌</t>
        </is>
      </c>
      <c r="D220" s="5" t="inlineStr">
        <is>
          <t xml:space="preserve">VLOG风格，有厨房场景。家电爆文 </t>
        </is>
      </c>
      <c r="E220" s="18" t="inlineStr">
        <is>
          <t>方耶耶Fine</t>
        </is>
      </c>
      <c r="F220" s="7" t="inlineStr">
        <is>
          <t>https://pgy.xiaohongshu.com/solar/pre-trade/blogger-detail/66f4c025000000001d0228f8?track_id=kolMatch_edea3bb4b6fd4ad099d2877bdff991cf&amp;source=Advertiser_Kol</t>
        </is>
      </c>
      <c r="G220" s="19" t="inlineStr">
        <is>
          <t>https://www.xiaohongshu.com/user/profile/66f4c025000000001d0228f8</t>
        </is>
      </c>
      <c r="H220" s="18" t="n">
        <v>63805144037</v>
      </c>
      <c r="I220" s="18" t="inlineStr">
        <is>
          <t>家居家装</t>
        </is>
      </c>
      <c r="J220" s="18" t="n"/>
      <c r="K220" s="18" t="n"/>
      <c r="L220" s="18" t="inlineStr">
        <is>
          <t>腰部</t>
        </is>
      </c>
      <c r="M220" s="18" t="n">
        <v>18.4</v>
      </c>
      <c r="N220" s="18" t="n">
        <v>162</v>
      </c>
      <c r="O220" s="18" t="n">
        <v>22000</v>
      </c>
      <c r="P220" s="18">
        <f>O220*1.1</f>
        <v/>
      </c>
      <c r="Q220" s="20">
        <f>P220/Z220</f>
        <v/>
      </c>
      <c r="R220" s="20">
        <f>P220/AA220</f>
        <v/>
      </c>
      <c r="S220" s="18" t="inlineStr">
        <is>
          <t>视频</t>
        </is>
      </c>
      <c r="T220" s="21" t="n">
        <v>0.75</v>
      </c>
      <c r="U220" s="21" t="n">
        <v>0.08</v>
      </c>
      <c r="V220" s="21" t="n">
        <v>0.33</v>
      </c>
      <c r="W220" s="21" t="n">
        <v>0.24</v>
      </c>
      <c r="X220" s="21" t="n">
        <v>0.38</v>
      </c>
      <c r="Y220" s="21" t="n">
        <v>0.19</v>
      </c>
      <c r="Z220" s="22" t="n">
        <v>22552</v>
      </c>
      <c r="AA220" s="22" t="n">
        <v>3806</v>
      </c>
    </row>
    <row r="221" ht="19" customHeight="1" s="151">
      <c r="C221" s="18" t="inlineStr">
        <is>
          <t>品牌</t>
        </is>
      </c>
      <c r="D221" s="5" t="inlineStr">
        <is>
          <t xml:space="preserve">调性厨房场景  近期有爆文 </t>
        </is>
      </c>
      <c r="E221" s="18" t="inlineStr">
        <is>
          <t>一颗熊仔</t>
        </is>
      </c>
      <c r="F221" s="7" t="inlineStr">
        <is>
          <t>https://pgy.xiaohongshu.com/solar/pre-trade/blogger-detail/5f89b527000000000101d549?track_id=kolMatch_a949334da5764b26aef731fec9acaa55&amp;source=Advertiser_Kol</t>
        </is>
      </c>
      <c r="G221" s="19" t="inlineStr">
        <is>
          <t>https://www.xiaohongshu.com/user/profile/5f89b527000000000101d549</t>
        </is>
      </c>
      <c r="H221" s="143" t="n">
        <v>1018910021</v>
      </c>
      <c r="I221" s="18" t="inlineStr">
        <is>
          <t>家居家装</t>
        </is>
      </c>
      <c r="J221" s="18" t="n"/>
      <c r="K221" s="18" t="n"/>
      <c r="L221" s="18" t="inlineStr">
        <is>
          <t>肩部</t>
        </is>
      </c>
      <c r="M221" s="18" t="n">
        <v>35.8</v>
      </c>
      <c r="N221" s="18" t="n">
        <v>237</v>
      </c>
      <c r="O221" s="18" t="n">
        <v>25000</v>
      </c>
      <c r="P221" s="18">
        <f>O221*1.1</f>
        <v/>
      </c>
      <c r="Q221" s="20">
        <f>P221/Z221</f>
        <v/>
      </c>
      <c r="R221" s="20">
        <f>P221/AA221</f>
        <v/>
      </c>
      <c r="S221" s="18" t="inlineStr">
        <is>
          <t>视频</t>
        </is>
      </c>
      <c r="T221" s="21" t="n">
        <v>0.88</v>
      </c>
      <c r="U221" s="21" t="n">
        <v>0.15</v>
      </c>
      <c r="V221" s="21" t="n">
        <v>0.42</v>
      </c>
      <c r="W221" s="21" t="n">
        <v>0.25</v>
      </c>
      <c r="X221" s="21" t="n">
        <v>0.62</v>
      </c>
      <c r="Y221" s="21" t="n">
        <v>0.15</v>
      </c>
      <c r="Z221" s="22" t="n">
        <v>5673</v>
      </c>
      <c r="AA221" s="18" t="n">
        <v>456</v>
      </c>
    </row>
    <row r="222" ht="19" customHeight="1" s="151">
      <c r="C222" s="18" t="inlineStr">
        <is>
          <t>品牌</t>
        </is>
      </c>
      <c r="D222" s="5" t="inlineStr">
        <is>
          <t>独居理想生活调性 慢生活 爆文高</t>
        </is>
      </c>
      <c r="E222" s="18" t="inlineStr">
        <is>
          <t>猫叔的院子</t>
        </is>
      </c>
      <c r="F222" s="7" t="inlineStr">
        <is>
          <t>https://pgy.xiaohongshu.com/solar/pre-trade/blogger-detail/5eb6bf7d0000000001002541?track_id=kolSearch_7b44090721e346d3b949d6978bdc634e&amp;source=Advertiser_Kol</t>
        </is>
      </c>
      <c r="G222" s="19" t="inlineStr">
        <is>
          <t>https://www.xiaohongshu.com/user/profile/5eb6bf7d0000000001002541</t>
        </is>
      </c>
      <c r="H222" s="18" t="inlineStr">
        <is>
          <t>mshy00</t>
        </is>
      </c>
      <c r="I222" s="18" t="inlineStr">
        <is>
          <t>家居家装</t>
        </is>
      </c>
      <c r="J222" s="18" t="n"/>
      <c r="K222" s="18" t="n"/>
      <c r="L222" s="18" t="inlineStr">
        <is>
          <t>肩部</t>
        </is>
      </c>
      <c r="M222" s="18" t="n">
        <v>35.7</v>
      </c>
      <c r="N222" s="18" t="n">
        <v>258.8</v>
      </c>
      <c r="O222" s="18" t="n">
        <v>40500</v>
      </c>
      <c r="P222" s="18">
        <f>O222*1.1</f>
        <v/>
      </c>
      <c r="Q222" s="20">
        <f>P222/Z222</f>
        <v/>
      </c>
      <c r="R222" s="20">
        <f>P222/AA222</f>
        <v/>
      </c>
      <c r="S222" s="18" t="inlineStr">
        <is>
          <t>视频</t>
        </is>
      </c>
      <c r="T222" s="21" t="n">
        <v>0.84</v>
      </c>
      <c r="U222" s="21" t="n">
        <v>0.18</v>
      </c>
      <c r="V222" s="21" t="n">
        <v>0.45</v>
      </c>
      <c r="W222" s="21" t="n">
        <v>0.23</v>
      </c>
      <c r="X222" s="21" t="n">
        <v>0.57</v>
      </c>
      <c r="Y222" s="21" t="n">
        <v>0.14</v>
      </c>
      <c r="Z222" s="18" t="n">
        <v>19000</v>
      </c>
      <c r="AA222" s="18" t="n">
        <v>1200</v>
      </c>
    </row>
    <row r="223" ht="19" customHeight="1" s="151">
      <c r="C223" s="18" t="inlineStr">
        <is>
          <t>品牌</t>
        </is>
      </c>
      <c r="D223" s="5" t="inlineStr">
        <is>
          <t>极简主义装修 人群匹配</t>
        </is>
      </c>
      <c r="E223" s="18" t="inlineStr">
        <is>
          <t>宜可可的家🏠</t>
        </is>
      </c>
      <c r="F223" s="7" t="inlineStr">
        <is>
          <t>https://pgy.xiaohongshu.com/solar/pre-trade/blogger-detail/58d525d16a6a69726f126f21?track_id=kolSimilar_5d190bf56ad5467396c3ea3be025631c&amp;source=Advertiser_Similar_Kol</t>
        </is>
      </c>
      <c r="G223" s="19" t="inlineStr">
        <is>
          <t>https://www.xiaohongshu.com/user/profile/58d525d16a6a69726f126f21</t>
        </is>
      </c>
      <c r="H223" s="18" t="n">
        <v>494615872</v>
      </c>
      <c r="I223" s="18" t="inlineStr">
        <is>
          <t>家居家装</t>
        </is>
      </c>
      <c r="J223" s="18" t="n"/>
      <c r="K223" s="18" t="n"/>
      <c r="L223" s="18" t="inlineStr">
        <is>
          <t>尾部</t>
        </is>
      </c>
      <c r="M223" s="18" t="n">
        <v>7.1</v>
      </c>
      <c r="N223" s="18" t="n">
        <v>83.59999999999999</v>
      </c>
      <c r="O223" s="18" t="n">
        <v>17000</v>
      </c>
      <c r="P223" s="18">
        <f>O223*1.1</f>
        <v/>
      </c>
      <c r="Q223" s="20">
        <f>P223/Z223</f>
        <v/>
      </c>
      <c r="R223" s="20">
        <f>P223/AA223</f>
        <v/>
      </c>
      <c r="S223" s="18" t="inlineStr">
        <is>
          <t>视频</t>
        </is>
      </c>
      <c r="T223" s="21" t="n">
        <v>0.67</v>
      </c>
      <c r="U223" s="21" t="n">
        <v>0.04</v>
      </c>
      <c r="V223" s="21" t="n">
        <v>0.41</v>
      </c>
      <c r="W223" s="21" t="n">
        <v>0.35</v>
      </c>
      <c r="X223" s="21" t="n">
        <v>0.48</v>
      </c>
      <c r="Y223" s="21" t="n">
        <v>0.21</v>
      </c>
      <c r="Z223" s="22" t="n">
        <v>20093</v>
      </c>
      <c r="AA223" s="22" t="n">
        <v>1135</v>
      </c>
    </row>
    <row r="224" ht="19" customHeight="1" s="151">
      <c r="C224" s="18" t="inlineStr">
        <is>
          <t>品牌</t>
        </is>
      </c>
      <c r="D224" s="5" t="inlineStr">
        <is>
          <t xml:space="preserve">有厨房场景 ，近期爆文 </t>
        </is>
      </c>
      <c r="E224" s="7" t="inlineStr">
        <is>
          <t>辣妈艾琳Eileen</t>
        </is>
      </c>
      <c r="F224" s="7" t="inlineStr">
        <is>
          <t>https://pgy.xiaohongshu.com/solar/pre-trade/blogger-detail/5cd43cf70000000017001b7c?track_id=kolMatch_4a14a0c60b4d4048bee7746d57d4b02f&amp;source=Advertiser_Kol</t>
        </is>
      </c>
      <c r="G224" s="19" t="inlineStr">
        <is>
          <t>https://www.xiaohongshu.com/user/profile/5cd43cf70000000017001b7c</t>
        </is>
      </c>
      <c r="H224" s="18" t="inlineStr">
        <is>
          <t>Eileen2025888</t>
        </is>
      </c>
      <c r="I224" s="18" t="inlineStr">
        <is>
          <t>家居家装、母婴</t>
        </is>
      </c>
      <c r="J224" s="18" t="n"/>
      <c r="K224" s="18" t="n"/>
      <c r="L224" s="18" t="inlineStr">
        <is>
          <t>腰部</t>
        </is>
      </c>
      <c r="M224" s="18" t="n">
        <v>22.1</v>
      </c>
      <c r="N224" s="18" t="n">
        <v>430.9</v>
      </c>
      <c r="O224" s="18" t="n">
        <v>26000</v>
      </c>
      <c r="P224" s="18">
        <f>O224*1.1</f>
        <v/>
      </c>
      <c r="Q224" s="20">
        <f>P224/Z224</f>
        <v/>
      </c>
      <c r="R224" s="20">
        <f>P224/AA224</f>
        <v/>
      </c>
      <c r="S224" s="18" t="inlineStr">
        <is>
          <t>视频</t>
        </is>
      </c>
      <c r="T224" s="21" t="n">
        <v>0.85</v>
      </c>
      <c r="U224" s="21" t="n">
        <v>0.13</v>
      </c>
      <c r="V224" s="21" t="n">
        <v>0.48</v>
      </c>
      <c r="W224" s="21" t="n">
        <v>0.22</v>
      </c>
      <c r="X224" s="21" t="n">
        <v>0.44</v>
      </c>
      <c r="Y224" s="21" t="n">
        <v>0.18</v>
      </c>
      <c r="Z224" s="22" t="n">
        <v>57820</v>
      </c>
      <c r="AA224" s="22" t="n">
        <v>7157</v>
      </c>
    </row>
    <row r="225" ht="19" customHeight="1" s="151">
      <c r="C225" s="18" t="inlineStr">
        <is>
          <t>品牌</t>
        </is>
      </c>
      <c r="D225" s="134" t="inlineStr">
        <is>
          <t xml:space="preserve">近期外溢进店中位数
2,565 </t>
        </is>
      </c>
      <c r="E225" s="18" t="inlineStr">
        <is>
          <t>尹太太</t>
        </is>
      </c>
      <c r="F225" s="7" t="inlineStr">
        <is>
          <t>https://pgy.xiaohongshu.com/solar/pre-trade/blogger-detail/583cea8482ec3903834d1155?track_id=kolSimilar_35c093b598a244f48ec5156a972b031f&amp;source=Advertiser_Similar_Kol</t>
        </is>
      </c>
      <c r="G225" s="19" t="inlineStr">
        <is>
          <t>https://www.xiaohongshu.com/user/profile/583cea8482ec3903834d1155</t>
        </is>
      </c>
      <c r="H225" s="143" t="inlineStr">
        <is>
          <t>youngjeong</t>
        </is>
      </c>
      <c r="I225" s="18" t="inlineStr">
        <is>
          <t>家居家装</t>
        </is>
      </c>
      <c r="J225" s="18" t="n"/>
      <c r="K225" s="18" t="n"/>
      <c r="L225" s="18" t="inlineStr">
        <is>
          <t>腰部</t>
        </is>
      </c>
      <c r="M225" s="18" t="n">
        <v>14.1</v>
      </c>
      <c r="N225" s="18" t="n">
        <v>59.8</v>
      </c>
      <c r="O225" s="18" t="n">
        <v>20000</v>
      </c>
      <c r="P225" s="18">
        <f>O225*1.1</f>
        <v/>
      </c>
      <c r="Q225" s="20">
        <f>P225/Z225</f>
        <v/>
      </c>
      <c r="R225" s="20">
        <f>P225/AA225</f>
        <v/>
      </c>
      <c r="S225" s="18" t="inlineStr">
        <is>
          <t>视频</t>
        </is>
      </c>
      <c r="T225" s="21" t="n">
        <v>0.96</v>
      </c>
      <c r="U225" s="21" t="n">
        <v>0.12</v>
      </c>
      <c r="V225" s="21" t="n">
        <v>0.47</v>
      </c>
      <c r="W225" s="21" t="n">
        <v>0.3</v>
      </c>
      <c r="X225" s="21" t="n">
        <v>0.6</v>
      </c>
      <c r="Y225" s="21" t="n">
        <v>0.14</v>
      </c>
      <c r="Z225" s="22" t="n">
        <v>43844</v>
      </c>
      <c r="AA225" s="22" t="n">
        <v>2698</v>
      </c>
    </row>
    <row r="226" ht="19" customHeight="1" s="151">
      <c r="C226" s="18" t="inlineStr">
        <is>
          <t>品牌</t>
        </is>
      </c>
      <c r="D226" s="134" t="inlineStr">
        <is>
          <t>450平现代简约别野，关注的粉丝人群很垂直</t>
        </is>
      </c>
      <c r="E226" s="18" t="inlineStr">
        <is>
          <t>靓靓子的家</t>
        </is>
      </c>
      <c r="F226" s="7" t="inlineStr">
        <is>
          <t>https://pgy.xiaohongshu.com/solar/pre-trade/blogger-detail/5bafaa483b41e50001d46a45?track_id=kolMatch_a31986b59d20486ca8aec09a079f6173&amp;source=Advertiser_Kol</t>
        </is>
      </c>
      <c r="G226" s="19" t="inlineStr">
        <is>
          <t>https://www.xiaohongshu.com/user/profile/5bafaa483b41e50001d46a45</t>
        </is>
      </c>
      <c r="H226" s="18" t="n">
        <v>541303783</v>
      </c>
      <c r="I226" s="18" t="inlineStr">
        <is>
          <t>家居家装</t>
        </is>
      </c>
      <c r="J226" s="18" t="n"/>
      <c r="K226" s="18" t="n"/>
      <c r="L226" s="18" t="inlineStr">
        <is>
          <t>腰部</t>
        </is>
      </c>
      <c r="M226" s="18" t="n">
        <v>12.6</v>
      </c>
      <c r="N226" s="18" t="n">
        <v>170.7</v>
      </c>
      <c r="O226" s="18" t="n">
        <v>19800</v>
      </c>
      <c r="P226" s="18">
        <f>O226*1.1</f>
        <v/>
      </c>
      <c r="Q226" s="20">
        <f>P226/Z226</f>
        <v/>
      </c>
      <c r="R226" s="20">
        <f>P226/AA226</f>
        <v/>
      </c>
      <c r="S226" s="18" t="inlineStr">
        <is>
          <t>视频</t>
        </is>
      </c>
      <c r="T226" s="21" t="n">
        <v>0.76</v>
      </c>
      <c r="U226" s="21" t="n">
        <v>0.18</v>
      </c>
      <c r="V226" s="21" t="n">
        <v>0.32</v>
      </c>
      <c r="W226" s="21" t="n">
        <v>0.25</v>
      </c>
      <c r="X226" s="21" t="n">
        <v>0.34</v>
      </c>
      <c r="Y226" s="21" t="n">
        <v>0.2</v>
      </c>
      <c r="Z226" s="22" t="n">
        <v>25210</v>
      </c>
      <c r="AA226" s="22" t="n">
        <v>1470</v>
      </c>
    </row>
    <row r="227" ht="19" customHeight="1" s="151">
      <c r="C227" s="18" t="inlineStr">
        <is>
          <t>品牌</t>
        </is>
      </c>
      <c r="D227" s="19" t="inlineStr">
        <is>
          <t>设计师妈妈 有专业背书</t>
        </is>
      </c>
      <c r="E227" s="7" t="inlineStr">
        <is>
          <t>豆子之家</t>
        </is>
      </c>
      <c r="F227" s="7" t="inlineStr">
        <is>
          <t>https://pgy.xiaohongshu.com/solar/pre-trade/blogger-detail/609e2264000000000101fc64?track_id=kolMatch_ee700f1397bf4b59b5de209dad8c032a&amp;source=Advertiser_Kol</t>
        </is>
      </c>
      <c r="G227" s="19" t="inlineStr">
        <is>
          <t>https://www.xiaohongshu.com/user/profile/609e2264000000000101fc64</t>
        </is>
      </c>
      <c r="H227" s="18" t="n">
        <v>1132926086</v>
      </c>
      <c r="I227" s="18" t="inlineStr">
        <is>
          <t>家居家装</t>
        </is>
      </c>
      <c r="J227" s="18" t="n"/>
      <c r="K227" s="18" t="n"/>
      <c r="L227" s="18" t="inlineStr">
        <is>
          <t>尾部</t>
        </is>
      </c>
      <c r="M227" s="18" t="n">
        <v>7.7</v>
      </c>
      <c r="N227" s="18" t="n">
        <v>72.90000000000001</v>
      </c>
      <c r="O227" s="18" t="n">
        <v>32800</v>
      </c>
      <c r="P227" s="18">
        <f>O227*1.1</f>
        <v/>
      </c>
      <c r="Q227" s="20">
        <f>P227/Z227</f>
        <v/>
      </c>
      <c r="R227" s="20">
        <f>P227/AA227</f>
        <v/>
      </c>
      <c r="S227" s="18" t="inlineStr">
        <is>
          <t>视频</t>
        </is>
      </c>
      <c r="T227" s="21" t="n">
        <v>0.84</v>
      </c>
      <c r="U227" s="21" t="n">
        <v>0.1</v>
      </c>
      <c r="V227" s="21" t="n">
        <v>0.48</v>
      </c>
      <c r="W227" s="21" t="n">
        <v>0.28</v>
      </c>
      <c r="X227" s="21" t="n">
        <v>0.44</v>
      </c>
      <c r="Y227" s="21" t="n">
        <v>0.2</v>
      </c>
      <c r="Z227" s="22" t="n">
        <v>29837</v>
      </c>
      <c r="AA227" s="22" t="n">
        <v>2511</v>
      </c>
    </row>
    <row r="228" ht="19" customHeight="1" s="151">
      <c r="C228" s="18" t="inlineStr">
        <is>
          <t>品牌</t>
        </is>
      </c>
      <c r="D228" s="19" t="inlineStr">
        <is>
          <t>拥有350㎡智能别墅调性不错</t>
        </is>
      </c>
      <c r="E228" s="7" t="inlineStr">
        <is>
          <t>大头姐Anna</t>
        </is>
      </c>
      <c r="F228" s="7" t="inlineStr">
        <is>
          <t>https://pgy.xiaohongshu.com/solar/pre-trade/blogger-detail/575df9de50c4b413a713745e?track_id=kolMatch_ee700f1397bf4b59b5de209dad8c032a&amp;source=Advertiser_Kol</t>
        </is>
      </c>
      <c r="G228" s="19" t="inlineStr">
        <is>
          <t>https://www.xiaohongshu.com/user/profile/575df9de50c4b413a713745e</t>
        </is>
      </c>
      <c r="H228" s="18" t="n">
        <v>103344500</v>
      </c>
      <c r="I228" s="18" t="inlineStr">
        <is>
          <t>家居家装</t>
        </is>
      </c>
      <c r="J228" s="18" t="n"/>
      <c r="K228" s="18" t="n"/>
      <c r="L228" s="18" t="inlineStr">
        <is>
          <t>肩部</t>
        </is>
      </c>
      <c r="M228" s="18" t="n">
        <v>40.2</v>
      </c>
      <c r="N228" s="18" t="n">
        <v>107.2</v>
      </c>
      <c r="O228" s="18" t="n">
        <v>36300</v>
      </c>
      <c r="P228" s="18">
        <f>O228*1.1</f>
        <v/>
      </c>
      <c r="Q228" s="20">
        <f>P228/Z228</f>
        <v/>
      </c>
      <c r="R228" s="20">
        <f>P228/AA228</f>
        <v/>
      </c>
      <c r="S228" s="18" t="inlineStr">
        <is>
          <t>视频</t>
        </is>
      </c>
      <c r="T228" s="21" t="n">
        <v>0.75</v>
      </c>
      <c r="U228" s="21" t="n">
        <v>0.17</v>
      </c>
      <c r="V228" s="21" t="n">
        <v>0.48</v>
      </c>
      <c r="W228" s="21" t="n">
        <v>0.2</v>
      </c>
      <c r="X228" s="21" t="n">
        <v>0.44</v>
      </c>
      <c r="Y228" s="21" t="n">
        <v>0.16</v>
      </c>
      <c r="Z228" s="22" t="n">
        <v>58624</v>
      </c>
      <c r="AA228" s="22" t="n">
        <v>6671</v>
      </c>
    </row>
    <row r="229" ht="19" customHeight="1" s="151">
      <c r="C229" s="18" t="inlineStr">
        <is>
          <t>品牌</t>
        </is>
      </c>
      <c r="D229" s="19" t="inlineStr">
        <is>
          <t>童话小屋，比较特别</t>
        </is>
      </c>
      <c r="E229" s="7" t="inlineStr">
        <is>
          <t>阵雨🌙</t>
        </is>
      </c>
      <c r="F229" s="7" t="inlineStr">
        <is>
          <t>https://pgy.xiaohongshu.com/solar/pre-trade/blogger-detail/5faaaa090000000001001b6d?track_id=kolMatch_ee700f1397bf4b59b5de209dad8c032a&amp;source=Advertiser_Kol</t>
        </is>
      </c>
      <c r="G229" s="19" t="inlineStr">
        <is>
          <t>https://www.xiaohongshu.com/user/profile/5faaaa090000000001001b6d</t>
        </is>
      </c>
      <c r="H229" s="18" t="n">
        <v>1022229451</v>
      </c>
      <c r="I229" s="18" t="inlineStr">
        <is>
          <t>家居家装</t>
        </is>
      </c>
      <c r="J229" s="18" t="n"/>
      <c r="K229" s="18" t="n"/>
      <c r="L229" s="18" t="inlineStr">
        <is>
          <t>肩部</t>
        </is>
      </c>
      <c r="M229" s="18" t="n">
        <v>41.3</v>
      </c>
      <c r="N229" s="18" t="n">
        <v>636.3</v>
      </c>
      <c r="O229" s="18" t="n">
        <v>32000</v>
      </c>
      <c r="P229" s="18">
        <f>O229*1.1</f>
        <v/>
      </c>
      <c r="Q229" s="20">
        <f>P229/Z229</f>
        <v/>
      </c>
      <c r="R229" s="20">
        <f>P229/AA229</f>
        <v/>
      </c>
      <c r="S229" s="18" t="inlineStr">
        <is>
          <t>视频</t>
        </is>
      </c>
      <c r="T229" s="21" t="n">
        <v>0.86</v>
      </c>
      <c r="U229" s="21" t="n">
        <v>0.26</v>
      </c>
      <c r="V229" s="21" t="n">
        <v>0.41</v>
      </c>
      <c r="W229" s="21" t="n">
        <v>0.16</v>
      </c>
      <c r="X229" s="21" t="n">
        <v>0.46</v>
      </c>
      <c r="Y229" s="21" t="n">
        <v>0.15</v>
      </c>
      <c r="Z229" s="22" t="n">
        <v>13105</v>
      </c>
      <c r="AA229" s="22" t="n">
        <v>2321</v>
      </c>
    </row>
    <row r="230" ht="19" customHeight="1" s="151">
      <c r="C230" s="18" t="inlineStr">
        <is>
          <t>品牌</t>
        </is>
      </c>
      <c r="D230" s="19" t="inlineStr">
        <is>
          <t>海南复式花园房，近期广告互动高</t>
        </is>
      </c>
      <c r="E230" s="7" t="inlineStr">
        <is>
          <t>Lisa闵闪闪</t>
        </is>
      </c>
      <c r="F230" s="7" t="inlineStr">
        <is>
          <t>https://pgy.xiaohongshu.com/solar/pre-trade/blogger-detail/5bab065edffe0d0001a261d1?track_id=kolMatch_ee700f1397bf4b59b5de209dad8c032a&amp;source=Advertiser_Kol</t>
        </is>
      </c>
      <c r="G230" s="19" t="inlineStr">
        <is>
          <t>https://www.xiaohongshu.com/user/profile/5bab065edffe0d0001a261d1</t>
        </is>
      </c>
      <c r="H230" s="18" t="n">
        <v>560266592</v>
      </c>
      <c r="I230" s="18" t="inlineStr">
        <is>
          <t>家居家装、母婴</t>
        </is>
      </c>
      <c r="J230" s="18" t="n"/>
      <c r="K230" s="18" t="n"/>
      <c r="L230" s="18" t="inlineStr">
        <is>
          <t>肩部</t>
        </is>
      </c>
      <c r="M230" s="18" t="n">
        <v>31.3</v>
      </c>
      <c r="N230" s="18" t="n">
        <v>48.2</v>
      </c>
      <c r="O230" s="18" t="n">
        <v>35000</v>
      </c>
      <c r="P230" s="18">
        <f>O230*1.1</f>
        <v/>
      </c>
      <c r="Q230" s="20">
        <f>P230/Z230</f>
        <v/>
      </c>
      <c r="R230" s="20">
        <f>P230/AA230</f>
        <v/>
      </c>
      <c r="S230" s="18" t="inlineStr">
        <is>
          <t>视频</t>
        </is>
      </c>
      <c r="T230" s="21" t="n">
        <v>0.87</v>
      </c>
      <c r="U230" s="21" t="n">
        <v>0.18</v>
      </c>
      <c r="V230" s="21" t="n">
        <v>0.43</v>
      </c>
      <c r="W230" s="21" t="n">
        <v>0.28</v>
      </c>
      <c r="X230" s="21" t="n">
        <v>0.57</v>
      </c>
      <c r="Y230" s="21" t="n">
        <v>0.15</v>
      </c>
      <c r="Z230" s="22" t="n">
        <v>77729</v>
      </c>
      <c r="AA230" s="22" t="n">
        <v>10777</v>
      </c>
    </row>
    <row r="231" ht="19" customHeight="1" s="151">
      <c r="C231" s="18" t="inlineStr">
        <is>
          <t>品牌</t>
        </is>
      </c>
      <c r="D231" s="19" t="inlineStr">
        <is>
          <t>垂类测评账号，近期阅读数据优</t>
        </is>
      </c>
      <c r="E231" s="7" t="inlineStr">
        <is>
          <t>三三的家居测评</t>
        </is>
      </c>
      <c r="F231" s="7" t="inlineStr">
        <is>
          <t>https://pgy.xiaohongshu.com/solar/pre-trade/blogger-detail/65991a2e000000002001d517?track_id=kolSearch_cb79df2bfde94042bc3c04de1d561667&amp;source=Advertiser_Kol</t>
        </is>
      </c>
      <c r="G231" s="19" t="inlineStr">
        <is>
          <t>https://www.xiaohongshu.com/user/profile/65991a2e000000002001d517</t>
        </is>
      </c>
      <c r="H231" s="18" t="n">
        <v>8273640572</v>
      </c>
      <c r="I231" s="18" t="inlineStr">
        <is>
          <t>家居家装</t>
        </is>
      </c>
      <c r="J231" s="18" t="n"/>
      <c r="K231" s="18" t="n"/>
      <c r="L231" s="18" t="inlineStr">
        <is>
          <t>腰部</t>
        </is>
      </c>
      <c r="M231" s="18" t="n">
        <v>22.8</v>
      </c>
      <c r="N231" s="18" t="n">
        <v>116.8</v>
      </c>
      <c r="O231" s="18" t="n">
        <v>17000</v>
      </c>
      <c r="P231" s="18">
        <f>O231*1.1</f>
        <v/>
      </c>
      <c r="Q231" s="20">
        <f>P231/Z231</f>
        <v/>
      </c>
      <c r="R231" s="20">
        <f>P231/AA231</f>
        <v/>
      </c>
      <c r="S231" s="18" t="inlineStr">
        <is>
          <t>图文</t>
        </is>
      </c>
      <c r="T231" s="21" t="n">
        <v>0.93</v>
      </c>
      <c r="U231" s="21" t="n">
        <v>0.27</v>
      </c>
      <c r="V231" s="21" t="n">
        <v>0.46</v>
      </c>
      <c r="W231" s="21" t="n">
        <v>0.18</v>
      </c>
      <c r="X231" s="21" t="n">
        <v>0.59</v>
      </c>
      <c r="Y231" s="21" t="n">
        <v>0.13</v>
      </c>
      <c r="Z231" s="22" t="n">
        <v>106980</v>
      </c>
      <c r="AA231" s="22" t="n">
        <v>6217</v>
      </c>
    </row>
    <row r="232" ht="19" customHeight="1" s="151">
      <c r="C232" s="18" t="inlineStr">
        <is>
          <t>品牌</t>
        </is>
      </c>
      <c r="D232" s="19" t="inlineStr">
        <is>
          <t>改造类账号，300㎡院子自装 粉丝人群垂直度高 35-44人群占比第一</t>
        </is>
      </c>
      <c r="E232" s="7" t="inlineStr">
        <is>
          <t>Shufei束束</t>
        </is>
      </c>
      <c r="F232" s="7" t="inlineStr">
        <is>
          <t>https://pgy.xiaohongshu.com/solar/pre-trade/blogger-detail/555148acaf81470f28e94cfc?track_id=kolSimilar_074250501ec041a685fab27019a6be70&amp;source=Advertiser_Similar_Kol</t>
        </is>
      </c>
      <c r="G232" s="19" t="inlineStr">
        <is>
          <t>https://www.xiaohongshu.com/user/profile/555148acaf81470f28e94cfc</t>
        </is>
      </c>
      <c r="H232" s="18" t="inlineStr">
        <is>
          <t>sofia0123456789</t>
        </is>
      </c>
      <c r="I232" s="18" t="inlineStr">
        <is>
          <t>家居家装</t>
        </is>
      </c>
      <c r="J232" s="18" t="n"/>
      <c r="K232" s="18" t="n"/>
      <c r="L232" s="18" t="inlineStr">
        <is>
          <t>腰部</t>
        </is>
      </c>
      <c r="M232" s="18" t="n">
        <v>22.5</v>
      </c>
      <c r="N232" s="18" t="n">
        <v>200.7</v>
      </c>
      <c r="O232" s="18" t="n">
        <v>29000</v>
      </c>
      <c r="P232" s="18">
        <f>O232*1.1</f>
        <v/>
      </c>
      <c r="Q232" s="20">
        <f>P232/Z232</f>
        <v/>
      </c>
      <c r="R232" s="20">
        <f>P232/AA232</f>
        <v/>
      </c>
      <c r="S232" s="18" t="inlineStr">
        <is>
          <t>视频</t>
        </is>
      </c>
      <c r="T232" s="21" t="n">
        <v>0.85</v>
      </c>
      <c r="U232" s="21" t="n">
        <v>0.05</v>
      </c>
      <c r="V232" s="21" t="n">
        <v>0.31</v>
      </c>
      <c r="W232" s="21" t="n">
        <v>0.37</v>
      </c>
      <c r="X232" s="21" t="n">
        <v>0.41</v>
      </c>
      <c r="Y232" s="21" t="n">
        <v>0.22</v>
      </c>
      <c r="Z232" s="22" t="n">
        <v>158649</v>
      </c>
      <c r="AA232" s="18" t="n">
        <v>716</v>
      </c>
    </row>
    <row r="233" ht="19" customHeight="1" s="151">
      <c r="C233" s="18" t="inlineStr">
        <is>
          <t>品牌</t>
        </is>
      </c>
      <c r="D233" s="19" t="inlineStr">
        <is>
          <t>干货账号，垂直度高</t>
        </is>
      </c>
      <c r="E233" s="7" t="inlineStr">
        <is>
          <t>大可住顶楼</t>
        </is>
      </c>
      <c r="F233" s="7" t="inlineStr">
        <is>
          <t>https://pgy.xiaohongshu.com/solar/pre-trade/blogger-detail/5eb150a900000000010014c3?track_id=kolMatch_fef396a6860041b3857c27d7aca547f6&amp;source=Advertiser_Kol</t>
        </is>
      </c>
      <c r="G233" s="19" t="inlineStr">
        <is>
          <t>https://www.xiaohongshu.com/user/profile/5eb150a900000000010014c3</t>
        </is>
      </c>
      <c r="H233" s="18" t="n">
        <v>255692634</v>
      </c>
      <c r="I233" s="18" t="inlineStr">
        <is>
          <t>家居家装</t>
        </is>
      </c>
      <c r="J233" s="18" t="n"/>
      <c r="K233" s="18" t="n"/>
      <c r="L233" s="18" t="inlineStr">
        <is>
          <t>头部</t>
        </is>
      </c>
      <c r="M233" s="18" t="n">
        <v>70</v>
      </c>
      <c r="N233" s="18" t="n">
        <v>690.7</v>
      </c>
      <c r="O233" s="18" t="n">
        <v>29800</v>
      </c>
      <c r="P233" s="18">
        <f>O233*1.1</f>
        <v/>
      </c>
      <c r="Q233" s="20">
        <f>P233/Z233</f>
        <v/>
      </c>
      <c r="R233" s="20">
        <f>P233/AA233</f>
        <v/>
      </c>
      <c r="S233" s="18" t="inlineStr">
        <is>
          <t>视频</t>
        </is>
      </c>
      <c r="T233" s="21" t="n">
        <v>0.85</v>
      </c>
      <c r="U233" s="21" t="n">
        <v>0.19</v>
      </c>
      <c r="V233" s="21" t="n">
        <v>0.37</v>
      </c>
      <c r="W233" s="21" t="n">
        <v>0.24</v>
      </c>
      <c r="X233" s="21" t="n">
        <v>0.42</v>
      </c>
      <c r="Y233" s="21" t="n">
        <v>0.19</v>
      </c>
      <c r="Z233" s="22" t="n">
        <v>35613</v>
      </c>
      <c r="AA233" s="22" t="n">
        <v>2345</v>
      </c>
    </row>
    <row r="234" ht="19" customHeight="1" s="151">
      <c r="C234" s="18" t="inlineStr">
        <is>
          <t>品牌</t>
        </is>
      </c>
      <c r="D234" s="19" t="inlineStr">
        <is>
          <t>测评类账号，垂直度高，35-44年龄人群第一</t>
        </is>
      </c>
      <c r="E234" s="18" t="inlineStr">
        <is>
          <t>陈哥说家居</t>
        </is>
      </c>
      <c r="F234" s="7" t="inlineStr">
        <is>
          <t>https://pgy.xiaohongshu.com/solar/pre-trade/blogger-detail/5d6e1df100000000010090d8?track_id=kolMatch_d2e79d9186d3453e91c14e722548149d&amp;source=Advertiser_Kol</t>
        </is>
      </c>
      <c r="G234" s="19" t="inlineStr">
        <is>
          <t>https://www.xiaohongshu.com/user/profile/5d6e1df100000000010090d8</t>
        </is>
      </c>
      <c r="H234" s="18" t="n">
        <v>872146331</v>
      </c>
      <c r="I234" s="18" t="inlineStr">
        <is>
          <t>家居家装</t>
        </is>
      </c>
      <c r="J234" s="18" t="n"/>
      <c r="K234" s="18" t="n"/>
      <c r="L234" s="18" t="inlineStr">
        <is>
          <t>腰部</t>
        </is>
      </c>
      <c r="M234" s="18" t="n">
        <v>16.1</v>
      </c>
      <c r="N234" s="18" t="n">
        <v>53</v>
      </c>
      <c r="O234" s="18" t="n">
        <v>18000</v>
      </c>
      <c r="P234" s="18">
        <f>O234*1.1</f>
        <v/>
      </c>
      <c r="Q234" s="20">
        <f>P234/Z234</f>
        <v/>
      </c>
      <c r="R234" s="20">
        <f>P234/AA234</f>
        <v/>
      </c>
      <c r="S234" s="18" t="inlineStr">
        <is>
          <t>视频</t>
        </is>
      </c>
      <c r="T234" s="21" t="n">
        <v>0.96</v>
      </c>
      <c r="U234" s="21" t="n">
        <v>0.03</v>
      </c>
      <c r="V234" s="21" t="n">
        <v>0.3</v>
      </c>
      <c r="W234" s="21" t="n">
        <v>0.45</v>
      </c>
      <c r="X234" s="21" t="n">
        <v>0.23</v>
      </c>
      <c r="Y234" s="21" t="n">
        <v>0.25</v>
      </c>
      <c r="Z234" s="22" t="n">
        <v>54308</v>
      </c>
      <c r="AA234" s="22" t="n">
        <v>4461</v>
      </c>
    </row>
    <row r="235" ht="19" customHeight="1" s="151">
      <c r="A235" s="43" t="inlineStr">
        <is>
          <t>以下为品牌3.13提报月亮</t>
        </is>
      </c>
      <c r="B235" s="43" t="n"/>
      <c r="C235" s="37" t="n"/>
      <c r="D235" s="121" t="n"/>
      <c r="E235" s="37" t="n"/>
      <c r="F235" s="121" t="n"/>
      <c r="G235" s="121" t="n"/>
      <c r="H235" s="37" t="n"/>
      <c r="I235" s="37" t="n"/>
      <c r="J235" s="37" t="n"/>
      <c r="K235" s="37" t="n"/>
      <c r="L235" s="37" t="n"/>
      <c r="M235" s="37" t="n"/>
      <c r="N235" s="37" t="n"/>
      <c r="O235" s="152" t="n"/>
      <c r="P235" s="18">
        <f>O235*1.1</f>
        <v/>
      </c>
      <c r="Q235" s="20">
        <f>P235/Z235</f>
        <v/>
      </c>
      <c r="R235" s="20">
        <f>P235/AA235</f>
        <v/>
      </c>
      <c r="S235" s="37" t="n"/>
      <c r="T235" s="67" t="n"/>
      <c r="U235" s="41" t="n"/>
      <c r="V235" s="67" t="n"/>
      <c r="W235" s="67" t="n"/>
      <c r="X235" s="67" t="n"/>
      <c r="Y235" s="67" t="n"/>
      <c r="Z235" s="37" t="n"/>
      <c r="AA235" s="37" t="n"/>
      <c r="AB235" s="43" t="n"/>
      <c r="AC235" s="43" t="n"/>
      <c r="AD235" s="43" t="n"/>
      <c r="AE235" s="43" t="n"/>
      <c r="AF235" s="43" t="n"/>
      <c r="AG235" s="43" t="n"/>
      <c r="AH235" s="43" t="n"/>
      <c r="AI235" s="43" t="n"/>
      <c r="AJ235" s="43" t="n"/>
      <c r="AK235" s="43" t="n"/>
      <c r="AL235" s="43" t="n"/>
      <c r="AM235" s="43" t="n"/>
      <c r="AN235" s="43" t="n"/>
      <c r="AO235" s="43" t="n"/>
      <c r="AP235" s="43" t="n"/>
      <c r="AQ235" s="43" t="n"/>
    </row>
    <row r="236" ht="19" customHeight="1" s="151">
      <c r="C236" s="18" t="inlineStr">
        <is>
          <t>品牌</t>
        </is>
      </c>
      <c r="D236" s="134" t="inlineStr">
        <is>
          <t>专注装修实拍分享，懂避坑，推荐油烟机更专业，近期经常出厨房的内容，数据不错</t>
        </is>
      </c>
      <c r="E236" s="18" t="inlineStr">
        <is>
          <t>梁可以</t>
        </is>
      </c>
      <c r="F236" s="19" t="inlineStr">
        <is>
          <t>https://pgy.xiaohongshu.com/solar/pre-trade/blogger-detail/6042f930000000000100253e?track_id=kolSimilar_a93b327146334007b66fa5d0ee6b6b59&amp;source=Advertiser_Similar_Kol</t>
        </is>
      </c>
      <c r="G236" s="19" t="inlineStr">
        <is>
          <t>https://www.xiaohongshu.com/user/profile/6042f930000000000100253e</t>
        </is>
      </c>
      <c r="H236" s="18" t="n">
        <v>1803193244</v>
      </c>
      <c r="I236" s="18" t="inlineStr">
        <is>
          <t>家居家装</t>
        </is>
      </c>
      <c r="J236" s="18" t="n"/>
      <c r="K236" s="18" t="n"/>
      <c r="L236" s="18" t="inlineStr">
        <is>
          <t>尾部</t>
        </is>
      </c>
      <c r="M236" s="18" t="n">
        <v>7</v>
      </c>
      <c r="N236" s="18" t="n">
        <v>90.8</v>
      </c>
      <c r="O236" s="18" t="n">
        <v>15800</v>
      </c>
      <c r="P236" s="18">
        <f>O236*1.1</f>
        <v/>
      </c>
      <c r="Q236" s="20">
        <f>P236/Z236</f>
        <v/>
      </c>
      <c r="R236" s="20">
        <f>P236/AA236</f>
        <v/>
      </c>
      <c r="S236" s="18" t="inlineStr">
        <is>
          <t>视频</t>
        </is>
      </c>
      <c r="T236" s="21" t="n">
        <v>0.8100000000000001</v>
      </c>
      <c r="U236" s="21" t="n">
        <v>0.16</v>
      </c>
      <c r="V236" s="21" t="n">
        <v>0.3</v>
      </c>
      <c r="W236" s="21" t="n">
        <v>0.22</v>
      </c>
      <c r="X236" s="21" t="n">
        <v>0.33</v>
      </c>
      <c r="Y236" s="21" t="n">
        <v>0.21</v>
      </c>
      <c r="Z236" s="22" t="n">
        <v>25084</v>
      </c>
      <c r="AA236" s="22" t="n">
        <v>2513</v>
      </c>
    </row>
    <row r="237" ht="19" customHeight="1" s="151">
      <c r="C237" s="18" t="inlineStr">
        <is>
          <t>品牌</t>
        </is>
      </c>
      <c r="D237" s="5" t="inlineStr">
        <is>
          <t>三猫一娃，可以切入产品静音卖点</t>
        </is>
      </c>
      <c r="E237" s="18" t="inlineStr">
        <is>
          <t>麻酱好猫</t>
        </is>
      </c>
      <c r="F237" s="7" t="inlineStr">
        <is>
          <t>https://pgy.xiaohongshu.com/solar/pre-trade/blogger-detail/5e857ccc000000000100bea8?track_id=kolSimilar_97e5c0938dfd461180454a0152e9f136&amp;source=Advertiser_Similar_Kol</t>
        </is>
      </c>
      <c r="G237" s="19" t="inlineStr">
        <is>
          <t>https://www.xiaohongshu.com/user/profile/5e857ccc000000000100bea8</t>
        </is>
      </c>
      <c r="H237" s="18" t="inlineStr">
        <is>
          <t>sadaharu_14</t>
        </is>
      </c>
      <c r="I237" s="18" t="inlineStr">
        <is>
          <t>家居家装</t>
        </is>
      </c>
      <c r="J237" s="18" t="n"/>
      <c r="K237" s="18" t="n"/>
      <c r="L237" s="18" t="inlineStr">
        <is>
          <t>尾部</t>
        </is>
      </c>
      <c r="M237" s="18" t="n">
        <v>2.7</v>
      </c>
      <c r="N237" s="18" t="n">
        <v>42.7</v>
      </c>
      <c r="O237" s="18" t="n">
        <v>8000</v>
      </c>
      <c r="P237" s="18">
        <f>O237*1.1</f>
        <v/>
      </c>
      <c r="Q237" s="20">
        <f>P237/Z237</f>
        <v/>
      </c>
      <c r="R237" s="20">
        <f>P237/AA237</f>
        <v/>
      </c>
      <c r="S237" s="18" t="inlineStr">
        <is>
          <t>视频</t>
        </is>
      </c>
      <c r="T237" s="21" t="n">
        <v>0.76</v>
      </c>
      <c r="U237" s="21" t="n">
        <v>0.21</v>
      </c>
      <c r="V237" s="21" t="n">
        <v>0.45</v>
      </c>
      <c r="W237" s="21" t="n">
        <v>0.21</v>
      </c>
      <c r="X237" s="21" t="n">
        <v>0.49</v>
      </c>
      <c r="Y237" s="21" t="n">
        <v>0.14</v>
      </c>
      <c r="Z237" s="22" t="n">
        <v>25473</v>
      </c>
      <c r="AA237" s="22" t="n">
        <v>1838</v>
      </c>
    </row>
    <row r="238" ht="19" customHeight="1" s="151">
      <c r="C238" s="18" t="inlineStr">
        <is>
          <t>品牌</t>
        </is>
      </c>
      <c r="D238" s="134" t="inlineStr">
        <is>
          <t>正在软装中，家里调性高</t>
        </is>
      </c>
      <c r="E238" s="18" t="inlineStr">
        <is>
          <t>九开心（软装中）</t>
        </is>
      </c>
      <c r="F238" s="19" t="inlineStr">
        <is>
          <t>https://pgy.xiaohongshu.com/solar/pre-trade/blogger-detail/6533eae10000000006004c8a?track_id=kolSimilar_9d1e24782ccf4cc593cb6bc3ce2c1ebb&amp;source=Advertiser_Similar_Kol</t>
        </is>
      </c>
      <c r="G238" s="19" t="inlineStr">
        <is>
          <t>https://www.xiaohongshu.com/user/profile/6533eae10000000006004c8a</t>
        </is>
      </c>
      <c r="H238" s="7" t="n">
        <v>5979261488</v>
      </c>
      <c r="I238" s="18" t="inlineStr">
        <is>
          <t>家居家装</t>
        </is>
      </c>
      <c r="J238" s="18" t="inlineStr">
        <is>
          <t>家居家装</t>
        </is>
      </c>
      <c r="K238" s="18" t="inlineStr">
        <is>
          <t>家居家装</t>
        </is>
      </c>
      <c r="L238" s="18" t="inlineStr">
        <is>
          <t>尾部</t>
        </is>
      </c>
      <c r="M238" s="18" t="n">
        <v>1.2</v>
      </c>
      <c r="N238" s="18" t="n">
        <v>11.9</v>
      </c>
      <c r="O238" s="18" t="n">
        <v>4700</v>
      </c>
      <c r="P238" s="18">
        <f>O238*1.1</f>
        <v/>
      </c>
      <c r="Q238" s="20">
        <f>P238/Z238</f>
        <v/>
      </c>
      <c r="R238" s="20">
        <f>P238/AA238</f>
        <v/>
      </c>
      <c r="S238" s="18" t="inlineStr">
        <is>
          <t>视频</t>
        </is>
      </c>
      <c r="T238" s="21" t="n">
        <v>0.87</v>
      </c>
      <c r="U238" s="21" t="n">
        <v>0.12</v>
      </c>
      <c r="V238" s="21" t="n">
        <v>0.38</v>
      </c>
      <c r="W238" s="21" t="n">
        <v>0.31</v>
      </c>
      <c r="X238" s="21" t="n">
        <v>0.5</v>
      </c>
      <c r="Y238" s="21" t="n">
        <v>0.18</v>
      </c>
      <c r="Z238" s="22" t="n">
        <v>7276</v>
      </c>
      <c r="AA238" s="18" t="n">
        <v>944</v>
      </c>
    </row>
    <row r="239" ht="19" customHeight="1" s="151">
      <c r="C239" s="18" t="inlineStr">
        <is>
          <t>品牌</t>
        </is>
      </c>
      <c r="D239" s="5" t="inlineStr">
        <is>
          <t>垂类家装测评账号，近期外溢进店中位数527</t>
        </is>
      </c>
      <c r="E239" s="18" t="inlineStr">
        <is>
          <t>Brittany</t>
        </is>
      </c>
      <c r="F239" s="7" t="inlineStr">
        <is>
          <t>https://pgy.xiaohongshu.com/solar/pre-trade/blogger-detail/5ab7510d4eacab45e190fdb7?track_id=kolSimilar_136422d8e85b43c0ab0a3c2e37a11918&amp;source=Advertiser_Similar_Kol</t>
        </is>
      </c>
      <c r="G239" s="19" t="inlineStr">
        <is>
          <t>https://www.xiaohongshu.com/user/profile/5ab7510d4eacab45e190fdb7</t>
        </is>
      </c>
      <c r="H239" s="18" t="inlineStr">
        <is>
          <t>Lg1136128805</t>
        </is>
      </c>
      <c r="I239" s="18" t="inlineStr">
        <is>
          <t>家居家装</t>
        </is>
      </c>
      <c r="J239" s="18" t="n"/>
      <c r="K239" s="18" t="n"/>
      <c r="L239" s="18" t="inlineStr">
        <is>
          <t>尾部</t>
        </is>
      </c>
      <c r="M239" s="18" t="n">
        <v>7.5</v>
      </c>
      <c r="N239" s="18" t="n">
        <v>167.9</v>
      </c>
      <c r="O239" s="18" t="n">
        <v>4500</v>
      </c>
      <c r="P239" s="18">
        <f>O239*1.1</f>
        <v/>
      </c>
      <c r="Q239" s="20">
        <f>P239/Z239</f>
        <v/>
      </c>
      <c r="R239" s="20">
        <f>P239/AA239</f>
        <v/>
      </c>
      <c r="S239" s="18" t="inlineStr">
        <is>
          <t>图文</t>
        </is>
      </c>
      <c r="T239" s="21" t="n">
        <v>0.73</v>
      </c>
      <c r="U239" s="21" t="n">
        <v>0.1</v>
      </c>
      <c r="V239" s="21" t="n">
        <v>0.41</v>
      </c>
      <c r="W239" s="21" t="n">
        <v>0.3</v>
      </c>
      <c r="X239" s="21" t="n">
        <v>0.45</v>
      </c>
      <c r="Y239" s="21" t="n">
        <v>0.21</v>
      </c>
      <c r="Z239" s="22" t="n">
        <v>8408</v>
      </c>
      <c r="AA239" s="18" t="n">
        <v>861</v>
      </c>
    </row>
    <row r="240" ht="19" customHeight="1" s="151">
      <c r="C240" s="18" t="inlineStr">
        <is>
          <t>品牌</t>
        </is>
      </c>
      <c r="D240" s="134" t="inlineStr">
        <is>
          <t>450平自建房，风格独特</t>
        </is>
      </c>
      <c r="E240" s="18" t="inlineStr">
        <is>
          <t>十月周末</t>
        </is>
      </c>
      <c r="F240" s="19" t="inlineStr">
        <is>
          <t>https://pgy.xiaohongshu.com/solar/pre-trade/blogger-detail/5e762da20000000001001eea?track_id=kolSimilar_c397fbfd516c4c98bd1d11e120d19146&amp;source=Advertiser_Similar_Kol</t>
        </is>
      </c>
      <c r="G240" s="19" t="inlineStr">
        <is>
          <t>https://www.xiaohongshu.com/user/profile/5e762da20000000001001eea</t>
        </is>
      </c>
      <c r="H240" s="18" t="n">
        <v>902353962</v>
      </c>
      <c r="I240" s="18" t="inlineStr">
        <is>
          <t>家居家装</t>
        </is>
      </c>
      <c r="J240" s="18" t="n"/>
      <c r="K240" s="18" t="n"/>
      <c r="L240" s="18" t="inlineStr">
        <is>
          <t>尾部</t>
        </is>
      </c>
      <c r="M240" s="18" t="n">
        <v>2.5</v>
      </c>
      <c r="N240" s="18" t="n">
        <v>56.4</v>
      </c>
      <c r="O240" s="18" t="n">
        <v>4200</v>
      </c>
      <c r="P240" s="18">
        <f>O240*1.1</f>
        <v/>
      </c>
      <c r="Q240" s="20">
        <f>P240/Z240</f>
        <v/>
      </c>
      <c r="R240" s="20">
        <f>P240/AA240</f>
        <v/>
      </c>
      <c r="S240" s="18" t="inlineStr">
        <is>
          <t>图文</t>
        </is>
      </c>
      <c r="T240" s="21" t="n">
        <v>0.76</v>
      </c>
      <c r="U240" s="21" t="n">
        <v>0.09</v>
      </c>
      <c r="V240" s="21" t="n">
        <v>0.49</v>
      </c>
      <c r="W240" s="21" t="n">
        <v>0.31</v>
      </c>
      <c r="X240" s="21" t="n">
        <v>0.47</v>
      </c>
      <c r="Y240" s="21" t="n">
        <v>0.18</v>
      </c>
      <c r="Z240" s="18" t="n">
        <v>7800</v>
      </c>
      <c r="AA240" s="18" t="n">
        <v>180</v>
      </c>
    </row>
    <row r="241" ht="19" customHeight="1" s="151">
      <c r="C241" s="18" t="inlineStr">
        <is>
          <t>品牌</t>
        </is>
      </c>
      <c r="D241" s="134" t="inlineStr">
        <is>
          <t>健康生活方式，过往电器合适数据不错。</t>
        </is>
      </c>
      <c r="E241" s="18" t="inlineStr">
        <is>
          <t>Patric尼尼</t>
        </is>
      </c>
      <c r="F241" s="7" t="inlineStr">
        <is>
          <t>https://pgy.xiaohongshu.com/solar/pre-trade/blogger-detail/669f8435000000002401d5d7?track_id=kolMatch_2f2985a15fe94142897124decaed1ddb&amp;source=Advertiser_Kol</t>
        </is>
      </c>
      <c r="G241" s="19" t="inlineStr">
        <is>
          <t>https://www.xiaohongshu.com/user/profile/669f8435000000002401d5d7</t>
        </is>
      </c>
      <c r="H241" s="18" t="n">
        <v>42852050238</v>
      </c>
      <c r="I241" s="18" t="inlineStr">
        <is>
          <t>家居家装</t>
        </is>
      </c>
      <c r="J241" s="18" t="n"/>
      <c r="K241" s="18" t="n"/>
      <c r="L241" s="18" t="inlineStr">
        <is>
          <t>尾部</t>
        </is>
      </c>
      <c r="M241" s="18" t="n">
        <v>0.8</v>
      </c>
      <c r="N241" s="18" t="n">
        <v>8.800000000000001</v>
      </c>
      <c r="O241" s="18" t="n">
        <v>2800</v>
      </c>
      <c r="P241" s="18">
        <f>O241*1.1</f>
        <v/>
      </c>
      <c r="Q241" s="20">
        <f>P241/Z241</f>
        <v/>
      </c>
      <c r="R241" s="20">
        <f>P241/AA241</f>
        <v/>
      </c>
      <c r="S241" s="18" t="inlineStr">
        <is>
          <t>视频</t>
        </is>
      </c>
      <c r="T241" s="21" t="n">
        <v>0.59</v>
      </c>
      <c r="U241" s="21" t="n">
        <v>0.11</v>
      </c>
      <c r="V241" s="21" t="n">
        <v>0.24</v>
      </c>
      <c r="W241" s="21" t="n">
        <v>0.29</v>
      </c>
      <c r="X241" s="21" t="n">
        <v>0.33</v>
      </c>
      <c r="Y241" s="21" t="n">
        <v>0.2</v>
      </c>
      <c r="Z241" s="22" t="n">
        <v>4864</v>
      </c>
      <c r="AA241" s="18" t="n">
        <v>802</v>
      </c>
    </row>
    <row r="242" ht="19" customHeight="1" s="151">
      <c r="C242" s="18" t="inlineStr">
        <is>
          <t>品牌</t>
        </is>
      </c>
      <c r="D242" s="5" t="inlineStr">
        <is>
          <t xml:space="preserve">有厨房场景，备孕属性，健康生活方式 </t>
        </is>
      </c>
      <c r="E242" s="18" t="inlineStr">
        <is>
          <t>陈尧玉</t>
        </is>
      </c>
      <c r="F242" s="7" t="inlineStr">
        <is>
          <t>https://pgy.xiaohongshu.com/solar/pre-trade/blogger-detail/5be66dea0c8b3600019878ca?track_id=kolMatch_0f8dbf46b3f5463da17b109b7f2f5253&amp;source=Advertiser_Kol</t>
        </is>
      </c>
      <c r="G242" s="19" t="inlineStr">
        <is>
          <t>https://www.xiaohongshu.com/user/profile/5be66dea0c8b3600019878ca</t>
        </is>
      </c>
      <c r="H242" s="18" t="n">
        <v>384281874</v>
      </c>
      <c r="I242" s="18" t="inlineStr">
        <is>
          <t>家居家装/美食</t>
        </is>
      </c>
      <c r="J242" s="18" t="n"/>
      <c r="K242" s="18" t="n"/>
      <c r="L242" s="18" t="inlineStr">
        <is>
          <t>尾部</t>
        </is>
      </c>
      <c r="M242" s="18" t="n">
        <v>1.2</v>
      </c>
      <c r="N242" s="18" t="n">
        <v>6.2</v>
      </c>
      <c r="O242" s="18" t="n">
        <v>7500</v>
      </c>
      <c r="P242" s="18">
        <f>O242*1.1</f>
        <v/>
      </c>
      <c r="Q242" s="20">
        <f>P242/Z242</f>
        <v/>
      </c>
      <c r="R242" s="20">
        <f>P242/AA242</f>
        <v/>
      </c>
      <c r="S242" s="18" t="inlineStr">
        <is>
          <t>视频</t>
        </is>
      </c>
      <c r="T242" s="21" t="n">
        <v>0.89</v>
      </c>
      <c r="U242" s="21" t="n">
        <v>0.08</v>
      </c>
      <c r="V242" s="21" t="n">
        <v>0.32</v>
      </c>
      <c r="W242" s="21" t="n">
        <v>0.37</v>
      </c>
      <c r="X242" s="21" t="n">
        <v>0.52</v>
      </c>
      <c r="Y242" s="21" t="n">
        <v>0.19</v>
      </c>
      <c r="Z242" s="22" t="n">
        <v>10643</v>
      </c>
      <c r="AA242" s="18" t="n">
        <v>459</v>
      </c>
    </row>
    <row r="243" ht="19" customHeight="1" s="151">
      <c r="C243" s="18" t="inlineStr">
        <is>
          <t>品牌</t>
        </is>
      </c>
      <c r="D243" s="5" t="inlineStr">
        <is>
          <t xml:space="preserve">极简厨房场景 近期爆文 </t>
        </is>
      </c>
      <c r="E243" s="18" t="inlineStr">
        <is>
          <t>允贤🏠</t>
        </is>
      </c>
      <c r="F243" s="7" t="inlineStr">
        <is>
          <t>https://pgy.xiaohongshu.com/solar/pre-trade/blogger-detail/5d2c8a8c000000001002890b?track_id=kolSimilar_5d190bf56ad5467396c3ea3be025631c&amp;source=Advertiser_Similar_Kol</t>
        </is>
      </c>
      <c r="G243" s="19" t="inlineStr">
        <is>
          <t>https://www.xiaohongshu.com/user/profile/5d2c8a8c000000001002890b</t>
        </is>
      </c>
      <c r="H243" s="18" t="inlineStr">
        <is>
          <t>hsq534738188</t>
        </is>
      </c>
      <c r="I243" s="18" t="inlineStr">
        <is>
          <t>家居家装</t>
        </is>
      </c>
      <c r="J243" s="18" t="n"/>
      <c r="K243" s="18" t="n"/>
      <c r="L243" s="18" t="inlineStr">
        <is>
          <t>尾部</t>
        </is>
      </c>
      <c r="M243" s="18" t="n">
        <v>3.8</v>
      </c>
      <c r="N243" s="18" t="n">
        <v>78.90000000000001</v>
      </c>
      <c r="O243" s="18" t="n">
        <v>7200</v>
      </c>
      <c r="P243" s="18">
        <f>O243*1.1</f>
        <v/>
      </c>
      <c r="Q243" s="20">
        <f>P243/Z243</f>
        <v/>
      </c>
      <c r="R243" s="20">
        <f>P243/AA243</f>
        <v/>
      </c>
      <c r="S243" s="18" t="inlineStr">
        <is>
          <t>图文</t>
        </is>
      </c>
      <c r="T243" s="21" t="n">
        <v>0.79</v>
      </c>
      <c r="U243" s="21" t="n">
        <v>0.07000000000000001</v>
      </c>
      <c r="V243" s="21" t="n">
        <v>0.55</v>
      </c>
      <c r="W243" s="21" t="n">
        <v>0.25</v>
      </c>
      <c r="X243" s="21" t="n">
        <v>0.54</v>
      </c>
      <c r="Y243" s="21" t="n">
        <v>0.16</v>
      </c>
      <c r="Z243" s="22" t="n">
        <v>28049</v>
      </c>
      <c r="AA243" s="18" t="n">
        <v>2760</v>
      </c>
    </row>
    <row r="244" ht="19" customHeight="1" s="151">
      <c r="C244" s="18" t="inlineStr">
        <is>
          <t>品牌</t>
        </is>
      </c>
      <c r="D244" s="5" t="inlineStr">
        <is>
          <t xml:space="preserve"> 精致女性人群 慢生活场景 爆文率高</t>
        </is>
      </c>
      <c r="E244" s="18" t="inlineStr">
        <is>
          <t>谜语</t>
        </is>
      </c>
      <c r="F244" s="7" t="inlineStr">
        <is>
          <t>https://pgy.xiaohongshu.com/solar/pre-trade/blogger-detail/615d65760000000002018dc4?track_id=kolMatch_0e79be37b3b94b5d9f6098323fd6714f&amp;source=Advertiser_Kol</t>
        </is>
      </c>
      <c r="G244" s="19" t="inlineStr">
        <is>
          <t>https://www.xiaohongshu.com/user/profile/615d65760000000002018dc4</t>
        </is>
      </c>
      <c r="H244" s="18" t="n">
        <v>1875350500</v>
      </c>
      <c r="I244" s="18" t="inlineStr">
        <is>
          <t>家居家装</t>
        </is>
      </c>
      <c r="J244" s="18" t="n"/>
      <c r="K244" s="18" t="n"/>
      <c r="L244" s="18" t="inlineStr">
        <is>
          <t>腰部</t>
        </is>
      </c>
      <c r="M244" s="18" t="n">
        <v>19.2</v>
      </c>
      <c r="N244" s="18" t="n">
        <v>185.6</v>
      </c>
      <c r="O244" s="18" t="n">
        <v>32000</v>
      </c>
      <c r="P244" s="18">
        <f>O244*1.1</f>
        <v/>
      </c>
      <c r="Q244" s="20">
        <f>P244/Z244</f>
        <v/>
      </c>
      <c r="R244" s="20">
        <f>P244/AA244</f>
        <v/>
      </c>
      <c r="S244" s="18" t="inlineStr">
        <is>
          <t>视频</t>
        </is>
      </c>
      <c r="T244" s="21" t="n">
        <v>0.8100000000000001</v>
      </c>
      <c r="U244" s="21" t="n">
        <v>0.13</v>
      </c>
      <c r="V244" s="21" t="n">
        <v>0.42</v>
      </c>
      <c r="W244" s="21" t="n">
        <v>0.29</v>
      </c>
      <c r="X244" s="21" t="n">
        <v>0.57</v>
      </c>
      <c r="Y244" s="21" t="n">
        <v>0.16</v>
      </c>
      <c r="Z244" s="22" t="n">
        <v>23303</v>
      </c>
      <c r="AA244" s="22" t="n">
        <v>1241</v>
      </c>
    </row>
    <row r="245" ht="19" customHeight="1" s="151">
      <c r="C245" s="18" t="inlineStr">
        <is>
          <t>品牌</t>
        </is>
      </c>
      <c r="D245" s="5" t="inlineStr">
        <is>
          <t xml:space="preserve">装修博主，家庭厨房场景 </t>
        </is>
      </c>
      <c r="E245" s="18" t="inlineStr">
        <is>
          <t>远远装修日记</t>
        </is>
      </c>
      <c r="F245" s="7" t="inlineStr">
        <is>
          <t>https://pgy.xiaohongshu.com/solar/pre-trade/blogger-detail/6040e2ef0000000001002f7a?track_id=kolSimilar_5d190bf56ad5467396c3ea3be025631c&amp;source=Advertiser_Similar_Kol</t>
        </is>
      </c>
      <c r="G245" s="19" t="inlineStr">
        <is>
          <t>https://www.xiaohongshu.com/user/profile/6040e2ef0000000001002f7a</t>
        </is>
      </c>
      <c r="H245" s="18" t="n">
        <v>1809063366</v>
      </c>
      <c r="I245" s="18" t="inlineStr">
        <is>
          <t>家居家装</t>
        </is>
      </c>
      <c r="J245" s="18" t="n"/>
      <c r="K245" s="18" t="n"/>
      <c r="L245" s="18" t="inlineStr">
        <is>
          <t>尾部</t>
        </is>
      </c>
      <c r="M245" s="18" t="n">
        <v>2.8</v>
      </c>
      <c r="N245" s="18" t="n">
        <v>65.7</v>
      </c>
      <c r="O245" s="18" t="n">
        <v>7000</v>
      </c>
      <c r="P245" s="18">
        <f>O245*1.1</f>
        <v/>
      </c>
      <c r="Q245" s="20">
        <f>P245/Z245</f>
        <v/>
      </c>
      <c r="R245" s="20">
        <f>P245/AA245</f>
        <v/>
      </c>
      <c r="S245" s="18" t="inlineStr">
        <is>
          <t>图文</t>
        </is>
      </c>
      <c r="T245" s="21" t="n">
        <v>0.8</v>
      </c>
      <c r="U245" s="21" t="n">
        <v>0.07000000000000001</v>
      </c>
      <c r="V245" s="21" t="n">
        <v>0.52</v>
      </c>
      <c r="W245" s="21" t="n">
        <v>0.28</v>
      </c>
      <c r="X245" s="21" t="n">
        <v>0.5</v>
      </c>
      <c r="Y245" s="21" t="n">
        <v>0.18</v>
      </c>
      <c r="Z245" s="22" t="n">
        <v>23968</v>
      </c>
      <c r="AA245" s="18" t="n">
        <v>995</v>
      </c>
    </row>
    <row r="246" ht="19" customHeight="1" s="151">
      <c r="C246" s="18" t="inlineStr">
        <is>
          <t>品牌</t>
        </is>
      </c>
      <c r="D246" s="5" t="inlineStr">
        <is>
          <t>近期外溢进店中位数 16,833</t>
        </is>
      </c>
      <c r="E246" s="18" t="inlineStr">
        <is>
          <t>小波浪</t>
        </is>
      </c>
      <c r="F246" s="7" t="inlineStr">
        <is>
          <t>https://pgy.xiaohongshu.com/solar/pre-trade/blogger-detail/54b4f08fe77989182ab592d9?track_id=kolSimilar_82279018916443299579964c26e9d272&amp;source=Advertiser_Similar_Kol</t>
        </is>
      </c>
      <c r="G246" s="19" t="inlineStr">
        <is>
          <t>https://www.xiaohongshu.com/user/profile/54b4f08fe77989182ab592d9</t>
        </is>
      </c>
      <c r="H246" s="18" t="n">
        <v>494993655</v>
      </c>
      <c r="I246" s="18" t="inlineStr">
        <is>
          <t>家居家装</t>
        </is>
      </c>
      <c r="J246" s="18" t="n"/>
      <c r="K246" s="18" t="n"/>
      <c r="L246" s="18" t="inlineStr">
        <is>
          <t>尾部</t>
        </is>
      </c>
      <c r="M246" s="18" t="n">
        <v>9.800000000000001</v>
      </c>
      <c r="N246" s="18" t="n">
        <v>188.2</v>
      </c>
      <c r="O246" s="18" t="n">
        <v>12000</v>
      </c>
      <c r="P246" s="18">
        <f>O246*1.1</f>
        <v/>
      </c>
      <c r="Q246" s="20">
        <f>P246/Z246</f>
        <v/>
      </c>
      <c r="R246" s="20">
        <f>P246/AA246</f>
        <v/>
      </c>
      <c r="S246" s="18" t="inlineStr">
        <is>
          <t>视频</t>
        </is>
      </c>
      <c r="T246" s="21" t="n">
        <v>0.8100000000000001</v>
      </c>
      <c r="U246" s="21" t="n">
        <v>0.06</v>
      </c>
      <c r="V246" s="21" t="n">
        <v>0.3</v>
      </c>
      <c r="W246" s="21" t="n">
        <v>0.32</v>
      </c>
      <c r="X246" s="21" t="n">
        <v>0.35</v>
      </c>
      <c r="Y246" s="21" t="n">
        <v>0.23</v>
      </c>
      <c r="Z246" s="22" t="n">
        <v>37035</v>
      </c>
      <c r="AA246" s="22" t="n">
        <v>1587</v>
      </c>
    </row>
    <row r="247" ht="19" customHeight="1" s="151">
      <c r="C247" s="18" t="inlineStr">
        <is>
          <t>品牌</t>
        </is>
      </c>
      <c r="D247" s="5" t="inlineStr">
        <is>
          <t>垂直家装测评，爆文多</t>
        </is>
      </c>
      <c r="E247" s="18" t="inlineStr">
        <is>
          <t>斑比不踩坑</t>
        </is>
      </c>
      <c r="F247" s="7" t="inlineStr">
        <is>
          <t>https://pgy.xiaohongshu.com/solar/pre-trade/blogger-detail/64d4b8cf0000000001029955?track_id=kolSimilar_c51930e89c1244cfb9a89441badc35ce&amp;source=Advertiser_Similar_Kol</t>
        </is>
      </c>
      <c r="G247" s="19" t="inlineStr">
        <is>
          <t>https://www.xiaohongshu.com/user/profile/64d4b8cf0000000001029955</t>
        </is>
      </c>
      <c r="H247" s="18" t="n">
        <v>2074032370</v>
      </c>
      <c r="I247" s="18" t="inlineStr">
        <is>
          <t>家居家装</t>
        </is>
      </c>
      <c r="J247" s="18" t="n"/>
      <c r="K247" s="18" t="n"/>
      <c r="L247" s="18" t="inlineStr">
        <is>
          <t>腰部</t>
        </is>
      </c>
      <c r="M247" s="18" t="n">
        <v>14.8</v>
      </c>
      <c r="N247" s="18" t="n">
        <v>314.8</v>
      </c>
      <c r="O247" s="18" t="n">
        <v>17800</v>
      </c>
      <c r="P247" s="18">
        <f>O247*1.1</f>
        <v/>
      </c>
      <c r="Q247" s="20">
        <f>P247/Z247</f>
        <v/>
      </c>
      <c r="R247" s="20">
        <f>P247/AA247</f>
        <v/>
      </c>
      <c r="S247" s="18" t="inlineStr">
        <is>
          <t>视频</t>
        </is>
      </c>
      <c r="T247" s="21" t="n">
        <v>0.8</v>
      </c>
      <c r="U247" s="21" t="n">
        <v>0.2</v>
      </c>
      <c r="V247" s="21" t="n">
        <v>0.28</v>
      </c>
      <c r="W247" s="21" t="n">
        <v>0.21</v>
      </c>
      <c r="X247" s="21" t="n">
        <v>0.28</v>
      </c>
      <c r="Y247" s="21" t="n">
        <v>0.21</v>
      </c>
      <c r="Z247" s="22" t="n">
        <v>22276</v>
      </c>
      <c r="AA247" s="22" t="n">
        <v>1369</v>
      </c>
    </row>
    <row r="248" ht="19" customHeight="1" s="151">
      <c r="C248" s="18" t="inlineStr">
        <is>
          <t>品牌</t>
        </is>
      </c>
      <c r="D248" s="5" t="inlineStr">
        <is>
          <t>厨房宽敞</t>
        </is>
      </c>
      <c r="E248" s="18" t="inlineStr">
        <is>
          <t>芝麻Home</t>
        </is>
      </c>
      <c r="F248" s="7" t="inlineStr">
        <is>
          <t>https://pgy.xiaohongshu.com/solar/pre-trade/blogger-detail/5b1ba5326b58b728c0235cb4?track_id=kolSimilar_82279018916443299579964c26e9d272&amp;source=Advertiser_Similar_Kol</t>
        </is>
      </c>
      <c r="G248" s="19" t="inlineStr">
        <is>
          <t>https://www.xiaohongshu.com/user/profile/5b1ba5326b58b728c0235cb4</t>
        </is>
      </c>
      <c r="H248" s="18" t="inlineStr">
        <is>
          <t>WANGHaoxoo</t>
        </is>
      </c>
      <c r="I248" s="18" t="inlineStr">
        <is>
          <t>家居家装</t>
        </is>
      </c>
      <c r="J248" s="18" t="n"/>
      <c r="K248" s="18" t="n"/>
      <c r="L248" s="18" t="inlineStr">
        <is>
          <t>尾部</t>
        </is>
      </c>
      <c r="M248" s="18" t="n">
        <v>5.1</v>
      </c>
      <c r="N248" s="18" t="n">
        <v>20.2</v>
      </c>
      <c r="O248" s="18" t="n">
        <v>8000</v>
      </c>
      <c r="P248" s="18">
        <f>O248*1.1</f>
        <v/>
      </c>
      <c r="Q248" s="20">
        <f>P248/Z248</f>
        <v/>
      </c>
      <c r="R248" s="20">
        <f>P248/AA248</f>
        <v/>
      </c>
      <c r="S248" s="18" t="inlineStr">
        <is>
          <t>视频</t>
        </is>
      </c>
      <c r="T248" s="21" t="n">
        <v>0.76</v>
      </c>
      <c r="U248" s="21" t="n">
        <v>0.28</v>
      </c>
      <c r="V248" s="21" t="n">
        <v>0.41</v>
      </c>
      <c r="W248" s="21" t="n">
        <v>0.15</v>
      </c>
      <c r="X248" s="21" t="n">
        <v>0.43</v>
      </c>
      <c r="Y248" s="21" t="n">
        <v>0.15</v>
      </c>
      <c r="Z248" s="22" t="n">
        <v>17712</v>
      </c>
      <c r="AA248" s="22" t="n">
        <v>1225</v>
      </c>
    </row>
    <row r="249" ht="19" customHeight="1" s="151">
      <c r="C249" s="18" t="inlineStr">
        <is>
          <t>品牌</t>
        </is>
      </c>
      <c r="D249" s="5" t="inlineStr">
        <is>
          <t>测评避坑指南</t>
        </is>
      </c>
      <c r="E249" s="7" t="inlineStr">
        <is>
          <t>超牛工具人哒哒🏠</t>
        </is>
      </c>
      <c r="F249" s="7" t="inlineStr">
        <is>
          <t>https://pgy.xiaohongshu.com/solar/pre-trade/blogger-detail/5a995da811be1053efef450c?track_id=kolSimilar_82279018916443299579964c26e9d272&amp;source=Advertiser_Similar_Kol</t>
        </is>
      </c>
      <c r="G249" s="19" t="inlineStr">
        <is>
          <t>https://www.xiaohongshu.com/user/profile/5a995da811be1053efef450c</t>
        </is>
      </c>
      <c r="H249" s="18" t="n">
        <v>630201674</v>
      </c>
      <c r="I249" s="18" t="inlineStr">
        <is>
          <t>家居家装</t>
        </is>
      </c>
      <c r="J249" s="18" t="n"/>
      <c r="K249" s="18" t="n"/>
      <c r="L249" s="18" t="inlineStr">
        <is>
          <t>尾部</t>
        </is>
      </c>
      <c r="M249" s="18" t="n">
        <v>4</v>
      </c>
      <c r="N249" s="18" t="n">
        <v>35.6</v>
      </c>
      <c r="O249" s="18" t="n">
        <v>12800</v>
      </c>
      <c r="P249" s="18">
        <f>O249*1.1</f>
        <v/>
      </c>
      <c r="Q249" s="20">
        <f>P249/Z249</f>
        <v/>
      </c>
      <c r="R249" s="20">
        <f>P249/AA249</f>
        <v/>
      </c>
      <c r="S249" s="18" t="inlineStr">
        <is>
          <t>视频</t>
        </is>
      </c>
      <c r="T249" s="21" t="n">
        <v>0.8100000000000001</v>
      </c>
      <c r="U249" s="21" t="n">
        <v>0.07000000000000001</v>
      </c>
      <c r="V249" s="21" t="n">
        <v>0.44</v>
      </c>
      <c r="W249" s="21" t="n">
        <v>0.3</v>
      </c>
      <c r="X249" s="21" t="n">
        <v>0.44</v>
      </c>
      <c r="Y249" s="21" t="n">
        <v>0.19</v>
      </c>
      <c r="Z249" s="22" t="n">
        <v>17754</v>
      </c>
      <c r="AA249" s="18" t="n">
        <v>788</v>
      </c>
    </row>
    <row r="250" ht="19" customHeight="1" s="151">
      <c r="C250" s="18" t="inlineStr">
        <is>
          <t>品牌</t>
        </is>
      </c>
      <c r="D250" s="5" t="inlineStr">
        <is>
          <t>近期爆文多，涨粉多</t>
        </is>
      </c>
      <c r="E250" s="7" t="inlineStr">
        <is>
          <t>黄辣条！</t>
        </is>
      </c>
      <c r="F250" s="7" t="inlineStr">
        <is>
          <t>https://pgy.xiaohongshu.com/solar/pre-trade/blogger-detail/63116180000000000f005d2d?track_id=kolSimilar_c51930e89c1244cfb9a89441badc35ce&amp;source=Advertiser_Similar_Kol</t>
        </is>
      </c>
      <c r="G250" s="19" t="inlineStr">
        <is>
          <t>https://www.xiaohongshu.com/user/profile/63116180000000000f005d2d</t>
        </is>
      </c>
      <c r="H250" s="18" t="n">
        <v>3877334754</v>
      </c>
      <c r="I250" s="18" t="inlineStr">
        <is>
          <t>家居家装</t>
        </is>
      </c>
      <c r="J250" s="18" t="n"/>
      <c r="K250" s="18" t="n"/>
      <c r="L250" s="18" t="inlineStr">
        <is>
          <t>肩部</t>
        </is>
      </c>
      <c r="M250" s="18" t="n">
        <v>34</v>
      </c>
      <c r="N250" s="18" t="n">
        <v>553.7</v>
      </c>
      <c r="O250" s="18" t="n">
        <v>29800</v>
      </c>
      <c r="P250" s="18">
        <f>O250*1.1</f>
        <v/>
      </c>
      <c r="Q250" s="20">
        <f>P250/Z250</f>
        <v/>
      </c>
      <c r="R250" s="20">
        <f>P250/AA250</f>
        <v/>
      </c>
      <c r="S250" s="18" t="inlineStr">
        <is>
          <t>视频</t>
        </is>
      </c>
      <c r="T250" s="21" t="n">
        <v>0.8</v>
      </c>
      <c r="U250" s="21" t="n">
        <v>0.16</v>
      </c>
      <c r="V250" s="21" t="n">
        <v>0.41</v>
      </c>
      <c r="W250" s="21" t="n">
        <v>0.25</v>
      </c>
      <c r="X250" s="21" t="n">
        <v>0.37</v>
      </c>
      <c r="Y250" s="21" t="n">
        <v>0.2</v>
      </c>
      <c r="Z250" s="22" t="n">
        <v>5776</v>
      </c>
      <c r="AA250" s="18" t="n">
        <v>379</v>
      </c>
    </row>
    <row r="251" ht="19" customHeight="1" s="151">
      <c r="C251" s="18" t="inlineStr">
        <is>
          <t>品牌</t>
        </is>
      </c>
      <c r="D251" s="5" t="inlineStr">
        <is>
          <t>母婴家装账号，可以植入产品卖点-静音</t>
        </is>
      </c>
      <c r="E251" s="7" t="inlineStr">
        <is>
          <t>诗澄的美好生活</t>
        </is>
      </c>
      <c r="F251" s="7" t="inlineStr">
        <is>
          <t>https://pgy.xiaohongshu.com/solar/pre-trade/blogger-detail/6213ab75000000001000b85d?track_id=kolSimilar_82279018916443299579964c26e9d272&amp;source=Advertiser_Similar_Kol</t>
        </is>
      </c>
      <c r="G251" s="19" t="inlineStr">
        <is>
          <t>https://www.xiaohongshu.com/user/profile/6213ab75000000001000b85d</t>
        </is>
      </c>
      <c r="H251" s="18" t="n">
        <v>6517725547</v>
      </c>
      <c r="I251" s="18" t="inlineStr">
        <is>
          <t>家居家装/母婴</t>
        </is>
      </c>
      <c r="J251" s="18" t="n"/>
      <c r="K251" s="18" t="n"/>
      <c r="L251" s="18" t="inlineStr">
        <is>
          <t>尾部</t>
        </is>
      </c>
      <c r="M251" s="18" t="n">
        <v>2.3</v>
      </c>
      <c r="N251" s="18" t="n">
        <v>15.5</v>
      </c>
      <c r="O251" s="18" t="n">
        <v>14800</v>
      </c>
      <c r="P251" s="18">
        <f>O251*1.1</f>
        <v/>
      </c>
      <c r="Q251" s="20">
        <f>P251/Z251</f>
        <v/>
      </c>
      <c r="R251" s="20">
        <f>P251/AA251</f>
        <v/>
      </c>
      <c r="S251" s="18" t="inlineStr">
        <is>
          <t>视频</t>
        </is>
      </c>
      <c r="T251" s="21" t="n">
        <v>0.76</v>
      </c>
      <c r="U251" s="21" t="n">
        <v>0.13</v>
      </c>
      <c r="V251" s="21" t="n">
        <v>0.41</v>
      </c>
      <c r="W251" s="21" t="n">
        <v>0.33</v>
      </c>
      <c r="X251" s="21" t="n">
        <v>0.48</v>
      </c>
      <c r="Y251" s="21" t="n">
        <v>0.16</v>
      </c>
      <c r="Z251" s="22" t="n">
        <v>11597</v>
      </c>
      <c r="AA251" s="22" t="n">
        <v>1109</v>
      </c>
    </row>
    <row r="252" ht="19" customHeight="1" s="151">
      <c r="C252" s="18" t="inlineStr">
        <is>
          <t>品牌</t>
        </is>
      </c>
      <c r="D252" s="5" t="inlineStr">
        <is>
          <t>之前出过一个厨房烟机吊柜 数据非常好</t>
        </is>
      </c>
      <c r="E252" s="7" t="inlineStr">
        <is>
          <t>圆子在家</t>
        </is>
      </c>
      <c r="F252" s="7" t="inlineStr">
        <is>
          <t>https://pgy.xiaohongshu.com/solar/pre-trade/blogger-detail/6539c674000000000200e42f?track_id=kolSimilar_82279018916443299579964c26e9d272&amp;source=Advertiser_Similar_Kol</t>
        </is>
      </c>
      <c r="G252" s="19" t="inlineStr">
        <is>
          <t>https://www.xiaohongshu.com/user/profile/6539c674000000000200e42f</t>
        </is>
      </c>
      <c r="H252" s="18" t="n">
        <v>8779008077</v>
      </c>
      <c r="I252" s="18" t="inlineStr">
        <is>
          <t>家居家装</t>
        </is>
      </c>
      <c r="J252" s="18" t="n"/>
      <c r="K252" s="18" t="n"/>
      <c r="L252" s="18" t="inlineStr">
        <is>
          <t>肩部</t>
        </is>
      </c>
      <c r="M252" s="18" t="n">
        <v>35.8</v>
      </c>
      <c r="N252" s="18" t="n">
        <v>275</v>
      </c>
      <c r="O252" s="18" t="n">
        <v>23800</v>
      </c>
      <c r="P252" s="18">
        <f>O252*1.1</f>
        <v/>
      </c>
      <c r="Q252" s="20">
        <f>P252/Z252</f>
        <v/>
      </c>
      <c r="R252" s="20">
        <f>P252/AA252</f>
        <v/>
      </c>
      <c r="S252" s="18" t="inlineStr">
        <is>
          <t>视频</t>
        </is>
      </c>
      <c r="T252" s="21" t="n">
        <v>0.9</v>
      </c>
      <c r="U252" s="21" t="n">
        <v>0.3</v>
      </c>
      <c r="V252" s="21" t="n">
        <v>0.32</v>
      </c>
      <c r="W252" s="21" t="n">
        <v>0.16</v>
      </c>
      <c r="X252" s="21" t="n">
        <v>0.35</v>
      </c>
      <c r="Y252" s="21" t="n">
        <v>0.18</v>
      </c>
      <c r="Z252" s="18" t="n">
        <v>45000</v>
      </c>
      <c r="AA252" s="18" t="n">
        <v>1200</v>
      </c>
    </row>
    <row r="253" ht="19" customHeight="1" s="151">
      <c r="C253" s="18" t="inlineStr">
        <is>
          <t>品牌</t>
        </is>
      </c>
      <c r="D253" s="19" t="inlineStr">
        <is>
          <t>家装整体调性高</t>
        </is>
      </c>
      <c r="E253" s="18" t="inlineStr">
        <is>
          <t>Circle圈圈</t>
        </is>
      </c>
      <c r="F253" s="7" t="inlineStr">
        <is>
          <t>https://pgy.xiaohongshu.com/solar/pre-trade/blogger-detail/5e31a3bc0000000001001850?track_id=kolSimilar_975e45a9e86249dcb4cc75bb3b755aca&amp;source=Advertiser_Similar_Kol</t>
        </is>
      </c>
      <c r="G253" s="19" t="inlineStr">
        <is>
          <t>https://www.xiaohongshu.com/user/profile/5e31a3bc0000000001001850</t>
        </is>
      </c>
      <c r="H253" s="18" t="n">
        <v>792084371</v>
      </c>
      <c r="I253" s="18" t="inlineStr">
        <is>
          <t>家居家装</t>
        </is>
      </c>
      <c r="J253" s="18" t="n"/>
      <c r="K253" s="18" t="n"/>
      <c r="L253" s="18" t="inlineStr">
        <is>
          <t>尾部</t>
        </is>
      </c>
      <c r="M253" s="18" t="n">
        <v>5.3</v>
      </c>
      <c r="N253" s="18" t="n">
        <v>25.1</v>
      </c>
      <c r="O253" s="18" t="n">
        <v>18800</v>
      </c>
      <c r="P253" s="18">
        <f>O253*1.1</f>
        <v/>
      </c>
      <c r="Q253" s="20">
        <f>P253/Z253</f>
        <v/>
      </c>
      <c r="R253" s="20">
        <f>P253/AA253</f>
        <v/>
      </c>
      <c r="S253" s="18" t="inlineStr">
        <is>
          <t>视频</t>
        </is>
      </c>
      <c r="T253" s="21" t="n">
        <v>0.83</v>
      </c>
      <c r="U253" s="21" t="n">
        <v>0.06</v>
      </c>
      <c r="V253" s="21" t="n">
        <v>0.36</v>
      </c>
      <c r="W253" s="21" t="n">
        <v>0.41</v>
      </c>
      <c r="X253" s="21" t="n">
        <v>0.55</v>
      </c>
      <c r="Y253" s="21" t="n">
        <v>0.18</v>
      </c>
      <c r="Z253" s="22" t="n">
        <v>6889</v>
      </c>
      <c r="AA253" s="18" t="n">
        <v>796</v>
      </c>
    </row>
    <row r="254" ht="19" customHeight="1" s="151">
      <c r="C254" s="18" t="inlineStr">
        <is>
          <t>品牌</t>
        </is>
      </c>
      <c r="D254" s="7" t="inlineStr">
        <is>
          <t>近期外溢进店中位数
501</t>
        </is>
      </c>
      <c r="E254" s="7" t="inlineStr">
        <is>
          <t>一只泡泡</t>
        </is>
      </c>
      <c r="F254" s="7" t="inlineStr">
        <is>
          <t>https://pgy.xiaohongshu.com/solar/pre-trade/blogger-detail/645ce6a1000000001f0302d9?track_id=kolSimilar_975e45a9e86249dcb4cc75bb3b755aca&amp;source=Advertiser_Similar_Kol</t>
        </is>
      </c>
      <c r="G254" s="19" t="inlineStr">
        <is>
          <t>https://www.xiaohongshu.com/user/profile/645ce6a1000000001f0302d9</t>
        </is>
      </c>
      <c r="H254" s="18" t="n">
        <v>9610391192</v>
      </c>
      <c r="I254" s="18" t="inlineStr">
        <is>
          <t>家居家装</t>
        </is>
      </c>
      <c r="J254" s="18" t="n"/>
      <c r="K254" s="18" t="n"/>
      <c r="L254" s="18" t="inlineStr">
        <is>
          <t>尾部</t>
        </is>
      </c>
      <c r="M254" s="18" t="n">
        <v>3.8</v>
      </c>
      <c r="N254" s="18" t="n">
        <v>41.2</v>
      </c>
      <c r="O254" s="18" t="n">
        <v>8500</v>
      </c>
      <c r="P254" s="18">
        <f>O254*1.1</f>
        <v/>
      </c>
      <c r="Q254" s="20">
        <f>P254/Z254</f>
        <v/>
      </c>
      <c r="R254" s="20">
        <f>P254/AA254</f>
        <v/>
      </c>
      <c r="S254" s="18" t="inlineStr">
        <is>
          <t>视频</t>
        </is>
      </c>
      <c r="T254" s="21" t="n">
        <v>0.89</v>
      </c>
      <c r="U254" s="21" t="n">
        <v>0.08</v>
      </c>
      <c r="V254" s="21" t="n">
        <v>0.5</v>
      </c>
      <c r="W254" s="21" t="n">
        <v>0.27</v>
      </c>
      <c r="X254" s="21" t="n">
        <v>0.65</v>
      </c>
      <c r="Y254" s="21" t="n">
        <v>0.12</v>
      </c>
      <c r="Z254" s="22" t="n">
        <v>4417</v>
      </c>
      <c r="AA254" s="18" t="n">
        <v>253</v>
      </c>
    </row>
    <row r="255" ht="19" customHeight="1" s="151">
      <c r="C255" s="18" t="inlineStr">
        <is>
          <t>品牌</t>
        </is>
      </c>
      <c r="D255" s="19" t="inlineStr">
        <is>
          <t>垂直测评类账号，近期外溢进店中位数
146  性价比高</t>
        </is>
      </c>
      <c r="E255" s="18" t="inlineStr">
        <is>
          <t>想想家居测评日记</t>
        </is>
      </c>
      <c r="F255" s="7" t="inlineStr">
        <is>
          <t>https://pgy.xiaohongshu.com/solar/pre-trade/blogger-detail/60632ffe00000000010021b4?track_id=kolMatch_7c5baa0d131247c886a5c50d970a80af&amp;source=Advertiser_Kol</t>
        </is>
      </c>
      <c r="G255" s="19" t="inlineStr">
        <is>
          <t>https://www.xiaohongshu.com/user/profile/60632ffe00000000010021b4</t>
        </is>
      </c>
      <c r="H255" s="18" t="n">
        <v>2650255530</v>
      </c>
      <c r="I255" s="18" t="inlineStr">
        <is>
          <t>家居家装</t>
        </is>
      </c>
      <c r="J255" s="18" t="n"/>
      <c r="K255" s="18" t="n"/>
      <c r="L255" s="18" t="inlineStr">
        <is>
          <t>尾部</t>
        </is>
      </c>
      <c r="M255" s="18" t="n">
        <v>2.6</v>
      </c>
      <c r="N255" s="18" t="n">
        <v>8.1</v>
      </c>
      <c r="O255" s="18" t="n">
        <v>3500</v>
      </c>
      <c r="P255" s="18">
        <f>O255*1.1</f>
        <v/>
      </c>
      <c r="Q255" s="20">
        <f>P255/Z255</f>
        <v/>
      </c>
      <c r="R255" s="20">
        <f>P255/AA255</f>
        <v/>
      </c>
      <c r="S255" s="18" t="inlineStr">
        <is>
          <t>图文</t>
        </is>
      </c>
      <c r="T255" s="21" t="n">
        <v>0.82</v>
      </c>
      <c r="U255" s="21" t="n">
        <v>0.11</v>
      </c>
      <c r="V255" s="21" t="n">
        <v>0.49</v>
      </c>
      <c r="W255" s="21" t="n">
        <v>0.27</v>
      </c>
      <c r="X255" s="21" t="n">
        <v>0.46</v>
      </c>
      <c r="Y255" s="21" t="n">
        <v>0.25</v>
      </c>
      <c r="Z255" s="22" t="n">
        <v>12832</v>
      </c>
      <c r="AA255" s="18" t="n">
        <v>431</v>
      </c>
    </row>
    <row r="256" ht="19" customHeight="1" s="151">
      <c r="A256" s="43" t="inlineStr">
        <is>
          <t>以下为品牌3.16提报月亮</t>
        </is>
      </c>
      <c r="C256" s="19" t="n"/>
      <c r="D256" s="19" t="n"/>
      <c r="E256" s="18" t="n"/>
      <c r="F256" s="7" t="n"/>
      <c r="G256" s="19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20" t="n"/>
      <c r="R256" s="20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</row>
    <row r="257" ht="19" customHeight="1" s="151">
      <c r="C257" s="32" t="inlineStr">
        <is>
          <t>品牌</t>
        </is>
      </c>
      <c r="D257" s="5" t="inlineStr">
        <is>
          <t xml:space="preserve">有厨房场景，已婚有娃家庭 </t>
        </is>
      </c>
      <c r="E257" s="18" t="inlineStr">
        <is>
          <t>ss野火</t>
        </is>
      </c>
      <c r="F257" s="7" t="inlineStr">
        <is>
          <t>https://pgy.xiaohongshu.com/solar/pre-trade/blogger-detail/5ab7110611be10177aacc8af?track_id=kolSimilar_5d190bf56ad5467396c3ea3be025631c&amp;source=Advertiser_Similar_Kol</t>
        </is>
      </c>
      <c r="G257" s="19" t="inlineStr">
        <is>
          <t>https://www.xiaohongshu.com/user/profile/5ab7110611be10177aacc8af</t>
        </is>
      </c>
      <c r="H257" s="18" t="n">
        <v>959646510</v>
      </c>
      <c r="I257" s="18" t="inlineStr">
        <is>
          <t>家居家装</t>
        </is>
      </c>
      <c r="J257" s="18" t="n"/>
      <c r="K257" s="18" t="n"/>
      <c r="L257" s="18" t="inlineStr">
        <is>
          <t>尾部</t>
        </is>
      </c>
      <c r="M257" s="18" t="n">
        <v>3.2</v>
      </c>
      <c r="N257" s="18" t="n">
        <v>92.7</v>
      </c>
      <c r="O257" s="18" t="n">
        <v>6800</v>
      </c>
      <c r="P257" s="18">
        <f>O257*1.1</f>
        <v/>
      </c>
      <c r="Q257" s="20">
        <f>P257/Z257</f>
        <v/>
      </c>
      <c r="R257" s="20">
        <f>P257/AA257</f>
        <v/>
      </c>
      <c r="S257" s="18" t="inlineStr">
        <is>
          <t>图文</t>
        </is>
      </c>
      <c r="T257" s="21" t="n">
        <v>0.83</v>
      </c>
      <c r="U257" s="21" t="n">
        <v>0.04</v>
      </c>
      <c r="V257" s="21" t="n">
        <v>0.52</v>
      </c>
      <c r="W257" s="21" t="n">
        <v>0.31</v>
      </c>
      <c r="X257" s="21" t="n">
        <v>0.54</v>
      </c>
      <c r="Y257" s="21" t="n">
        <v>0.18</v>
      </c>
      <c r="Z257" s="22" t="n">
        <v>10760</v>
      </c>
      <c r="AA257" s="18" t="n">
        <v>674</v>
      </c>
    </row>
    <row r="258" ht="19" customHeight="1" s="151">
      <c r="C258" s="32" t="inlineStr">
        <is>
          <t>品牌</t>
        </is>
      </c>
      <c r="D258" s="5" t="inlineStr">
        <is>
          <t>过往带货客单价匹配</t>
        </is>
      </c>
      <c r="E258" s="18" t="inlineStr">
        <is>
          <t>灰灰的家</t>
        </is>
      </c>
      <c r="F258" s="7" t="inlineStr">
        <is>
          <t>https://pgy.xiaohongshu.com/solar/pre-trade/blogger-detail/5cf90b4d0000000006014bd9?track_id=kolSimilar_5d190bf56ad5467396c3ea3be025631c&amp;source=Advertiser_Similar_Kol</t>
        </is>
      </c>
      <c r="G258" s="19" t="inlineStr">
        <is>
          <t>https://www.xiaohongshu.com/user/profile/5cf90b4d0000000006014bd9</t>
        </is>
      </c>
      <c r="H258" s="18" t="n">
        <v>864285878</v>
      </c>
      <c r="I258" s="18" t="inlineStr">
        <is>
          <t>家居家装</t>
        </is>
      </c>
      <c r="J258" s="18" t="n"/>
      <c r="K258" s="18" t="n"/>
      <c r="L258" s="18" t="inlineStr">
        <is>
          <t>尾部</t>
        </is>
      </c>
      <c r="M258" s="18" t="n">
        <v>2.7</v>
      </c>
      <c r="N258" s="18" t="n">
        <v>47.2</v>
      </c>
      <c r="O258" s="18" t="n">
        <v>4200</v>
      </c>
      <c r="P258" s="18">
        <f>O258*1.1</f>
        <v/>
      </c>
      <c r="Q258" s="20">
        <f>P258/Z258</f>
        <v/>
      </c>
      <c r="R258" s="20">
        <f>P258/AA258</f>
        <v/>
      </c>
      <c r="S258" s="18" t="inlineStr">
        <is>
          <t>图文</t>
        </is>
      </c>
      <c r="T258" s="21" t="n">
        <v>0.83</v>
      </c>
      <c r="U258" s="21" t="n">
        <v>0.05</v>
      </c>
      <c r="V258" s="21" t="n">
        <v>0.51</v>
      </c>
      <c r="W258" s="21" t="n">
        <v>0.31</v>
      </c>
      <c r="X258" s="21" t="n">
        <v>0.55</v>
      </c>
      <c r="Y258" s="21" t="n">
        <v>0.19</v>
      </c>
      <c r="Z258" s="22" t="n">
        <v>6404</v>
      </c>
      <c r="AA258" s="18" t="n">
        <v>310</v>
      </c>
    </row>
    <row r="259" ht="19" customHeight="1" s="151">
      <c r="C259" s="32" t="inlineStr">
        <is>
          <t>品牌</t>
        </is>
      </c>
      <c r="D259" s="5" t="inlineStr">
        <is>
          <t xml:space="preserve">极简风厨房，过往合作家电数据爆文 </t>
        </is>
      </c>
      <c r="E259" s="18" t="inlineStr">
        <is>
          <t>晚七七</t>
        </is>
      </c>
      <c r="F259" s="7" t="inlineStr">
        <is>
          <t>https://pgy.xiaohongshu.com/solar/pre-trade/blogger-detail/590ad50e82ec394188cec513?track_id=kolSimilar_345da337c4b94c33a6eb3a8d76e80a06&amp;source=Advertiser_Similar_Kol</t>
        </is>
      </c>
      <c r="G259" s="19" t="inlineStr">
        <is>
          <t>https://www.xiaohongshu.com/user/profile/590ad50e82ec394188cec513</t>
        </is>
      </c>
      <c r="H259" s="18" t="n">
        <v>952788753</v>
      </c>
      <c r="I259" s="18" t="inlineStr">
        <is>
          <t>家居家装</t>
        </is>
      </c>
      <c r="J259" s="18" t="n"/>
      <c r="K259" s="18" t="n"/>
      <c r="L259" s="18" t="inlineStr">
        <is>
          <t>尾部</t>
        </is>
      </c>
      <c r="M259" s="18" t="n">
        <v>2</v>
      </c>
      <c r="N259" s="18" t="n">
        <v>18.6</v>
      </c>
      <c r="O259" s="18" t="n">
        <v>8800</v>
      </c>
      <c r="P259" s="18">
        <f>O259*1.1</f>
        <v/>
      </c>
      <c r="Q259" s="20">
        <f>P259/Z259</f>
        <v/>
      </c>
      <c r="R259" s="20">
        <f>P259/AA259</f>
        <v/>
      </c>
      <c r="S259" s="18" t="inlineStr">
        <is>
          <t>视频</t>
        </is>
      </c>
      <c r="T259" s="21" t="n">
        <v>0.66</v>
      </c>
      <c r="U259" s="21" t="n">
        <v>0.14</v>
      </c>
      <c r="V259" s="21" t="n">
        <v>0.44</v>
      </c>
      <c r="W259" s="21" t="n">
        <v>0.26</v>
      </c>
      <c r="X259" s="21" t="n">
        <v>0.55</v>
      </c>
      <c r="Y259" s="21" t="n">
        <v>0.15</v>
      </c>
      <c r="Z259" s="22" t="n">
        <v>9987</v>
      </c>
      <c r="AA259" s="18" t="n">
        <v>538</v>
      </c>
    </row>
    <row r="260" ht="19" customHeight="1" s="151">
      <c r="C260" s="32" t="inlineStr">
        <is>
          <t>品牌</t>
        </is>
      </c>
      <c r="D260" s="5" t="inlineStr">
        <is>
          <t>有厨房场景，带过油烟机</t>
        </is>
      </c>
      <c r="E260" s="7" t="inlineStr">
        <is>
          <t>洋洋得意吖🏠</t>
        </is>
      </c>
      <c r="F260" s="7" t="inlineStr">
        <is>
          <t>https://pgy.xiaohongshu.com/solar/pre-trade/blogger-detail/651e3f660000000002012fc8?track_id=kolSimilar_6d63581172814e19ad117e811acf255f&amp;source=Advertiser_Similar_Kol</t>
        </is>
      </c>
      <c r="G260" s="19" t="inlineStr">
        <is>
          <t>https://www.xiaohongshu.com/user/profile/651e3f660000000002012fc8</t>
        </is>
      </c>
      <c r="H260" s="18" t="n">
        <v>8115647188</v>
      </c>
      <c r="I260" s="18" t="inlineStr">
        <is>
          <t>家居家装</t>
        </is>
      </c>
      <c r="J260" s="18" t="n"/>
      <c r="K260" s="18" t="n"/>
      <c r="L260" s="18" t="inlineStr">
        <is>
          <t>尾部</t>
        </is>
      </c>
      <c r="M260" s="18" t="n">
        <v>2.3</v>
      </c>
      <c r="N260" s="18" t="n">
        <v>61.6</v>
      </c>
      <c r="O260" s="18" t="n">
        <v>6000</v>
      </c>
      <c r="P260" s="18">
        <f>O260*1.1</f>
        <v/>
      </c>
      <c r="Q260" s="20">
        <f>P260/Z260</f>
        <v/>
      </c>
      <c r="R260" s="20">
        <f>P260/AA260</f>
        <v/>
      </c>
      <c r="S260" s="18" t="inlineStr">
        <is>
          <t>图文</t>
        </is>
      </c>
      <c r="T260" s="21" t="n">
        <v>0.72</v>
      </c>
      <c r="U260" s="21" t="n">
        <v>0.09</v>
      </c>
      <c r="V260" s="21" t="n">
        <v>0.52</v>
      </c>
      <c r="W260" s="21" t="n">
        <v>0.26</v>
      </c>
      <c r="X260" s="21" t="n">
        <v>0.57</v>
      </c>
      <c r="Y260" s="21" t="n">
        <v>0.16</v>
      </c>
      <c r="Z260" s="22" t="n">
        <v>28836</v>
      </c>
      <c r="AA260" s="22" t="n">
        <v>1279</v>
      </c>
    </row>
    <row r="261" ht="19" customHeight="1" s="151">
      <c r="C261" s="32" t="inlineStr">
        <is>
          <t>品牌</t>
        </is>
      </c>
      <c r="D261" s="5" t="inlineStr">
        <is>
          <t>极简美学，夫妻生活 有爆文</t>
        </is>
      </c>
      <c r="E261" s="7" t="inlineStr">
        <is>
          <t>堃宸</t>
        </is>
      </c>
      <c r="F261" s="7" t="inlineStr">
        <is>
          <t>https://pgy.xiaohongshu.com/solar/pre-trade/blogger-detail/5c651f88000000001203f988?track_id=kolSimilar_6d63581172814e19ad117e811acf255f&amp;source=Advertiser_Similar_Kol</t>
        </is>
      </c>
      <c r="G261" s="19" t="inlineStr">
        <is>
          <t>https://www.xiaohongshu.com/user/profile/5c651f88000000001203f988</t>
        </is>
      </c>
      <c r="H261" s="18" t="n">
        <v>896948627</v>
      </c>
      <c r="I261" s="18" t="inlineStr">
        <is>
          <t>家居家装</t>
        </is>
      </c>
      <c r="J261" s="18" t="n"/>
      <c r="K261" s="18" t="n"/>
      <c r="L261" s="18" t="inlineStr">
        <is>
          <t>尾部</t>
        </is>
      </c>
      <c r="M261" s="18" t="n">
        <v>2.4</v>
      </c>
      <c r="N261" s="18" t="n">
        <v>23</v>
      </c>
      <c r="O261" s="18" t="n">
        <v>11000</v>
      </c>
      <c r="P261" s="18">
        <f>O261*1.1</f>
        <v/>
      </c>
      <c r="Q261" s="20">
        <f>P261/Z261</f>
        <v/>
      </c>
      <c r="R261" s="20">
        <f>P261/AA261</f>
        <v/>
      </c>
      <c r="S261" s="18" t="inlineStr">
        <is>
          <t>图文</t>
        </is>
      </c>
      <c r="T261" s="21" t="n">
        <v>0.7</v>
      </c>
      <c r="U261" s="21" t="n">
        <v>0.13</v>
      </c>
      <c r="V261" s="21" t="n">
        <v>0.51</v>
      </c>
      <c r="W261" s="21" t="n">
        <v>0.26</v>
      </c>
      <c r="X261" s="21" t="n">
        <v>0.59</v>
      </c>
      <c r="Y261" s="21" t="n">
        <v>0.11</v>
      </c>
      <c r="Z261" s="22" t="n">
        <v>19095</v>
      </c>
      <c r="AA261" s="22" t="n">
        <v>1241</v>
      </c>
    </row>
    <row r="262" ht="19" customHeight="1" s="151">
      <c r="C262" s="32" t="inlineStr">
        <is>
          <t>品牌</t>
        </is>
      </c>
      <c r="D262" s="5" t="inlineStr">
        <is>
          <t>治愈系童话感 风格特别治愈</t>
        </is>
      </c>
      <c r="E262" s="7" t="inlineStr">
        <is>
          <t>Laucaycin凯欣🌼</t>
        </is>
      </c>
      <c r="F262" s="7" t="inlineStr">
        <is>
          <t>https://pgy.xiaohongshu.com/solar/pre-trade/blogger-detail/58662c8e6a6a691e3f9847d8?track_id=kolSimilar_b331772232da4749b28845c9b948aa89&amp;source=Advertiser_Similar_Kol</t>
        </is>
      </c>
      <c r="G262" s="19" t="inlineStr">
        <is>
          <t>https://www.xiaohongshu.com/user/profile/58662c8e6a6a691e3f9847d8</t>
        </is>
      </c>
      <c r="H262" s="18" t="n">
        <v>647761143</v>
      </c>
      <c r="I262" s="18" t="inlineStr">
        <is>
          <t>家居家装</t>
        </is>
      </c>
      <c r="J262" s="18" t="n"/>
      <c r="K262" s="18" t="n"/>
      <c r="L262" s="18" t="inlineStr">
        <is>
          <t>腰部</t>
        </is>
      </c>
      <c r="M262" s="18" t="n">
        <v>14.1</v>
      </c>
      <c r="N262" s="18" t="n">
        <v>121.7</v>
      </c>
      <c r="O262" s="18" t="n">
        <v>10000</v>
      </c>
      <c r="P262" s="18">
        <f>O262*1.1</f>
        <v/>
      </c>
      <c r="Q262" s="20">
        <f>P262/Z262</f>
        <v/>
      </c>
      <c r="R262" s="20">
        <f>P262/AA262</f>
        <v/>
      </c>
      <c r="S262" s="18" t="inlineStr">
        <is>
          <t>图文</t>
        </is>
      </c>
      <c r="T262" s="21" t="n">
        <v>0.85</v>
      </c>
      <c r="U262" s="21" t="n">
        <v>0.23</v>
      </c>
      <c r="V262" s="21" t="n">
        <v>0.5</v>
      </c>
      <c r="W262" s="21" t="n">
        <v>0.16</v>
      </c>
      <c r="X262" s="21" t="n">
        <v>0.4</v>
      </c>
      <c r="Y262" s="21" t="n">
        <v>0.19</v>
      </c>
      <c r="Z262" s="18" t="n">
        <v>8100</v>
      </c>
      <c r="AA262" s="18" t="n">
        <v>430</v>
      </c>
    </row>
    <row r="263" ht="19" customHeight="1" s="151">
      <c r="C263" s="32" t="inlineStr">
        <is>
          <t>品牌</t>
        </is>
      </c>
      <c r="D263" s="5" t="inlineStr">
        <is>
          <t>原木风简约大气</t>
        </is>
      </c>
      <c r="E263" s="7" t="inlineStr">
        <is>
          <t>TUTU酱</t>
        </is>
      </c>
      <c r="F263" s="7" t="inlineStr">
        <is>
          <t>https://pgy.xiaohongshu.com/solar/pre-trade/blogger-detail/5e7193af000000000100499c?track_id=kolSimilar_6d63581172814e19ad117e811acf255f&amp;source=Advertiser_Similar_Kol</t>
        </is>
      </c>
      <c r="G263" s="19" t="inlineStr">
        <is>
          <t>https://www.xiaohongshu.com/user/profile/5e7193af000000000100499c</t>
        </is>
      </c>
      <c r="H263" s="18" t="n">
        <v>905330390</v>
      </c>
      <c r="I263" s="18" t="inlineStr">
        <is>
          <t>家居家装</t>
        </is>
      </c>
      <c r="J263" s="18" t="n"/>
      <c r="K263" s="18" t="n"/>
      <c r="L263" s="18" t="inlineStr">
        <is>
          <t>尾部</t>
        </is>
      </c>
      <c r="M263" s="18" t="n">
        <v>5.1</v>
      </c>
      <c r="N263" s="18" t="n">
        <v>70.09999999999999</v>
      </c>
      <c r="O263" s="18" t="n">
        <v>9000</v>
      </c>
      <c r="P263" s="18">
        <f>O263*1.1</f>
        <v/>
      </c>
      <c r="Q263" s="20">
        <f>P263/Z263</f>
        <v/>
      </c>
      <c r="R263" s="20">
        <f>P263/AA263</f>
        <v/>
      </c>
      <c r="S263" s="18" t="inlineStr">
        <is>
          <t>图文</t>
        </is>
      </c>
      <c r="T263" s="21" t="n">
        <v>0.92</v>
      </c>
      <c r="U263" s="21" t="n">
        <v>0.1</v>
      </c>
      <c r="V263" s="21" t="n">
        <v>0.54</v>
      </c>
      <c r="W263" s="21" t="n">
        <v>0.23</v>
      </c>
      <c r="X263" s="21" t="n">
        <v>0.58</v>
      </c>
      <c r="Y263" s="21" t="n">
        <v>0.15</v>
      </c>
      <c r="Z263" s="22" t="n">
        <v>30987</v>
      </c>
      <c r="AA263" s="22" t="n">
        <v>1852</v>
      </c>
    </row>
    <row r="264" ht="19" customHeight="1" s="151">
      <c r="C264" s="32" t="inlineStr">
        <is>
          <t>品牌</t>
        </is>
      </c>
      <c r="D264" s="134" t="inlineStr">
        <is>
          <t>垂直测评账号</t>
        </is>
      </c>
      <c r="E264" s="18" t="inlineStr">
        <is>
          <t>张肉肉的家</t>
        </is>
      </c>
      <c r="F264" s="7" t="inlineStr">
        <is>
          <t>https://pgy.xiaohongshu.com/solar/pre-trade/blogger-detail/5bd18752618f630001e5553a?track_id=kolSimilar_87da080d850d49a3b7ea73d5c3342718&amp;source=Advertiser_Similar_Kol</t>
        </is>
      </c>
      <c r="G264" s="19" t="inlineStr">
        <is>
          <t>https://www.xiaohongshu.com/user/profile/5bd18752618f630001e5553a</t>
        </is>
      </c>
      <c r="H264" s="18" t="n">
        <v>620284930</v>
      </c>
      <c r="I264" s="18" t="inlineStr">
        <is>
          <t>家居家装</t>
        </is>
      </c>
      <c r="J264" s="18" t="n"/>
      <c r="K264" s="18" t="n"/>
      <c r="L264" s="18" t="inlineStr">
        <is>
          <t>腰部</t>
        </is>
      </c>
      <c r="M264" s="18" t="n">
        <v>11.8</v>
      </c>
      <c r="N264" s="18" t="n">
        <v>84.90000000000001</v>
      </c>
      <c r="O264" s="18" t="n">
        <v>11000</v>
      </c>
      <c r="P264" s="18">
        <f>O264*1.1</f>
        <v/>
      </c>
      <c r="Q264" s="20">
        <f>P264/Z264</f>
        <v/>
      </c>
      <c r="R264" s="20">
        <f>P264/AA264</f>
        <v/>
      </c>
      <c r="S264" s="18" t="inlineStr">
        <is>
          <t>视频</t>
        </is>
      </c>
      <c r="T264" s="21" t="n">
        <v>0.83</v>
      </c>
      <c r="U264" s="21" t="n">
        <v>0.04</v>
      </c>
      <c r="V264" s="21" t="n">
        <v>0.32</v>
      </c>
      <c r="W264" s="21" t="n">
        <v>0.38</v>
      </c>
      <c r="X264" s="21" t="n">
        <v>0.36</v>
      </c>
      <c r="Y264" s="21" t="n">
        <v>0.25</v>
      </c>
      <c r="Z264" s="22" t="n">
        <v>29989</v>
      </c>
      <c r="AA264" s="22" t="n">
        <v>1346</v>
      </c>
    </row>
    <row r="265" ht="19" customHeight="1" s="151">
      <c r="C265" s="32" t="inlineStr">
        <is>
          <t>品牌</t>
        </is>
      </c>
      <c r="D265" s="5" t="inlineStr">
        <is>
          <t xml:space="preserve">有干货类聚焦人群 </t>
        </is>
      </c>
      <c r="E265" s="7" t="inlineStr">
        <is>
          <t>羊羊爱睡懒觉</t>
        </is>
      </c>
      <c r="F265" s="7" t="inlineStr">
        <is>
          <t>https://pgy.xiaohongshu.com/solar/pre-trade/blogger-detail/65f3c541000000000500f81f?track_id=kolSimilar_72c5b784cd264feb8af751992680322d&amp;source=Advertiser_Similar_Kol</t>
        </is>
      </c>
      <c r="G265" s="19" t="inlineStr">
        <is>
          <t>https://www.xiaohongshu.com/user/profile/65f3c541000000000500f81f</t>
        </is>
      </c>
      <c r="H265" s="18" t="n">
        <v>94902026675</v>
      </c>
      <c r="I265" s="18" t="inlineStr">
        <is>
          <t>家居家装</t>
        </is>
      </c>
      <c r="J265" s="18" t="n"/>
      <c r="K265" s="18" t="n"/>
      <c r="L265" s="18" t="inlineStr">
        <is>
          <t>腰部</t>
        </is>
      </c>
      <c r="M265" s="18" t="n">
        <v>21.5</v>
      </c>
      <c r="N265" s="18" t="n">
        <v>420.9</v>
      </c>
      <c r="O265" s="18" t="n">
        <v>19800</v>
      </c>
      <c r="P265" s="18">
        <f>O265*1.1</f>
        <v/>
      </c>
      <c r="Q265" s="20">
        <f>P265/Z265</f>
        <v/>
      </c>
      <c r="R265" s="20">
        <f>P265/AA265</f>
        <v/>
      </c>
      <c r="S265" s="18" t="inlineStr">
        <is>
          <t>视频</t>
        </is>
      </c>
      <c r="T265" s="21" t="n">
        <v>0.78</v>
      </c>
      <c r="U265" s="21" t="n">
        <v>0.19</v>
      </c>
      <c r="V265" s="21" t="n">
        <v>0.29</v>
      </c>
      <c r="W265" s="21" t="n">
        <v>0.25</v>
      </c>
      <c r="X265" s="21" t="n">
        <v>0.3</v>
      </c>
      <c r="Y265" s="21" t="n">
        <v>0.21</v>
      </c>
      <c r="Z265" s="22" t="n">
        <v>18297</v>
      </c>
      <c r="AA265" s="22" t="n">
        <v>1205</v>
      </c>
    </row>
    <row r="266" ht="19" customHeight="1" s="151">
      <c r="C266" s="18" t="inlineStr">
        <is>
          <t>品牌</t>
        </is>
      </c>
      <c r="D266" s="19" t="inlineStr">
        <is>
          <t>简约高级装修，近期外溢进店中位数
218</t>
        </is>
      </c>
      <c r="E266" s="18" t="inlineStr">
        <is>
          <t>是大宝的家吖</t>
        </is>
      </c>
      <c r="F266" s="7" t="inlineStr">
        <is>
          <t>https://pgy.xiaohongshu.com/solar/pre-trade/blogger-detail/637508de000000001f01b909?track_id=kolSimilar_c2fae1fc41a34bf09b36ced8d7925d9d&amp;source=Advertiser_Similar_Kol</t>
        </is>
      </c>
      <c r="G266" s="19" t="inlineStr">
        <is>
          <t>https://www.xiaohongshu.com/user/profile/637508de000000001f01b909</t>
        </is>
      </c>
      <c r="H266" s="18" t="n">
        <v>5409334458</v>
      </c>
      <c r="I266" s="18" t="inlineStr">
        <is>
          <t>家居家装</t>
        </is>
      </c>
      <c r="J266" s="18" t="n"/>
      <c r="K266" s="18" t="n"/>
      <c r="L266" s="18" t="inlineStr">
        <is>
          <t>尾部</t>
        </is>
      </c>
      <c r="M266" s="18" t="n">
        <v>8.6</v>
      </c>
      <c r="N266" s="18" t="n">
        <v>135.1</v>
      </c>
      <c r="O266" s="18" t="n">
        <v>18800</v>
      </c>
      <c r="P266" s="18">
        <f>O266*1.1</f>
        <v/>
      </c>
      <c r="Q266" s="20">
        <f>P266/Z266</f>
        <v/>
      </c>
      <c r="R266" s="20">
        <f>P266/AA266</f>
        <v/>
      </c>
      <c r="S266" s="18" t="inlineStr">
        <is>
          <t>视频</t>
        </is>
      </c>
      <c r="T266" s="21" t="n">
        <v>0.89</v>
      </c>
      <c r="U266" s="21" t="n">
        <v>0.06</v>
      </c>
      <c r="V266" s="21" t="n">
        <v>0.37</v>
      </c>
      <c r="W266" s="21" t="n">
        <v>0.34</v>
      </c>
      <c r="X266" s="21" t="n">
        <v>0.4</v>
      </c>
      <c r="Y266" s="21" t="n">
        <v>0.21</v>
      </c>
      <c r="Z266" s="22" t="n">
        <v>61424</v>
      </c>
      <c r="AA266" s="22" t="n">
        <v>7126</v>
      </c>
    </row>
    <row r="267" ht="19" customHeight="1" s="151">
      <c r="C267" s="18" t="inlineStr">
        <is>
          <t>品牌</t>
        </is>
      </c>
      <c r="D267" s="19" t="inlineStr">
        <is>
          <t>2套带花园的房子，调性高</t>
        </is>
      </c>
      <c r="E267" s="18" t="inlineStr">
        <is>
          <t>小龙女</t>
        </is>
      </c>
      <c r="F267" s="7" t="inlineStr">
        <is>
          <t>https://pgy.xiaohongshu.com/solar/pre-trade/blogger-detail/5d2303fa000000001003c77a?track_id=kolSimilar_c2fae1fc41a34bf09b36ced8d7925d9d&amp;source=Advertiser_Similar_Kol</t>
        </is>
      </c>
      <c r="G267" s="19" t="inlineStr">
        <is>
          <t>https://www.xiaohongshu.com/user/profile/5d2303fa000000001003c77a</t>
        </is>
      </c>
      <c r="H267" s="18" t="n">
        <v>304586828</v>
      </c>
      <c r="I267" s="18" t="inlineStr">
        <is>
          <t>家居家装</t>
        </is>
      </c>
      <c r="J267" s="18" t="n"/>
      <c r="K267" s="18" t="n"/>
      <c r="L267" s="18" t="inlineStr">
        <is>
          <t>腰部</t>
        </is>
      </c>
      <c r="M267" s="18" t="n">
        <v>16.1</v>
      </c>
      <c r="N267" s="18" t="n">
        <v>146.2</v>
      </c>
      <c r="O267" s="18" t="n">
        <v>27000</v>
      </c>
      <c r="P267" s="18">
        <f>O267*1.1</f>
        <v/>
      </c>
      <c r="Q267" s="20">
        <f>P267/Z267</f>
        <v/>
      </c>
      <c r="R267" s="20">
        <f>P267/AA267</f>
        <v/>
      </c>
      <c r="S267" s="18" t="inlineStr">
        <is>
          <t>视频</t>
        </is>
      </c>
      <c r="T267" s="21" t="n">
        <v>0.84</v>
      </c>
      <c r="U267" s="21" t="n">
        <v>0.13</v>
      </c>
      <c r="V267" s="21" t="n">
        <v>0.43</v>
      </c>
      <c r="W267" s="21" t="n">
        <v>0.28</v>
      </c>
      <c r="X267" s="21" t="n">
        <v>0.59</v>
      </c>
      <c r="Y267" s="21" t="n">
        <v>0.15</v>
      </c>
      <c r="Z267" s="22" t="n">
        <v>24587</v>
      </c>
      <c r="AA267" s="18" t="n">
        <v>1664</v>
      </c>
    </row>
    <row r="268" ht="19" customHeight="1" s="151">
      <c r="C268" s="18" t="inlineStr">
        <is>
          <t>品牌</t>
        </is>
      </c>
      <c r="D268" s="19" t="inlineStr">
        <is>
          <t xml:space="preserve">厨房看着干净简约 </t>
        </is>
      </c>
      <c r="E268" s="18" t="inlineStr">
        <is>
          <t>暴走小刘鸭</t>
        </is>
      </c>
      <c r="F268" s="7" t="inlineStr">
        <is>
          <t>https://pgy.xiaohongshu.com/solar/pre-trade/blogger-detail/627cc60b000000002102320a?track_id=kolSimilar_c2fae1fc41a34bf09b36ced8d7925d9d&amp;source=Advertiser_Similar_Kol</t>
        </is>
      </c>
      <c r="G268" s="19" t="inlineStr">
        <is>
          <t>https://www.xiaohongshu.com/user/profile/627cc60b000000002102320a</t>
        </is>
      </c>
      <c r="H268" s="18" t="inlineStr">
        <is>
          <t>xiaoliuyaya16</t>
        </is>
      </c>
      <c r="I268" s="18" t="inlineStr">
        <is>
          <t>家居家装</t>
        </is>
      </c>
      <c r="J268" s="18" t="n"/>
      <c r="K268" s="18" t="n"/>
      <c r="L268" s="18" t="inlineStr">
        <is>
          <t>尾部</t>
        </is>
      </c>
      <c r="M268" s="18" t="n">
        <v>6.4</v>
      </c>
      <c r="N268" s="18" t="n">
        <v>82.5</v>
      </c>
      <c r="O268" s="18" t="n">
        <v>14500</v>
      </c>
      <c r="P268" s="18">
        <f>O268*1.1</f>
        <v/>
      </c>
      <c r="Q268" s="20">
        <f>P268/Z268</f>
        <v/>
      </c>
      <c r="R268" s="20">
        <f>P268/AA268</f>
        <v/>
      </c>
      <c r="S268" s="18" t="inlineStr">
        <is>
          <t>视频</t>
        </is>
      </c>
      <c r="T268" s="21" t="n">
        <v>0.8100000000000001</v>
      </c>
      <c r="U268" s="21" t="n">
        <v>0.15</v>
      </c>
      <c r="V268" s="21" t="n">
        <v>0.45</v>
      </c>
      <c r="W268" s="21" t="n">
        <v>0.25</v>
      </c>
      <c r="X268" s="21" t="n">
        <v>0.57</v>
      </c>
      <c r="Y268" s="21" t="n">
        <v>0.15</v>
      </c>
      <c r="Z268" s="18" t="n">
        <v>38000</v>
      </c>
      <c r="AA268" s="18" t="n">
        <v>1400</v>
      </c>
    </row>
    <row r="269" ht="19" customHeight="1" s="151">
      <c r="C269" s="18" t="inlineStr">
        <is>
          <t>品牌</t>
        </is>
      </c>
      <c r="D269" s="19" t="inlineStr">
        <is>
          <t>图文测评账号，垂直度高</t>
        </is>
      </c>
      <c r="E269" s="18" t="inlineStr">
        <is>
          <t>锦鲤的暖居</t>
        </is>
      </c>
      <c r="F269" s="7" t="inlineStr">
        <is>
          <t>https://pgy.xiaohongshu.com/solar/pre-trade/blogger-detail/6076613f0000000001007992?track_id=kolSearch_f61a3276177b4f17b645f05ef6a29f89&amp;source=Advertiser_Kol</t>
        </is>
      </c>
      <c r="G269" s="19" t="inlineStr">
        <is>
          <t>https://www.xiaohongshu.com/user/profile/6076613f0000000001007992</t>
        </is>
      </c>
      <c r="H269" s="18" t="n">
        <v>9477848838</v>
      </c>
      <c r="I269" s="18" t="inlineStr">
        <is>
          <t>家居家装</t>
        </is>
      </c>
      <c r="J269" s="18" t="n"/>
      <c r="K269" s="18" t="n"/>
      <c r="L269" s="18" t="inlineStr">
        <is>
          <t>腰部</t>
        </is>
      </c>
      <c r="M269" s="18" t="n">
        <v>12.8</v>
      </c>
      <c r="N269" s="18" t="n">
        <v>59.7</v>
      </c>
      <c r="O269" s="18" t="n">
        <v>10000</v>
      </c>
      <c r="P269" s="18">
        <f>O269*1.1</f>
        <v/>
      </c>
      <c r="Q269" s="20">
        <f>P269/Z269</f>
        <v/>
      </c>
      <c r="R269" s="20">
        <f>P269/AA269</f>
        <v/>
      </c>
      <c r="S269" s="18" t="inlineStr">
        <is>
          <t>图文</t>
        </is>
      </c>
      <c r="T269" s="21" t="n">
        <v>0.91</v>
      </c>
      <c r="U269" s="21" t="n">
        <v>0.08</v>
      </c>
      <c r="V269" s="21" t="n">
        <v>0.4</v>
      </c>
      <c r="W269" s="21" t="n">
        <v>0.35</v>
      </c>
      <c r="X269" s="21" t="n">
        <v>0.6</v>
      </c>
      <c r="Y269" s="21" t="n">
        <v>0.16</v>
      </c>
      <c r="Z269" s="18" t="n">
        <v>48000</v>
      </c>
      <c r="AA269" s="18" t="n">
        <v>2100</v>
      </c>
    </row>
    <row r="270" ht="19" customHeight="1" s="151">
      <c r="C270" s="18" t="inlineStr">
        <is>
          <t>品牌</t>
        </is>
      </c>
      <c r="D270" s="19" t="inlineStr">
        <is>
          <t>近期外溢进店中位数
780</t>
        </is>
      </c>
      <c r="E270" s="18" t="inlineStr">
        <is>
          <t>Camel</t>
        </is>
      </c>
      <c r="F270" s="7" t="inlineStr">
        <is>
          <t>https://pgy.xiaohongshu.com/solar/pre-trade/blogger-detail/58c287f55e87e76ec5baf8f3?track_id=kolSimilar_c2fae1fc41a34bf09b36ced8d7925d9d&amp;source=Advertiser_Similar_Kol</t>
        </is>
      </c>
      <c r="G270" s="19" t="inlineStr">
        <is>
          <t>https://www.xiaohongshu.com/user/profile/58c287f55e87e76ec5baf8f3</t>
        </is>
      </c>
      <c r="H270" s="18" t="inlineStr">
        <is>
          <t xml:space="preserve">
Camel023
￼</t>
        </is>
      </c>
      <c r="I270" s="18" t="inlineStr">
        <is>
          <t>家居家装</t>
        </is>
      </c>
      <c r="J270" s="18" t="n"/>
      <c r="K270" s="18" t="n"/>
      <c r="L270" s="18" t="inlineStr">
        <is>
          <t>尾部</t>
        </is>
      </c>
      <c r="M270" s="18" t="n">
        <v>8.6</v>
      </c>
      <c r="N270" s="18" t="n">
        <v>46.8</v>
      </c>
      <c r="O270" s="18" t="n">
        <v>14000</v>
      </c>
      <c r="P270" s="18">
        <f>O270*1.1</f>
        <v/>
      </c>
      <c r="Q270" s="20">
        <f>P270/Z270</f>
        <v/>
      </c>
      <c r="R270" s="20">
        <f>P270/AA270</f>
        <v/>
      </c>
      <c r="S270" s="18" t="inlineStr">
        <is>
          <t>图文</t>
        </is>
      </c>
      <c r="T270" s="21" t="n">
        <v>0.68</v>
      </c>
      <c r="U270" s="21" t="n">
        <v>0.06</v>
      </c>
      <c r="V270" s="21" t="n">
        <v>0.36</v>
      </c>
      <c r="W270" s="21" t="n">
        <v>0.38</v>
      </c>
      <c r="X270" s="21" t="n">
        <v>0.52</v>
      </c>
      <c r="Y270" s="21" t="n">
        <v>0.22</v>
      </c>
      <c r="Z270" s="22" t="n">
        <v>36853</v>
      </c>
      <c r="AA270" s="22" t="n">
        <v>1641</v>
      </c>
    </row>
    <row r="271" ht="19" customHeight="1" s="151">
      <c r="C271" s="18" t="inlineStr">
        <is>
          <t>品牌</t>
        </is>
      </c>
      <c r="D271" s="19" t="inlineStr">
        <is>
          <t>复古南洋风，比较独特</t>
        </is>
      </c>
      <c r="E271" s="18" t="inlineStr">
        <is>
          <t>文公子</t>
        </is>
      </c>
      <c r="F271" s="7" t="inlineStr">
        <is>
          <t>https://pgy.xiaohongshu.com/solar/pre-trade/blogger-detail/5a3d10bd11be105c884b529f?track_id=kolSimilar_739b5d9c34e34a68aa78e0d7e1e85e59&amp;source=Advertiser_Similar_Kol</t>
        </is>
      </c>
      <c r="G271" s="19" t="inlineStr">
        <is>
          <t>https://www.xiaohongshu.com/user/profile/5a3d10bd11be105c884b529f</t>
        </is>
      </c>
      <c r="H271" s="18" t="n">
        <v>499580633</v>
      </c>
      <c r="I271" s="18" t="inlineStr">
        <is>
          <t>家居家装</t>
        </is>
      </c>
      <c r="J271" s="18" t="n"/>
      <c r="K271" s="18" t="n"/>
      <c r="L271" s="18" t="inlineStr">
        <is>
          <t>尾部</t>
        </is>
      </c>
      <c r="M271" s="18" t="n">
        <v>3.6</v>
      </c>
      <c r="N271" s="18" t="n">
        <v>45.7</v>
      </c>
      <c r="O271" s="18" t="n">
        <v>6500</v>
      </c>
      <c r="P271" s="18">
        <f>O271*1.1</f>
        <v/>
      </c>
      <c r="Q271" s="20">
        <f>P271/Z271</f>
        <v/>
      </c>
      <c r="R271" s="20">
        <f>P271/AA271</f>
        <v/>
      </c>
      <c r="S271" s="18" t="inlineStr">
        <is>
          <t>图文</t>
        </is>
      </c>
      <c r="T271" s="21" t="n">
        <v>0.8100000000000001</v>
      </c>
      <c r="U271" s="21" t="n">
        <v>0.09</v>
      </c>
      <c r="V271" s="21" t="n">
        <v>0.42</v>
      </c>
      <c r="W271" s="21" t="n">
        <v>0.34</v>
      </c>
      <c r="X271" s="21" t="n">
        <v>0.55</v>
      </c>
      <c r="Y271" s="21" t="n">
        <v>0.18</v>
      </c>
      <c r="Z271" s="18" t="n">
        <v>13000</v>
      </c>
      <c r="AA271" s="18" t="n">
        <v>850</v>
      </c>
    </row>
    <row r="272" ht="19" customHeight="1" s="151">
      <c r="C272" s="18" t="inlineStr">
        <is>
          <t>品牌</t>
        </is>
      </c>
      <c r="D272" s="19" t="inlineStr">
        <is>
          <t>奶油原木风，近期阅读数据优</t>
        </is>
      </c>
      <c r="E272" s="18" t="inlineStr">
        <is>
          <t>小陈加点饭</t>
        </is>
      </c>
      <c r="F272" s="7" t="inlineStr">
        <is>
          <t>https://pgy.xiaohongshu.com/solar/pre-trade/blogger-detail/62a06e0c000000001501c232?track_id=kolSimilar_739b5d9c34e34a68aa78e0d7e1e85e59&amp;source=Advertiser_Similar_Kol</t>
        </is>
      </c>
      <c r="G272" s="19" t="inlineStr">
        <is>
          <t>https://www.xiaohongshu.com/user/profile/62a06e0c000000001501c232</t>
        </is>
      </c>
      <c r="H272" s="18" t="n">
        <v>5607317268</v>
      </c>
      <c r="I272" s="18" t="inlineStr">
        <is>
          <t>家居家装</t>
        </is>
      </c>
      <c r="J272" s="18" t="n"/>
      <c r="K272" s="18" t="n"/>
      <c r="L272" s="18" t="inlineStr">
        <is>
          <t>尾部</t>
        </is>
      </c>
      <c r="M272" s="18" t="n">
        <v>5.7</v>
      </c>
      <c r="N272" s="18" t="n">
        <v>47.9</v>
      </c>
      <c r="O272" s="18" t="n">
        <v>11000</v>
      </c>
      <c r="P272" s="18">
        <f>O272*1.1</f>
        <v/>
      </c>
      <c r="Q272" s="20">
        <f>P272/Z272</f>
        <v/>
      </c>
      <c r="R272" s="20">
        <f>P272/AA272</f>
        <v/>
      </c>
      <c r="S272" s="18" t="inlineStr">
        <is>
          <t>视频</t>
        </is>
      </c>
      <c r="T272" s="21" t="n">
        <v>0.8</v>
      </c>
      <c r="U272" s="21" t="n">
        <v>0.11</v>
      </c>
      <c r="V272" s="21" t="n">
        <v>0.43</v>
      </c>
      <c r="W272" s="21" t="n">
        <v>0.29</v>
      </c>
      <c r="X272" s="21" t="n">
        <v>0.39</v>
      </c>
      <c r="Y272" s="21" t="n">
        <v>0.18</v>
      </c>
      <c r="Z272" s="22" t="n">
        <v>50787</v>
      </c>
      <c r="AA272" s="22" t="n">
        <v>3492</v>
      </c>
    </row>
    <row r="273" ht="19" customHeight="1" s="151">
      <c r="C273" s="18" t="inlineStr">
        <is>
          <t>品牌</t>
        </is>
      </c>
      <c r="D273" s="19" t="inlineStr">
        <is>
          <t>垂类 家电测评账号</t>
        </is>
      </c>
      <c r="E273" s="18" t="inlineStr">
        <is>
          <t>居家的琦琦</t>
        </is>
      </c>
      <c r="F273" s="7" t="inlineStr">
        <is>
          <t>https://pgy.xiaohongshu.com/solar/pre-trade/blogger-detail/5f3caef90000000001000d2d?track_id=kolSearch_9e19ad19580d4d7787b4d9e3ce5e6c73&amp;source=Advertiser_Kol</t>
        </is>
      </c>
      <c r="G273" s="19" t="inlineStr">
        <is>
          <t>https://www.xiaohongshu.com/user/profile/5f3caef90000000001000d2d</t>
        </is>
      </c>
      <c r="H273" s="18" t="n">
        <v>889783881</v>
      </c>
      <c r="I273" s="18" t="inlineStr">
        <is>
          <t>家居家装</t>
        </is>
      </c>
      <c r="J273" s="18" t="n"/>
      <c r="K273" s="18" t="n"/>
      <c r="L273" s="18" t="inlineStr">
        <is>
          <t>腰部</t>
        </is>
      </c>
      <c r="M273" s="18" t="n">
        <v>17.4</v>
      </c>
      <c r="N273" s="18" t="n">
        <v>455.8</v>
      </c>
      <c r="O273" s="18" t="n">
        <v>13000</v>
      </c>
      <c r="P273" s="18">
        <f>O273*1.1</f>
        <v/>
      </c>
      <c r="Q273" s="20">
        <f>P273/Z273</f>
        <v/>
      </c>
      <c r="R273" s="20">
        <f>P273/AA273</f>
        <v/>
      </c>
      <c r="S273" s="18" t="inlineStr">
        <is>
          <t>视频</t>
        </is>
      </c>
      <c r="T273" s="21" t="n">
        <v>0.92</v>
      </c>
      <c r="U273" s="21" t="n">
        <v>0.27</v>
      </c>
      <c r="V273" s="21" t="n">
        <v>0.52</v>
      </c>
      <c r="W273" s="21" t="n">
        <v>0.11</v>
      </c>
      <c r="X273" s="21" t="n">
        <v>0.66</v>
      </c>
      <c r="Y273" s="21" t="n">
        <v>0.1</v>
      </c>
      <c r="Z273" s="18" t="n">
        <v>35000</v>
      </c>
      <c r="AA273" s="18" t="n">
        <v>2300</v>
      </c>
    </row>
    <row r="274" ht="19" customHeight="1" s="151">
      <c r="C274" s="18" t="inlineStr">
        <is>
          <t>品牌</t>
        </is>
      </c>
      <c r="D274" s="19" t="inlineStr">
        <is>
          <t>五年装修设计从业者，专业背书</t>
        </is>
      </c>
      <c r="E274" s="18" t="inlineStr">
        <is>
          <t>一颗咸蛋黄</t>
        </is>
      </c>
      <c r="F274" s="7" t="inlineStr">
        <is>
          <t>https://pgy.xiaohongshu.com/solar/pre-trade/blogger-detail/5d8db657000000000100108d?track_id=kolSearch_cef2ff08171b4043902d5e59c09b7b25&amp;source=Advertiser_Kol</t>
        </is>
      </c>
      <c r="G274" s="19" t="inlineStr">
        <is>
          <t>https://www.xiaohongshu.com/user/profile/5d8db657000000000100108d</t>
        </is>
      </c>
      <c r="H274" s="18" t="n">
        <v>592162679</v>
      </c>
      <c r="I274" s="18" t="inlineStr">
        <is>
          <t>家居家装</t>
        </is>
      </c>
      <c r="J274" s="18" t="n"/>
      <c r="K274" s="18" t="n"/>
      <c r="L274" s="18" t="inlineStr">
        <is>
          <t>腰部</t>
        </is>
      </c>
      <c r="M274" s="18" t="n">
        <v>11.8</v>
      </c>
      <c r="N274" s="18" t="n">
        <v>41.2</v>
      </c>
      <c r="O274" s="18" t="n">
        <v>10000</v>
      </c>
      <c r="P274" s="18">
        <f>O274*1.1</f>
        <v/>
      </c>
      <c r="Q274" s="20">
        <f>P274/Z274</f>
        <v/>
      </c>
      <c r="R274" s="20">
        <f>P274/AA274</f>
        <v/>
      </c>
      <c r="S274" s="18" t="inlineStr">
        <is>
          <t>视频</t>
        </is>
      </c>
      <c r="T274" s="21" t="n">
        <v>0.83</v>
      </c>
      <c r="U274" s="21" t="n">
        <v>0.09</v>
      </c>
      <c r="V274" s="21" t="n">
        <v>0.34</v>
      </c>
      <c r="W274" s="21" t="n">
        <v>0.31</v>
      </c>
      <c r="X274" s="21" t="n">
        <v>0.23</v>
      </c>
      <c r="Y274" s="21" t="n">
        <v>0.21</v>
      </c>
      <c r="Z274" s="18" t="n">
        <v>29000</v>
      </c>
      <c r="AA274" s="18" t="n">
        <v>3500</v>
      </c>
    </row>
    <row r="275" ht="19" customHeight="1" s="151">
      <c r="C275" s="18" t="inlineStr">
        <is>
          <t>品牌</t>
        </is>
      </c>
      <c r="D275" s="19" t="inlineStr">
        <is>
          <t>垂类家装测评</t>
        </is>
      </c>
      <c r="E275" s="18" t="inlineStr">
        <is>
          <t>彭哥玩测评</t>
        </is>
      </c>
      <c r="F275" s="7" t="inlineStr">
        <is>
          <t>https://pgy.xiaohongshu.com/solar/pre-trade/blogger-detail/5f4b96100000000001006aad?track_id=kolSearch_d6af8b34d1544f6b8d1d979f23d882b8&amp;source=Advertiser_Kol</t>
        </is>
      </c>
      <c r="G275" s="19" t="inlineStr">
        <is>
          <t>https://www.xiaohongshu.com/user/profile/5f4b96100000000001006aad</t>
        </is>
      </c>
      <c r="H275" s="18" t="n">
        <v>730099813</v>
      </c>
      <c r="I275" s="18" t="inlineStr">
        <is>
          <t>家居家装</t>
        </is>
      </c>
      <c r="J275" s="18" t="n"/>
      <c r="K275" s="18" t="n"/>
      <c r="L275" s="18" t="inlineStr">
        <is>
          <t>腰部</t>
        </is>
      </c>
      <c r="M275" s="18" t="n">
        <v>10.5</v>
      </c>
      <c r="N275" s="18" t="n">
        <v>65.8</v>
      </c>
      <c r="O275" s="18" t="n">
        <v>12000</v>
      </c>
      <c r="P275" s="18">
        <f>O275*1.1</f>
        <v/>
      </c>
      <c r="Q275" s="20">
        <f>P275/Z275</f>
        <v/>
      </c>
      <c r="R275" s="20">
        <f>P275/AA275</f>
        <v/>
      </c>
      <c r="S275" s="18" t="inlineStr">
        <is>
          <t>视频</t>
        </is>
      </c>
      <c r="T275" s="21" t="n">
        <v>0.66</v>
      </c>
      <c r="U275" s="21" t="n">
        <v>0.14</v>
      </c>
      <c r="V275" s="21" t="n">
        <v>0.25</v>
      </c>
      <c r="W275" s="21" t="n">
        <v>0.24</v>
      </c>
      <c r="X275" s="21" t="n">
        <v>0.38</v>
      </c>
      <c r="Y275" s="21" t="n">
        <v>0.22</v>
      </c>
      <c r="Z275" s="22" t="n">
        <v>46103</v>
      </c>
      <c r="AA275" s="22" t="n">
        <v>3515</v>
      </c>
    </row>
    <row r="276" ht="19" customHeight="1" s="151">
      <c r="C276" s="18" t="inlineStr">
        <is>
          <t>品牌</t>
        </is>
      </c>
      <c r="D276" s="19" t="inlineStr">
        <is>
          <t>图文测评账号，垂直度高</t>
        </is>
      </c>
      <c r="E276" s="18" t="inlineStr">
        <is>
          <t>宅家的七月</t>
        </is>
      </c>
      <c r="F276" s="7" t="inlineStr">
        <is>
          <t>https://pgy.xiaohongshu.com/solar/pre-trade/blogger-detail/60cb42130000000001001e47?track_id=kolSearch_be042ff0d1ef44b2b20a225ff74593c2&amp;source=Advertiser_Kol</t>
        </is>
      </c>
      <c r="G276" s="19" t="inlineStr">
        <is>
          <t>https://www.xiaohongshu.com/user/profile/60cb42130000000001001e47</t>
        </is>
      </c>
      <c r="H276" s="18" t="inlineStr">
        <is>
          <t xml:space="preserve">￼
L2012116623
</t>
        </is>
      </c>
      <c r="I276" s="18" t="inlineStr">
        <is>
          <t>家居家装</t>
        </is>
      </c>
      <c r="J276" s="18" t="n"/>
      <c r="K276" s="18" t="n"/>
      <c r="L276" s="18" t="inlineStr">
        <is>
          <t>腰部</t>
        </is>
      </c>
      <c r="M276" s="18" t="n">
        <v>12.2</v>
      </c>
      <c r="N276" s="18" t="n">
        <v>29.2</v>
      </c>
      <c r="O276" s="18" t="n">
        <v>10000</v>
      </c>
      <c r="P276" s="18">
        <f>O276*1.1</f>
        <v/>
      </c>
      <c r="Q276" s="20">
        <f>P276/Z276</f>
        <v/>
      </c>
      <c r="R276" s="20">
        <f>P276/AA276</f>
        <v/>
      </c>
      <c r="S276" s="18" t="inlineStr">
        <is>
          <t>图文</t>
        </is>
      </c>
      <c r="T276" s="21" t="n">
        <v>0.83</v>
      </c>
      <c r="U276" s="21" t="n">
        <v>0.19</v>
      </c>
      <c r="V276" s="21" t="n">
        <v>0.45</v>
      </c>
      <c r="W276" s="21" t="n">
        <v>0.23</v>
      </c>
      <c r="X276" s="21" t="n">
        <v>0.64</v>
      </c>
      <c r="Y276" s="21" t="n">
        <v>0.11</v>
      </c>
      <c r="Z276" s="22" t="n">
        <v>34604</v>
      </c>
      <c r="AA276" s="22" t="n">
        <v>2985</v>
      </c>
    </row>
    <row r="277" ht="19" customHeight="1" s="151">
      <c r="A277" s="43" t="inlineStr">
        <is>
          <t>以下为品牌3.17提报月亮</t>
        </is>
      </c>
      <c r="C277" s="19" t="n"/>
      <c r="D277" s="19" t="n"/>
      <c r="E277" s="18" t="n"/>
      <c r="F277" s="7" t="n"/>
      <c r="G277" s="19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>
        <f>O277*1.1</f>
        <v/>
      </c>
      <c r="Q277" s="20">
        <f>P277/Z277</f>
        <v/>
      </c>
      <c r="R277" s="20">
        <f>P277/AA277</f>
        <v/>
      </c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</row>
    <row r="278" ht="19" customHeight="1" s="151">
      <c r="C278" s="18" t="inlineStr">
        <is>
          <t>品牌</t>
        </is>
      </c>
      <c r="D278" s="7" t="inlineStr">
        <is>
          <t>垂类家装账号，外溢进店中位数
669</t>
        </is>
      </c>
      <c r="E278" s="18" t="inlineStr">
        <is>
          <t>C宝聊家居</t>
        </is>
      </c>
      <c r="F278" s="7" t="inlineStr">
        <is>
          <t>https://pgy.xiaohongshu.com/solar/pre-trade/blogger-detail/5dcebff60000000001007994?track_id=kolMatch_d9a430ccbeb14863b75ec0e4d9a743a5&amp;source=Advertiser_Kol</t>
        </is>
      </c>
      <c r="G278" s="19" t="inlineStr">
        <is>
          <t>https://www.xiaohongshu.com/user/profile/5dcebff60000000001007994</t>
        </is>
      </c>
      <c r="H278" s="18" t="n">
        <v>988853882</v>
      </c>
      <c r="I278" s="18" t="inlineStr">
        <is>
          <t>家居家装</t>
        </is>
      </c>
      <c r="J278" s="18" t="n"/>
      <c r="K278" s="18" t="n"/>
      <c r="L278" s="18" t="inlineStr">
        <is>
          <t>尾部</t>
        </is>
      </c>
      <c r="M278" s="18" t="n">
        <v>5.8</v>
      </c>
      <c r="N278" s="18" t="n">
        <v>182</v>
      </c>
      <c r="O278" s="18" t="n">
        <v>7000</v>
      </c>
      <c r="P278" s="18">
        <f>O278*1.1</f>
        <v/>
      </c>
      <c r="Q278" s="20">
        <f>P278/Z278</f>
        <v/>
      </c>
      <c r="R278" s="20">
        <f>P278/AA278</f>
        <v/>
      </c>
      <c r="S278" s="18" t="inlineStr">
        <is>
          <t>图文</t>
        </is>
      </c>
      <c r="T278" s="21" t="n">
        <v>0.92</v>
      </c>
      <c r="U278" s="21" t="n">
        <v>0.16</v>
      </c>
      <c r="V278" s="21" t="n">
        <v>0.6</v>
      </c>
      <c r="W278" s="21" t="n">
        <v>0.17</v>
      </c>
      <c r="X278" s="21" t="n">
        <v>0.66</v>
      </c>
      <c r="Y278" s="21" t="n">
        <v>0.12</v>
      </c>
      <c r="Z278" s="22" t="n">
        <v>28321</v>
      </c>
      <c r="AA278" s="22" t="n">
        <v>1739</v>
      </c>
    </row>
    <row r="279" ht="19" customHeight="1" s="151">
      <c r="C279" s="18" t="inlineStr">
        <is>
          <t>品牌</t>
        </is>
      </c>
      <c r="D279" s="19" t="inlineStr">
        <is>
          <t>家居 | 改造 | 好物，近期外溢进店中位数
507</t>
        </is>
      </c>
      <c r="E279" s="18" t="inlineStr">
        <is>
          <t>虾米酱油糕</t>
        </is>
      </c>
      <c r="F279" s="7" t="inlineStr">
        <is>
          <t>https://pgy.xiaohongshu.com/solar/pre-trade/blogger-detail/63caca4b0000000026010774?track_id=kolSimilar_5c736f366a25480ead39805f849785ab&amp;source=Advertiser_Similar_Kol</t>
        </is>
      </c>
      <c r="G279" s="19" t="inlineStr">
        <is>
          <t>https://www.xiaohongshu.com/user/profile/63caca4b0000000026010774</t>
        </is>
      </c>
      <c r="H279" s="18" t="inlineStr">
        <is>
          <t>J1621493534</t>
        </is>
      </c>
      <c r="I279" s="18" t="inlineStr">
        <is>
          <t>家居家装</t>
        </is>
      </c>
      <c r="J279" s="18" t="n"/>
      <c r="K279" s="18" t="n"/>
      <c r="L279" s="18" t="inlineStr">
        <is>
          <t>尾部</t>
        </is>
      </c>
      <c r="M279" s="18" t="n">
        <v>7.4</v>
      </c>
      <c r="N279" s="18" t="n">
        <v>81.5</v>
      </c>
      <c r="O279" s="18" t="n">
        <v>9000</v>
      </c>
      <c r="P279" s="18">
        <f>O279*1.1</f>
        <v/>
      </c>
      <c r="Q279" s="20">
        <f>P279/Z279</f>
        <v/>
      </c>
      <c r="R279" s="20">
        <f>P279/AA279</f>
        <v/>
      </c>
      <c r="S279" s="18" t="inlineStr">
        <is>
          <t>视频</t>
        </is>
      </c>
      <c r="T279" s="21" t="n">
        <v>0.86</v>
      </c>
      <c r="U279" s="21" t="n">
        <v>0.08</v>
      </c>
      <c r="V279" s="21" t="n">
        <v>0.34</v>
      </c>
      <c r="W279" s="21" t="n">
        <v>0.32</v>
      </c>
      <c r="X279" s="21" t="n">
        <v>0.36</v>
      </c>
      <c r="Y279" s="21" t="n">
        <v>0.19</v>
      </c>
      <c r="Z279" s="22" t="n">
        <v>7363</v>
      </c>
      <c r="AA279" s="18" t="n">
        <v>853</v>
      </c>
    </row>
    <row r="280" ht="19" customHeight="1" s="151">
      <c r="C280" s="18" t="inlineStr">
        <is>
          <t>品牌</t>
        </is>
      </c>
      <c r="D280" s="19" t="inlineStr">
        <is>
          <t>装修家电相关好物分享，35-44年龄群体占比第一</t>
        </is>
      </c>
      <c r="E280" s="18" t="inlineStr">
        <is>
          <t>有意思的家</t>
        </is>
      </c>
      <c r="F280" s="7" t="inlineStr">
        <is>
          <t>https://pgy.xiaohongshu.com/solar/pre-trade/blogger-detail/5936da3182ec39441a4dbf21?track_id=kolSimilar_ef10f70c068c4aa3ad458393fa3ef797&amp;source=Advertiser_Similar_Kol</t>
        </is>
      </c>
      <c r="G280" s="19" t="inlineStr">
        <is>
          <t>https://www.xiaohongshu.com/user/profile/5936da3182ec39441a4dbf21</t>
        </is>
      </c>
      <c r="H280" s="18" t="n">
        <v>605339984</v>
      </c>
      <c r="I280" s="18" t="inlineStr">
        <is>
          <t>家居家装</t>
        </is>
      </c>
      <c r="J280" s="18" t="n"/>
      <c r="K280" s="18" t="n"/>
      <c r="L280" s="18" t="inlineStr">
        <is>
          <t>尾部</t>
        </is>
      </c>
      <c r="M280" s="18" t="n">
        <v>4.5</v>
      </c>
      <c r="N280" s="18" t="n">
        <v>16</v>
      </c>
      <c r="O280" s="18" t="n">
        <v>15000</v>
      </c>
      <c r="P280" s="18">
        <f>O280*1.1</f>
        <v/>
      </c>
      <c r="Q280" s="20">
        <f>P280/Z280</f>
        <v/>
      </c>
      <c r="R280" s="20">
        <f>P280/AA280</f>
        <v/>
      </c>
      <c r="S280" s="18" t="inlineStr">
        <is>
          <t>视频</t>
        </is>
      </c>
      <c r="T280" s="21" t="n">
        <v>0.72</v>
      </c>
      <c r="U280" s="21" t="n">
        <v>0.05</v>
      </c>
      <c r="V280" s="21" t="n">
        <v>0.31</v>
      </c>
      <c r="W280" s="21" t="n">
        <v>0.4</v>
      </c>
      <c r="X280" s="21" t="n">
        <v>0.53</v>
      </c>
      <c r="Y280" s="21" t="n">
        <v>0.19</v>
      </c>
      <c r="Z280" s="22" t="n">
        <v>15923</v>
      </c>
      <c r="AA280" s="22" t="n">
        <v>2457</v>
      </c>
    </row>
    <row r="281" ht="19" customHeight="1" s="151">
      <c r="C281" s="18" t="inlineStr">
        <is>
          <t>品牌</t>
        </is>
      </c>
      <c r="D281" s="19" t="inlineStr">
        <is>
          <t>装修干货，好物分享</t>
        </is>
      </c>
      <c r="E281" s="18" t="inlineStr">
        <is>
          <t>小A在家宅</t>
        </is>
      </c>
      <c r="F281" s="7" t="inlineStr">
        <is>
          <t>https://pgy.xiaohongshu.com/solar/pre-trade/blogger-detail/5a159d424eacab1d91f5e1f0?track_id=kolSimilar_ef10f70c068c4aa3ad458393fa3ef797&amp;source=Advertiser_Similar_Kol</t>
        </is>
      </c>
      <c r="G281" s="19" t="inlineStr">
        <is>
          <t>https://www.xiaohongshu.com/user/profile/5a159d424eacab1d91f5e1f0</t>
        </is>
      </c>
      <c r="H281" s="18" t="n">
        <v>422527330</v>
      </c>
      <c r="I281" s="18" t="inlineStr">
        <is>
          <t>家居家装</t>
        </is>
      </c>
      <c r="J281" s="18" t="n"/>
      <c r="K281" s="18" t="n"/>
      <c r="L281" s="18" t="inlineStr">
        <is>
          <t>尾部</t>
        </is>
      </c>
      <c r="M281" s="18" t="n">
        <v>6.8</v>
      </c>
      <c r="N281" s="18" t="n">
        <v>54.9</v>
      </c>
      <c r="O281" s="18" t="n">
        <v>14500</v>
      </c>
      <c r="P281" s="18">
        <f>O281*1.1</f>
        <v/>
      </c>
      <c r="Q281" s="20">
        <f>P281/Z281</f>
        <v/>
      </c>
      <c r="R281" s="20">
        <f>P281/AA281</f>
        <v/>
      </c>
      <c r="S281" s="18" t="inlineStr">
        <is>
          <t>视频</t>
        </is>
      </c>
      <c r="T281" s="21" t="n">
        <v>0.78</v>
      </c>
      <c r="U281" s="21" t="n">
        <v>0.09</v>
      </c>
      <c r="V281" s="21" t="n">
        <v>0.44</v>
      </c>
      <c r="W281" s="21" t="n">
        <v>0.29</v>
      </c>
      <c r="X281" s="21" t="n">
        <v>0.47</v>
      </c>
      <c r="Y281" s="21" t="n">
        <v>0.15</v>
      </c>
      <c r="Z281" s="22" t="n">
        <v>23118</v>
      </c>
      <c r="AA281" s="22" t="n">
        <v>1476</v>
      </c>
    </row>
    <row r="282" ht="19" customHeight="1" s="151">
      <c r="C282" s="18" t="inlineStr">
        <is>
          <t>品牌</t>
        </is>
      </c>
      <c r="D282" s="19" t="inlineStr">
        <is>
          <t>进店数据不错</t>
        </is>
      </c>
      <c r="E282" s="18" t="inlineStr">
        <is>
          <t>八斤肥鹅</t>
        </is>
      </c>
      <c r="F282" s="7" t="inlineStr">
        <is>
          <t>https://pgy.xiaohongshu.com/solar/pre-trade/blogger-detail/5b8b489cd081470001fc11d0?track_id=kolSimilar_70e34f12eba642109ba6977a96c6b2ca&amp;source=Advertiser_Similar_Kol</t>
        </is>
      </c>
      <c r="G282" s="19" t="inlineStr">
        <is>
          <t>https://www.xiaohongshu.com/user/profile/5b8b489cd081470001fc11d0</t>
        </is>
      </c>
      <c r="H282" s="18" t="n">
        <v>563519623</v>
      </c>
      <c r="I282" s="18" t="inlineStr">
        <is>
          <t>家居家装</t>
        </is>
      </c>
      <c r="J282" s="18" t="n"/>
      <c r="K282" s="18" t="n"/>
      <c r="L282" s="18" t="inlineStr">
        <is>
          <t>尾部</t>
        </is>
      </c>
      <c r="M282" s="18" t="n">
        <v>7.1</v>
      </c>
      <c r="N282" s="18" t="n">
        <v>68.3</v>
      </c>
      <c r="O282" s="18" t="n">
        <v>12000</v>
      </c>
      <c r="P282" s="18">
        <f>O282*1.1</f>
        <v/>
      </c>
      <c r="Q282" s="20">
        <f>P282/Z282</f>
        <v/>
      </c>
      <c r="R282" s="20">
        <f>P282/AA282</f>
        <v/>
      </c>
      <c r="S282" s="18" t="inlineStr">
        <is>
          <t>视频</t>
        </is>
      </c>
      <c r="T282" s="21" t="n">
        <v>0.82</v>
      </c>
      <c r="U282" s="21" t="n">
        <v>0.04</v>
      </c>
      <c r="V282" s="21" t="n">
        <v>0.48</v>
      </c>
      <c r="W282" s="21" t="n">
        <v>0.29</v>
      </c>
      <c r="X282" s="21" t="n">
        <v>0.54</v>
      </c>
      <c r="Y282" s="21" t="n">
        <v>0.19</v>
      </c>
      <c r="Z282" s="22" t="n">
        <v>24059</v>
      </c>
      <c r="AA282" s="22" t="n">
        <v>2033</v>
      </c>
    </row>
    <row r="283" ht="19" customHeight="1" s="151">
      <c r="C283" s="18" t="inlineStr">
        <is>
          <t>品牌</t>
        </is>
      </c>
      <c r="D283" s="7" t="inlineStr">
        <is>
          <t>性价比高</t>
        </is>
      </c>
      <c r="E283" s="18" t="inlineStr">
        <is>
          <t>曼曼的家居生活</t>
        </is>
      </c>
      <c r="F283" s="7" t="inlineStr">
        <is>
          <t>https://pgy.xiaohongshu.com/solar/pre-trade/blogger-detail/67ed6598000000000d00a691?track_id=kolMatch_d9a430ccbeb14863b75ec0e4d9a743a5&amp;source=Advertiser_Kol</t>
        </is>
      </c>
      <c r="G283" s="19" t="inlineStr">
        <is>
          <t>https://www.xiaohongshu.com/user/profile/67ed6598000000000d00a691</t>
        </is>
      </c>
      <c r="H283" s="18" t="inlineStr">
        <is>
          <t>cgf2026888</t>
        </is>
      </c>
      <c r="I283" s="18" t="inlineStr">
        <is>
          <t>家居家装</t>
        </is>
      </c>
      <c r="J283" s="18" t="n"/>
      <c r="K283" s="18" t="n"/>
      <c r="L283" s="18" t="inlineStr">
        <is>
          <t>尾部</t>
        </is>
      </c>
      <c r="M283" s="18" t="n">
        <v>1.2</v>
      </c>
      <c r="N283" s="18" t="n">
        <v>10.4</v>
      </c>
      <c r="O283" s="18" t="n">
        <v>2500</v>
      </c>
      <c r="P283" s="18">
        <f>O283*1.1</f>
        <v/>
      </c>
      <c r="Q283" s="20">
        <f>P283/Z283</f>
        <v/>
      </c>
      <c r="R283" s="20">
        <f>P283/AA283</f>
        <v/>
      </c>
      <c r="S283" s="18" t="inlineStr">
        <is>
          <t>图文</t>
        </is>
      </c>
      <c r="T283" s="21" t="n">
        <v>0.85</v>
      </c>
      <c r="U283" s="21" t="n">
        <v>0.08</v>
      </c>
      <c r="V283" s="21" t="n">
        <v>0.39</v>
      </c>
      <c r="W283" s="21" t="n">
        <v>0.38</v>
      </c>
      <c r="X283" s="21" t="n">
        <v>0.45</v>
      </c>
      <c r="Y283" s="21" t="n">
        <v>0.19</v>
      </c>
      <c r="Z283" s="22" t="n">
        <v>7423</v>
      </c>
      <c r="AA283" s="18" t="n">
        <v>531</v>
      </c>
    </row>
    <row r="284" ht="19" customHeight="1" s="151">
      <c r="C284" s="18" t="inlineStr">
        <is>
          <t>品牌</t>
        </is>
      </c>
      <c r="D284" s="19" t="inlineStr">
        <is>
          <t>厨房收纳相关内容</t>
        </is>
      </c>
      <c r="E284" s="18" t="inlineStr">
        <is>
          <t>田田不甜有点酸</t>
        </is>
      </c>
      <c r="F284" s="7" t="inlineStr">
        <is>
          <t>https://pgy.xiaohongshu.com/solar/pre-trade/blogger-detail/565890e3b8c8b44df939bb39?track_id=kolSimilar_4d8bed45e4444f76bcd5346e4ed70437&amp;source=Advertiser_Similar_Kol</t>
        </is>
      </c>
      <c r="G284" s="19" t="inlineStr">
        <is>
          <t>https://www.xiaohongshu.com/user/profile/565890e3b8c8b44df939bb39</t>
        </is>
      </c>
      <c r="H284" s="18" t="inlineStr">
        <is>
          <t xml:space="preserve">
945583184
￼</t>
        </is>
      </c>
      <c r="I284" s="18" t="inlineStr">
        <is>
          <t>家居家装</t>
        </is>
      </c>
      <c r="J284" s="18" t="n"/>
      <c r="K284" s="18" t="n"/>
      <c r="L284" s="18" t="inlineStr">
        <is>
          <t>尾部</t>
        </is>
      </c>
      <c r="M284" s="18" t="n">
        <v>6.2</v>
      </c>
      <c r="N284" s="18" t="n">
        <v>167.8</v>
      </c>
      <c r="O284" s="18" t="n">
        <v>6500</v>
      </c>
      <c r="P284" s="18">
        <f>O284*1.1</f>
        <v/>
      </c>
      <c r="Q284" s="20">
        <f>P284/Z284</f>
        <v/>
      </c>
      <c r="R284" s="20">
        <f>P284/AA284</f>
        <v/>
      </c>
      <c r="S284" s="18" t="inlineStr">
        <is>
          <t>图文</t>
        </is>
      </c>
      <c r="T284" s="21" t="n">
        <v>0.9</v>
      </c>
      <c r="U284" s="21" t="n">
        <v>0.06</v>
      </c>
      <c r="V284" s="21" t="n">
        <v>0.5600000000000001</v>
      </c>
      <c r="W284" s="21" t="n">
        <v>0.28</v>
      </c>
      <c r="X284" s="21" t="n">
        <v>0.7</v>
      </c>
      <c r="Y284" s="21" t="n">
        <v>0.13</v>
      </c>
      <c r="Z284" s="22" t="n">
        <v>12032</v>
      </c>
      <c r="AA284" s="18" t="n">
        <v>790</v>
      </c>
    </row>
    <row r="285" ht="19" customHeight="1" s="151">
      <c r="C285" s="18" t="inlineStr">
        <is>
          <t>品牌</t>
        </is>
      </c>
      <c r="D285" s="19" t="inlineStr">
        <is>
          <t>近期外溢进店中位数
630</t>
        </is>
      </c>
      <c r="E285" s="18" t="inlineStr">
        <is>
          <t>张张鱼子酱</t>
        </is>
      </c>
      <c r="F285" s="7" t="inlineStr">
        <is>
          <t>https://pgy.xiaohongshu.com/solar/pre-trade/blogger-detail/614961b2000000000202622b?track_id=kolSimilar_4d8bed45e4444f76bcd5346e4ed70437&amp;source=Advertiser_Similar_Kol</t>
        </is>
      </c>
      <c r="G285" s="19" t="inlineStr">
        <is>
          <t>https://www.xiaohongshu.com/user/profile/614961b2000000000202622b</t>
        </is>
      </c>
      <c r="H285" s="18" t="n">
        <v>9570419752</v>
      </c>
      <c r="I285" s="18" t="inlineStr">
        <is>
          <t>家居家装</t>
        </is>
      </c>
      <c r="J285" s="18" t="n"/>
      <c r="K285" s="18" t="n"/>
      <c r="L285" s="18" t="inlineStr">
        <is>
          <t>腰部</t>
        </is>
      </c>
      <c r="M285" s="18" t="n">
        <v>16.4</v>
      </c>
      <c r="N285" s="18" t="n">
        <v>267.1</v>
      </c>
      <c r="O285" s="18" t="n">
        <v>16000</v>
      </c>
      <c r="P285" s="18">
        <f>O285*1.1</f>
        <v/>
      </c>
      <c r="Q285" s="20">
        <f>P285/Z285</f>
        <v/>
      </c>
      <c r="R285" s="20">
        <f>P285/AA285</f>
        <v/>
      </c>
      <c r="S285" s="18" t="inlineStr">
        <is>
          <t>视频</t>
        </is>
      </c>
      <c r="T285" s="21" t="n">
        <v>0.88</v>
      </c>
      <c r="U285" s="21" t="n">
        <v>0.08</v>
      </c>
      <c r="V285" s="21" t="n">
        <v>0.44</v>
      </c>
      <c r="W285" s="21" t="n">
        <v>0.3</v>
      </c>
      <c r="X285" s="21" t="n">
        <v>0.51</v>
      </c>
      <c r="Y285" s="21" t="n">
        <v>0.18</v>
      </c>
      <c r="Z285" s="22" t="n">
        <v>19576</v>
      </c>
      <c r="AA285" s="22" t="n">
        <v>2201</v>
      </c>
    </row>
    <row r="286" ht="19" customHeight="1" s="151">
      <c r="C286" s="18" t="inlineStr">
        <is>
          <t>品牌</t>
        </is>
      </c>
      <c r="D286" s="19" t="inlineStr">
        <is>
          <t>近期外溢进店中位数
966</t>
        </is>
      </c>
      <c r="E286" s="18" t="inlineStr">
        <is>
          <t>一只发发</t>
        </is>
      </c>
      <c r="F286" s="7" t="inlineStr">
        <is>
          <t>https://pgy.xiaohongshu.com/solar/pre-trade/blogger-detail/637cdcf5000000001f0162a4?track_id=kolSimilar_b77b2aa814d241eaa5acba08b309444c&amp;source=Advertiser_Similar_Kol</t>
        </is>
      </c>
      <c r="G286" s="19" t="inlineStr">
        <is>
          <t>https://www.xiaohongshu.com/user/profile/637cdcf5000000001f0162a4</t>
        </is>
      </c>
      <c r="H286" s="18" t="n">
        <v>6242285887</v>
      </c>
      <c r="I286" s="18" t="inlineStr">
        <is>
          <t>家居家装</t>
        </is>
      </c>
      <c r="J286" s="18" t="n"/>
      <c r="K286" s="18" t="n"/>
      <c r="L286" s="18" t="inlineStr">
        <is>
          <t>尾部</t>
        </is>
      </c>
      <c r="M286" s="18" t="n">
        <v>3</v>
      </c>
      <c r="N286" s="18" t="n">
        <v>19.4</v>
      </c>
      <c r="O286" s="18" t="n">
        <v>9200</v>
      </c>
      <c r="P286" s="18">
        <f>O286*1.1</f>
        <v/>
      </c>
      <c r="Q286" s="20">
        <f>P286/Z286</f>
        <v/>
      </c>
      <c r="R286" s="20">
        <f>P286/AA286</f>
        <v/>
      </c>
      <c r="S286" s="18" t="inlineStr">
        <is>
          <t>视频</t>
        </is>
      </c>
      <c r="T286" s="21" t="n">
        <v>0.8100000000000001</v>
      </c>
      <c r="U286" s="21" t="n">
        <v>0.14</v>
      </c>
      <c r="V286" s="21" t="n">
        <v>0.48</v>
      </c>
      <c r="W286" s="21" t="n">
        <v>0.25</v>
      </c>
      <c r="X286" s="21" t="n">
        <v>0.51</v>
      </c>
      <c r="Y286" s="21" t="n">
        <v>0.13</v>
      </c>
      <c r="Z286" s="22" t="n">
        <v>28934</v>
      </c>
      <c r="AA286" s="22" t="n">
        <v>1518</v>
      </c>
    </row>
    <row r="287" ht="19" customHeight="1" s="151">
      <c r="C287" s="18" t="inlineStr">
        <is>
          <t>品牌</t>
        </is>
      </c>
      <c r="D287" s="19" t="inlineStr">
        <is>
          <t>图文测评账号，垂直度高</t>
        </is>
      </c>
      <c r="E287" s="18" t="inlineStr">
        <is>
          <t>设计师苏苏</t>
        </is>
      </c>
      <c r="F287" s="7" t="inlineStr">
        <is>
          <t>https://pgy.xiaohongshu.com/solar/pre-trade/blogger-detail/661ccab40000000007006cd4?track_id=kolSimilar_ef3d4d30b7d14eca8cfed2890ead0602&amp;source=Advertiser_Similar_Kol</t>
        </is>
      </c>
      <c r="G287" s="19" t="inlineStr">
        <is>
          <t>https://www.xiaohongshu.com/user/profile/661ccab40000000007006cd4</t>
        </is>
      </c>
      <c r="H287" s="18" t="n">
        <v>11607460090</v>
      </c>
      <c r="I287" s="18" t="inlineStr">
        <is>
          <t>家居家装</t>
        </is>
      </c>
      <c r="J287" s="18" t="n"/>
      <c r="K287" s="18" t="n"/>
      <c r="L287" s="18" t="inlineStr">
        <is>
          <t>尾部</t>
        </is>
      </c>
      <c r="M287" s="18" t="n">
        <v>3.9</v>
      </c>
      <c r="N287" s="18" t="n">
        <v>29.5</v>
      </c>
      <c r="O287" s="18" t="n">
        <v>3000</v>
      </c>
      <c r="P287" s="18">
        <f>O287*1.1</f>
        <v/>
      </c>
      <c r="Q287" s="20">
        <f>P287/Z287</f>
        <v/>
      </c>
      <c r="R287" s="20">
        <f>P287/AA287</f>
        <v/>
      </c>
      <c r="S287" s="18" t="inlineStr">
        <is>
          <t>图文</t>
        </is>
      </c>
      <c r="T287" s="21" t="n">
        <v>0.7</v>
      </c>
      <c r="U287" s="21" t="n">
        <v>0.22</v>
      </c>
      <c r="V287" s="21" t="n">
        <v>0.35</v>
      </c>
      <c r="W287" s="21" t="n">
        <v>0.22</v>
      </c>
      <c r="X287" s="21" t="n">
        <v>0.3</v>
      </c>
      <c r="Y287" s="21" t="n">
        <v>0.29</v>
      </c>
      <c r="Z287" s="22" t="n">
        <v>8498</v>
      </c>
      <c r="AA287" s="22" t="n">
        <v>1075</v>
      </c>
    </row>
    <row r="288" ht="19" customHeight="1" s="151">
      <c r="C288" s="18" t="inlineStr">
        <is>
          <t>品牌</t>
        </is>
      </c>
      <c r="D288" s="19" t="inlineStr">
        <is>
          <t>性价比高</t>
        </is>
      </c>
      <c r="E288" s="18" t="inlineStr">
        <is>
          <t>冯棒棒的家</t>
        </is>
      </c>
      <c r="F288" s="7" t="inlineStr">
        <is>
          <t>https://pgy.xiaohongshu.com/solar/pre-trade/blogger-detail/65f80cd7000000000600ceb2?track_id=kolSimilar_b77b2aa814d241eaa5acba08b309444c&amp;source=Advertiser_Similar_Kol</t>
        </is>
      </c>
      <c r="G288" s="19" t="inlineStr">
        <is>
          <t>https://www.xiaohongshu.com/user/profile/65f80cd7000000000600ceb2</t>
        </is>
      </c>
      <c r="H288" s="18" t="inlineStr">
        <is>
          <t>zz231022</t>
        </is>
      </c>
      <c r="I288" s="18" t="inlineStr">
        <is>
          <t>家居家装</t>
        </is>
      </c>
      <c r="J288" s="18" t="n"/>
      <c r="K288" s="18" t="n"/>
      <c r="L288" s="18" t="inlineStr">
        <is>
          <t>尾部</t>
        </is>
      </c>
      <c r="M288" s="18" t="n">
        <v>1.8</v>
      </c>
      <c r="N288" s="18" t="n">
        <v>51</v>
      </c>
      <c r="O288" s="18" t="n">
        <v>4300</v>
      </c>
      <c r="P288" s="18">
        <f>O288*1.1</f>
        <v/>
      </c>
      <c r="Q288" s="20">
        <f>P288/Z288</f>
        <v/>
      </c>
      <c r="R288" s="20">
        <f>P288/AA288</f>
        <v/>
      </c>
      <c r="S288" s="18" t="inlineStr">
        <is>
          <t>视频</t>
        </is>
      </c>
      <c r="T288" s="21" t="n">
        <v>0.87</v>
      </c>
      <c r="U288" s="21" t="n">
        <v>0.19</v>
      </c>
      <c r="V288" s="21" t="n">
        <v>0.39</v>
      </c>
      <c r="W288" s="21" t="n">
        <v>0.29</v>
      </c>
      <c r="X288" s="21" t="n">
        <v>0.39</v>
      </c>
      <c r="Y288" s="21" t="n">
        <v>0.19</v>
      </c>
      <c r="Z288" s="22" t="n">
        <v>6521</v>
      </c>
      <c r="AA288" s="18" t="n">
        <v>504</v>
      </c>
    </row>
    <row r="289" ht="19" customHeight="1" s="151">
      <c r="C289" s="18" t="inlineStr">
        <is>
          <t>品牌</t>
        </is>
      </c>
      <c r="D289" s="19" t="inlineStr">
        <is>
          <t>厨房是蓝色橱柜，整体颜色好看</t>
        </is>
      </c>
      <c r="E289" s="18" t="inlineStr">
        <is>
          <t>夏悠ice</t>
        </is>
      </c>
      <c r="F289" s="7" t="inlineStr">
        <is>
          <t>https://pgy.xiaohongshu.com/solar/pre-trade/blogger-detail/5ed36686000000000101ce68?track_id=kolSimilar_5c736f366a25480ead39805f849785ab&amp;source=Advertiser_Similar_Kol</t>
        </is>
      </c>
      <c r="G289" s="19" t="inlineStr">
        <is>
          <t>https://www.xiaohongshu.com/user/profile/5ed36686000000000101ce68</t>
        </is>
      </c>
      <c r="H289" s="18" t="n">
        <v>781265464</v>
      </c>
      <c r="I289" s="18" t="inlineStr">
        <is>
          <t>家居家装</t>
        </is>
      </c>
      <c r="J289" s="18" t="n"/>
      <c r="K289" s="18" t="n"/>
      <c r="L289" s="18" t="inlineStr">
        <is>
          <t>尾部</t>
        </is>
      </c>
      <c r="M289" s="18" t="n">
        <v>9.800000000000001</v>
      </c>
      <c r="N289" s="18" t="n">
        <v>159.8</v>
      </c>
      <c r="O289" s="18" t="n">
        <v>15000</v>
      </c>
      <c r="P289" s="18">
        <f>O289*1.1</f>
        <v/>
      </c>
      <c r="Q289" s="20">
        <f>P289/Z289</f>
        <v/>
      </c>
      <c r="R289" s="20">
        <f>P289/AA289</f>
        <v/>
      </c>
      <c r="S289" s="18" t="inlineStr">
        <is>
          <t>视频</t>
        </is>
      </c>
      <c r="T289" s="21" t="n">
        <v>0.88</v>
      </c>
      <c r="U289" s="21" t="n">
        <v>0.08</v>
      </c>
      <c r="V289" s="21" t="n">
        <v>0.46</v>
      </c>
      <c r="W289" s="21" t="n">
        <v>0.29</v>
      </c>
      <c r="X289" s="21" t="n">
        <v>0.6899999999999999</v>
      </c>
      <c r="Y289" s="21" t="n">
        <v>0.14</v>
      </c>
      <c r="Z289" s="22" t="n">
        <v>10072</v>
      </c>
      <c r="AA289" s="22" t="n">
        <v>1057</v>
      </c>
    </row>
    <row r="290" ht="19" customHeight="1" s="151">
      <c r="C290" s="18" t="inlineStr">
        <is>
          <t>品牌</t>
        </is>
      </c>
      <c r="D290" s="19" t="inlineStr">
        <is>
          <t>结婚8年，主页以做饭内容为主</t>
        </is>
      </c>
      <c r="E290" s="18" t="inlineStr">
        <is>
          <t>陈透明</t>
        </is>
      </c>
      <c r="F290" s="7" t="inlineStr">
        <is>
          <t>https://pgy.xiaohongshu.com/solar/pre-trade/blogger-detail/57304c9aaed7582cd5444121</t>
        </is>
      </c>
      <c r="G290" s="19" t="inlineStr">
        <is>
          <t>https://www.xiaohongshu.com/user/profile/57304c9aaed7582cd5444121</t>
        </is>
      </c>
      <c r="H290" s="18" t="n">
        <v>277579847</v>
      </c>
      <c r="I290" s="18" t="inlineStr">
        <is>
          <t>美食</t>
        </is>
      </c>
      <c r="J290" s="18" t="n"/>
      <c r="K290" s="18" t="n"/>
      <c r="L290" s="18" t="inlineStr">
        <is>
          <t>头部</t>
        </is>
      </c>
      <c r="M290" s="18" t="n">
        <v>143.3</v>
      </c>
      <c r="N290" s="18" t="n">
        <v>980.1</v>
      </c>
      <c r="O290" s="18" t="n">
        <v>38000</v>
      </c>
      <c r="P290" s="18">
        <f>O290*1.1</f>
        <v/>
      </c>
      <c r="Q290" s="20">
        <f>P290/Z290</f>
        <v/>
      </c>
      <c r="R290" s="20">
        <f>P290/AA290</f>
        <v/>
      </c>
      <c r="S290" s="18" t="inlineStr">
        <is>
          <t>视频</t>
        </is>
      </c>
      <c r="T290" s="21" t="n">
        <v>0.9</v>
      </c>
      <c r="U290" s="21" t="n">
        <v>0.09</v>
      </c>
      <c r="V290" s="21" t="n">
        <v>0.42</v>
      </c>
      <c r="W290" s="21" t="n">
        <v>0.33</v>
      </c>
      <c r="X290" s="21" t="n">
        <v>0.5</v>
      </c>
      <c r="Y290" s="21" t="n">
        <v>0.19</v>
      </c>
      <c r="Z290" s="18" t="n">
        <v>79000</v>
      </c>
      <c r="AA290" s="18" t="n">
        <v>1400</v>
      </c>
    </row>
    <row r="291" ht="19" customHeight="1" s="151">
      <c r="C291" s="18" t="inlineStr">
        <is>
          <t>品牌</t>
        </is>
      </c>
      <c r="D291" s="19" t="inlineStr">
        <is>
          <t>家居产品经理打工人</t>
        </is>
      </c>
      <c r="E291" s="18" t="inlineStr">
        <is>
          <t>万里的家</t>
        </is>
      </c>
      <c r="F291" s="7" t="inlineStr">
        <is>
          <t>https://pgy.xiaohongshu.com/solar/pre-trade/blogger-detail/682d7893000000000a03e333?track_id=kolSimilar_c7fec81938b047ddb2ce37d843ef6403&amp;source=Advertiser_Similar_Kol</t>
        </is>
      </c>
      <c r="G291" s="19" t="inlineStr">
        <is>
          <t>https://www.xiaohongshu.com/user/profile/682d7893000000000a03e333</t>
        </is>
      </c>
      <c r="H291" s="18" t="n">
        <v>26106023734</v>
      </c>
      <c r="I291" s="18" t="inlineStr">
        <is>
          <t>家居家装</t>
        </is>
      </c>
      <c r="J291" s="18" t="n"/>
      <c r="K291" s="18" t="n"/>
      <c r="L291" s="18" t="inlineStr">
        <is>
          <t>尾部</t>
        </is>
      </c>
      <c r="M291" s="18" t="n">
        <v>2.1</v>
      </c>
      <c r="N291" s="18" t="n">
        <v>17</v>
      </c>
      <c r="O291" s="18" t="n">
        <v>20000</v>
      </c>
      <c r="P291" s="18">
        <f>O291*1.1</f>
        <v/>
      </c>
      <c r="Q291" s="20">
        <f>P291/Z291</f>
        <v/>
      </c>
      <c r="R291" s="20">
        <f>P291/AA291</f>
        <v/>
      </c>
      <c r="S291" s="18" t="inlineStr">
        <is>
          <t>视频</t>
        </is>
      </c>
      <c r="T291" s="21" t="n">
        <v>0.75</v>
      </c>
      <c r="U291" s="21" t="n">
        <v>0.06</v>
      </c>
      <c r="V291" s="21" t="n">
        <v>0.42</v>
      </c>
      <c r="W291" s="21" t="n">
        <v>0.32</v>
      </c>
      <c r="X291" s="21" t="n">
        <v>0.55</v>
      </c>
      <c r="Y291" s="21" t="n">
        <v>0.18</v>
      </c>
      <c r="Z291" s="22" t="n">
        <v>50599</v>
      </c>
      <c r="AA291" s="22" t="n">
        <v>2727</v>
      </c>
    </row>
    <row r="292" ht="19" customHeight="1" s="151">
      <c r="C292" s="18" t="inlineStr">
        <is>
          <t>品牌</t>
        </is>
      </c>
      <c r="D292" s="19" t="inlineStr">
        <is>
          <t>图文测评账号，垂直度高</t>
        </is>
      </c>
      <c r="E292" s="18" t="inlineStr">
        <is>
          <t>椰子家居家装</t>
        </is>
      </c>
      <c r="F292" s="7" t="inlineStr">
        <is>
          <t>https://pgy.xiaohongshu.com/solar/pre-trade/blogger-detail/62194221000000002102a5b3?track_id=kolSimilar_0d1b58ce720847b583bbf496226450ae&amp;source=Advertiser_Similar_Kol</t>
        </is>
      </c>
      <c r="G292" s="19" t="inlineStr">
        <is>
          <t>https://www.xiaohongshu.com/user/profile/62194221000000002102a5b3</t>
        </is>
      </c>
      <c r="H292" s="18" t="n">
        <v>2841812832</v>
      </c>
      <c r="I292" s="18" t="inlineStr">
        <is>
          <t>家居家装</t>
        </is>
      </c>
      <c r="J292" s="18" t="n"/>
      <c r="K292" s="18" t="n"/>
      <c r="L292" s="18" t="inlineStr">
        <is>
          <t>尾部</t>
        </is>
      </c>
      <c r="M292" s="18" t="n">
        <v>1</v>
      </c>
      <c r="N292" s="18" t="n">
        <v>7.8</v>
      </c>
      <c r="O292" s="18" t="n">
        <v>3000</v>
      </c>
      <c r="P292" s="18">
        <f>O292*1.1</f>
        <v/>
      </c>
      <c r="Q292" s="20">
        <f>P292/Z292</f>
        <v/>
      </c>
      <c r="R292" s="20">
        <f>P292/AA292</f>
        <v/>
      </c>
      <c r="S292" s="18" t="inlineStr">
        <is>
          <t>图文</t>
        </is>
      </c>
      <c r="T292" s="21" t="n">
        <v>0.73</v>
      </c>
      <c r="U292" s="21" t="n">
        <v>0.24</v>
      </c>
      <c r="V292" s="21" t="n">
        <v>0.44</v>
      </c>
      <c r="W292" s="21" t="n">
        <v>0.2</v>
      </c>
      <c r="X292" s="21" t="n">
        <v>0.36</v>
      </c>
      <c r="Y292" s="21" t="n">
        <v>0.16</v>
      </c>
      <c r="Z292" s="22" t="n">
        <v>14373</v>
      </c>
      <c r="AA292" s="18" t="n">
        <v>424</v>
      </c>
    </row>
    <row r="293" ht="19" customHeight="1" s="151">
      <c r="C293" s="18" t="inlineStr">
        <is>
          <t>品牌</t>
        </is>
      </c>
      <c r="D293" s="19" t="inlineStr">
        <is>
          <t>家装教程+测评</t>
        </is>
      </c>
      <c r="E293" s="18" t="inlineStr">
        <is>
          <t>灰灰要淡定</t>
        </is>
      </c>
      <c r="F293" s="7" t="inlineStr">
        <is>
          <t>https://pgy.xiaohongshu.com/solar/pre-trade/blogger-detail/5b683447c5abfc0001e56361?track_id=kolSimilar_c7fec81938b047ddb2ce37d843ef6403&amp;source=Advertiser_Similar_Kol</t>
        </is>
      </c>
      <c r="G293" s="19" t="inlineStr">
        <is>
          <t>https://www.xiaohongshu.com/user/profile/5b683447c5abfc0001e56361</t>
        </is>
      </c>
      <c r="H293" s="18" t="n">
        <v>800410132</v>
      </c>
      <c r="I293" s="18" t="inlineStr">
        <is>
          <t>家居家装</t>
        </is>
      </c>
      <c r="J293" s="18" t="n"/>
      <c r="K293" s="18" t="n"/>
      <c r="L293" s="18" t="inlineStr">
        <is>
          <t>肩部</t>
        </is>
      </c>
      <c r="M293" s="18" t="n">
        <v>49.5</v>
      </c>
      <c r="N293" s="18" t="n">
        <v>511.7</v>
      </c>
      <c r="O293" s="18" t="n">
        <v>45000</v>
      </c>
      <c r="P293" s="18">
        <f>O293*1.1</f>
        <v/>
      </c>
      <c r="Q293" s="20">
        <f>P293/Z293</f>
        <v/>
      </c>
      <c r="R293" s="20">
        <f>P293/AA293</f>
        <v/>
      </c>
      <c r="S293" s="18" t="inlineStr">
        <is>
          <t>视频</t>
        </is>
      </c>
      <c r="T293" s="21" t="n">
        <v>0.87</v>
      </c>
      <c r="U293" s="21" t="n">
        <v>0.1</v>
      </c>
      <c r="V293" s="21" t="n">
        <v>0.41</v>
      </c>
      <c r="W293" s="21" t="n">
        <v>0.28</v>
      </c>
      <c r="X293" s="21" t="n">
        <v>0.47</v>
      </c>
      <c r="Y293" s="21" t="n">
        <v>0.2</v>
      </c>
      <c r="Z293" s="18" t="n">
        <v>49000</v>
      </c>
      <c r="AA293" s="18" t="n">
        <v>1500</v>
      </c>
    </row>
    <row r="294" ht="19" customHeight="1" s="151">
      <c r="C294" s="18" t="inlineStr">
        <is>
          <t>品牌</t>
        </is>
      </c>
      <c r="D294" s="19" t="inlineStr">
        <is>
          <t>性价比高</t>
        </is>
      </c>
      <c r="E294" s="18" t="inlineStr">
        <is>
          <t>Yjwenn</t>
        </is>
      </c>
      <c r="F294" s="7" t="inlineStr">
        <is>
          <t>https://pgy.xiaohongshu.com/solar/pre-trade/blogger-detail/5622f41082718c13a27491ce?track_id=kolSimilar_c7fec81938b047ddb2ce37d843ef6403&amp;source=Advertiser_Similar_Kol</t>
        </is>
      </c>
      <c r="G294" s="19" t="inlineStr">
        <is>
          <t>https://www.xiaohongshu.com/user/profile/5622f41082718c13a27491ce</t>
        </is>
      </c>
      <c r="H294" s="18" t="n">
        <v>102054362</v>
      </c>
      <c r="I294" s="18" t="inlineStr">
        <is>
          <t>家居家装</t>
        </is>
      </c>
      <c r="J294" s="18" t="n"/>
      <c r="K294" s="18" t="n"/>
      <c r="L294" s="18" t="inlineStr">
        <is>
          <t>尾部</t>
        </is>
      </c>
      <c r="M294" s="18" t="n">
        <v>1.2</v>
      </c>
      <c r="N294" s="18" t="n">
        <v>13.7</v>
      </c>
      <c r="O294" s="18" t="n">
        <v>5800</v>
      </c>
      <c r="P294" s="18">
        <f>O294*1.1</f>
        <v/>
      </c>
      <c r="Q294" s="20">
        <f>P294/Z294</f>
        <v/>
      </c>
      <c r="R294" s="20">
        <f>P294/AA294</f>
        <v/>
      </c>
      <c r="S294" s="18" t="inlineStr">
        <is>
          <t>视频</t>
        </is>
      </c>
      <c r="T294" s="21" t="n">
        <v>0.86</v>
      </c>
      <c r="U294" s="21" t="n">
        <v>0.06</v>
      </c>
      <c r="V294" s="21" t="n">
        <v>0.53</v>
      </c>
      <c r="W294" s="21" t="n">
        <v>0.31</v>
      </c>
      <c r="X294" s="21" t="n">
        <v>0.71</v>
      </c>
      <c r="Y294" s="21" t="n">
        <v>0.13</v>
      </c>
      <c r="Z294" s="22" t="n">
        <v>13880</v>
      </c>
      <c r="AA294" s="22" t="n">
        <v>1070</v>
      </c>
    </row>
    <row r="295" ht="19" customHeight="1" s="151">
      <c r="C295" s="18" t="inlineStr">
        <is>
          <t>品牌</t>
        </is>
      </c>
      <c r="D295" s="19" t="inlineStr">
        <is>
          <t>垂类家居家装</t>
        </is>
      </c>
      <c r="E295" s="18" t="inlineStr">
        <is>
          <t>大橙</t>
        </is>
      </c>
      <c r="F295" s="7" t="inlineStr">
        <is>
          <t>https://pgy.xiaohongshu.com/solar/pre-trade/blogger-detail/57825c1b6a6a692bc38e325b?track_id=kolSimilar_ebf36afe2d864c1fb1fed00eb374202b&amp;source=Advertiser_Similar_Kol</t>
        </is>
      </c>
      <c r="G295" s="19" t="inlineStr">
        <is>
          <t>https://www.xiaohongshu.com/user/profile/57825c1b6a6a692bc38e325b</t>
        </is>
      </c>
      <c r="H295" s="18" t="inlineStr">
        <is>
          <t>dachengchenga</t>
        </is>
      </c>
      <c r="I295" s="18" t="inlineStr">
        <is>
          <t>家居家装</t>
        </is>
      </c>
      <c r="J295" s="18" t="n"/>
      <c r="K295" s="18" t="n"/>
      <c r="L295" s="18" t="inlineStr">
        <is>
          <t>腰部</t>
        </is>
      </c>
      <c r="M295" s="18" t="n">
        <v>18.2</v>
      </c>
      <c r="N295" s="18" t="n">
        <v>290.3</v>
      </c>
      <c r="O295" s="18" t="n">
        <v>19800</v>
      </c>
      <c r="P295" s="18">
        <f>O295*1.1</f>
        <v/>
      </c>
      <c r="Q295" s="20">
        <f>P295/Z295</f>
        <v/>
      </c>
      <c r="R295" s="20">
        <f>P295/AA295</f>
        <v/>
      </c>
      <c r="S295" s="18" t="inlineStr">
        <is>
          <t>视频</t>
        </is>
      </c>
      <c r="T295" s="21" t="n">
        <v>0.86</v>
      </c>
      <c r="U295" s="21" t="n">
        <v>0.09</v>
      </c>
      <c r="V295" s="21" t="n">
        <v>0.41</v>
      </c>
      <c r="W295" s="21" t="n">
        <v>0.29</v>
      </c>
      <c r="X295" s="21" t="n">
        <v>0.48</v>
      </c>
      <c r="Y295" s="21" t="n">
        <v>0.2</v>
      </c>
      <c r="Z295" s="22" t="n">
        <v>11915</v>
      </c>
      <c r="AA295" s="22" t="n">
        <v>1056</v>
      </c>
    </row>
    <row r="296" ht="19" customHeight="1" s="151">
      <c r="C296" s="18" t="inlineStr">
        <is>
          <t>品牌</t>
        </is>
      </c>
      <c r="D296" s="19" t="inlineStr">
        <is>
          <t>房子调性不错</t>
        </is>
      </c>
      <c r="E296" s="18" t="inlineStr">
        <is>
          <t>李宝娜</t>
        </is>
      </c>
      <c r="F296" s="7" t="inlineStr">
        <is>
          <t>https://pgy.xiaohongshu.com/solar/pre-trade/blogger-detail/5bebee905b27940001823545?track_id=kolSimilar_ebf36afe2d864c1fb1fed00eb374202b&amp;source=Advertiser_Similar_Kol</t>
        </is>
      </c>
      <c r="G296" s="19" t="inlineStr">
        <is>
          <t>https://www.xiaohongshu.com/user/profile/5bebee905b27940001823545</t>
        </is>
      </c>
      <c r="H296" s="18" t="inlineStr">
        <is>
          <t>nana6660088</t>
        </is>
      </c>
      <c r="I296" s="18" t="inlineStr">
        <is>
          <t>家居家装</t>
        </is>
      </c>
      <c r="J296" s="18" t="n"/>
      <c r="K296" s="18" t="n"/>
      <c r="L296" s="18" t="inlineStr">
        <is>
          <t>尾部</t>
        </is>
      </c>
      <c r="M296" s="18" t="n">
        <v>1.7</v>
      </c>
      <c r="N296" s="18" t="n">
        <v>19.1</v>
      </c>
      <c r="O296" s="18" t="n">
        <v>7000</v>
      </c>
      <c r="P296" s="18">
        <f>O296*1.1</f>
        <v/>
      </c>
      <c r="Q296" s="20">
        <f>P296/Z296</f>
        <v/>
      </c>
      <c r="R296" s="20">
        <f>P296/AA296</f>
        <v/>
      </c>
      <c r="S296" s="18" t="inlineStr">
        <is>
          <t>视频</t>
        </is>
      </c>
      <c r="T296" s="21" t="n">
        <v>0.85</v>
      </c>
      <c r="U296" s="21" t="n">
        <v>0.1</v>
      </c>
      <c r="V296" s="21" t="n">
        <v>0.35</v>
      </c>
      <c r="W296" s="21" t="n">
        <v>0.31</v>
      </c>
      <c r="X296" s="21" t="n">
        <v>0.5</v>
      </c>
      <c r="Y296" s="21" t="n">
        <v>0.19</v>
      </c>
      <c r="Z296" s="22" t="n">
        <v>4944</v>
      </c>
      <c r="AA296" s="18" t="n">
        <v>378</v>
      </c>
    </row>
    <row r="297" ht="19" customHeight="1" s="151">
      <c r="C297" s="18" t="inlineStr">
        <is>
          <t>品牌</t>
        </is>
      </c>
      <c r="D297" s="19" t="inlineStr">
        <is>
          <t>图文测评账号，垂直度高</t>
        </is>
      </c>
      <c r="E297" s="18" t="inlineStr">
        <is>
          <t>萍子爱测家电</t>
        </is>
      </c>
      <c r="F297" s="7" t="inlineStr">
        <is>
          <t>https://pgy.xiaohongshu.com/solar/pre-trade/blogger-detail/6683906a000000000b030c3d?track_id=kolSimilar_0d1b58ce720847b583bbf496226450ae&amp;source=Advertiser_Similar_Kol</t>
        </is>
      </c>
      <c r="G297" s="19" t="inlineStr">
        <is>
          <t>https://www.xiaohongshu.com/user/profile/6683906a000000000b030c3d</t>
        </is>
      </c>
      <c r="H297" s="18" t="n">
        <v>11681362529</v>
      </c>
      <c r="I297" s="18" t="inlineStr">
        <is>
          <t>家居家装</t>
        </is>
      </c>
      <c r="J297" s="18" t="n"/>
      <c r="K297" s="18" t="n"/>
      <c r="L297" s="18" t="inlineStr">
        <is>
          <t>尾部</t>
        </is>
      </c>
      <c r="M297" s="18" t="n">
        <v>1.7</v>
      </c>
      <c r="N297" s="18" t="n">
        <v>11.7</v>
      </c>
      <c r="O297" s="18" t="n">
        <v>2500</v>
      </c>
      <c r="P297" s="18">
        <f>O297*1.1</f>
        <v/>
      </c>
      <c r="Q297" s="20">
        <f>P297/Z297</f>
        <v/>
      </c>
      <c r="R297" s="20">
        <f>P297/AA297</f>
        <v/>
      </c>
      <c r="S297" s="18" t="inlineStr">
        <is>
          <t>图文</t>
        </is>
      </c>
      <c r="T297" s="21" t="n">
        <v>0.75</v>
      </c>
      <c r="U297" s="21" t="n">
        <v>0.12</v>
      </c>
      <c r="V297" s="21" t="n">
        <v>0.33</v>
      </c>
      <c r="W297" s="21" t="n">
        <v>0.31</v>
      </c>
      <c r="X297" s="21" t="n">
        <v>0.33</v>
      </c>
      <c r="Y297" s="21" t="n">
        <v>0.2</v>
      </c>
      <c r="Z297" s="22" t="n">
        <v>4663</v>
      </c>
      <c r="AA297" s="18" t="n">
        <v>310</v>
      </c>
    </row>
    <row r="298" ht="19" customHeight="1" s="151">
      <c r="C298" s="18" t="inlineStr">
        <is>
          <t>品牌</t>
        </is>
      </c>
      <c r="D298" s="19" t="inlineStr">
        <is>
          <t>可以出新婚相关内容</t>
        </is>
      </c>
      <c r="E298" s="18" t="inlineStr">
        <is>
          <t>Sammi阿诗</t>
        </is>
      </c>
      <c r="F298" s="7" t="inlineStr">
        <is>
          <t>https://pgy.xiaohongshu.com/solar/pre-trade/blogger-detail/5e5ce9a60000000001009905?track_id=kolSimilar_ebf36afe2d864c1fb1fed00eb374202b&amp;source=Advertiser_Similar_Kol</t>
        </is>
      </c>
      <c r="G298" s="19" t="inlineStr">
        <is>
          <t>https://www.xiaohongshu.com/user/profile/5e5ce9a60000000001009905</t>
        </is>
      </c>
      <c r="H298" s="18" t="n">
        <v>440883428</v>
      </c>
      <c r="I298" s="18" t="inlineStr">
        <is>
          <t>家居家装</t>
        </is>
      </c>
      <c r="J298" s="18" t="n"/>
      <c r="K298" s="18" t="n"/>
      <c r="L298" s="18" t="inlineStr">
        <is>
          <t>腰部</t>
        </is>
      </c>
      <c r="M298" s="18" t="n">
        <v>10.6</v>
      </c>
      <c r="N298" s="18" t="n">
        <v>156.7</v>
      </c>
      <c r="O298" s="18" t="n">
        <v>16000</v>
      </c>
      <c r="P298" s="18">
        <f>O298*1.1</f>
        <v/>
      </c>
      <c r="Q298" s="20">
        <f>P298/Z298</f>
        <v/>
      </c>
      <c r="R298" s="20">
        <f>P298/AA298</f>
        <v/>
      </c>
      <c r="S298" s="18" t="inlineStr">
        <is>
          <t>视频</t>
        </is>
      </c>
      <c r="T298" s="21" t="n">
        <v>0.9</v>
      </c>
      <c r="U298" s="21" t="n">
        <v>0.07000000000000001</v>
      </c>
      <c r="V298" s="21" t="n">
        <v>0.54</v>
      </c>
      <c r="W298" s="21" t="n">
        <v>0.26</v>
      </c>
      <c r="X298" s="21" t="n">
        <v>0.64</v>
      </c>
      <c r="Y298" s="21" t="n">
        <v>0.13</v>
      </c>
      <c r="Z298" s="18" t="n">
        <v>39000</v>
      </c>
      <c r="AA298" s="18" t="n">
        <v>700</v>
      </c>
    </row>
    <row r="299" ht="19" customHeight="1" s="151">
      <c r="C299" s="18" t="inlineStr">
        <is>
          <t>品牌</t>
        </is>
      </c>
      <c r="D299" s="19" t="inlineStr">
        <is>
          <t>独立室内设计师，有相关背书</t>
        </is>
      </c>
      <c r="E299" s="18" t="inlineStr">
        <is>
          <t>设计师小北</t>
        </is>
      </c>
      <c r="F299" s="7" t="inlineStr">
        <is>
          <t>https://pgy.xiaohongshu.com/solar/pre-trade/blogger-detail/5b07a0a211be102b2b759500?track_id=kolSimilar_070ec85889024adf8a796595295e28eb&amp;source=Advertiser_Similar_Kol</t>
        </is>
      </c>
      <c r="G299" s="19" t="inlineStr">
        <is>
          <t>https://www.xiaohongshu.com/user/profile/5b07a0a211be102b2b759500</t>
        </is>
      </c>
      <c r="H299" s="18" t="inlineStr">
        <is>
          <t>B910605</t>
        </is>
      </c>
      <c r="I299" s="18" t="inlineStr">
        <is>
          <t>家居家装</t>
        </is>
      </c>
      <c r="J299" s="18" t="n"/>
      <c r="K299" s="18" t="n"/>
      <c r="L299" s="18" t="inlineStr">
        <is>
          <t>头部</t>
        </is>
      </c>
      <c r="M299" s="18" t="n">
        <v>76.5</v>
      </c>
      <c r="N299" s="18" t="n">
        <v>1237.5</v>
      </c>
      <c r="O299" s="18" t="n">
        <v>59000</v>
      </c>
      <c r="P299" s="18">
        <f>O299*1.1</f>
        <v/>
      </c>
      <c r="Q299" s="20">
        <f>P299/Z299</f>
        <v/>
      </c>
      <c r="R299" s="20">
        <f>P299/AA299</f>
        <v/>
      </c>
      <c r="S299" s="18" t="inlineStr">
        <is>
          <t>视频</t>
        </is>
      </c>
      <c r="T299" s="21" t="n">
        <v>0.75</v>
      </c>
      <c r="U299" s="21" t="n">
        <v>0.08</v>
      </c>
      <c r="V299" s="21" t="n">
        <v>0.34</v>
      </c>
      <c r="W299" s="21" t="n">
        <v>0.35</v>
      </c>
      <c r="X299" s="21" t="n">
        <v>0.4</v>
      </c>
      <c r="Y299" s="21" t="n">
        <v>0.23</v>
      </c>
      <c r="Z299" s="22" t="n">
        <v>9182</v>
      </c>
      <c r="AA299" s="18" t="n">
        <v>880</v>
      </c>
    </row>
    <row r="300" ht="19" customHeight="1" s="151">
      <c r="C300" s="18" t="inlineStr">
        <is>
          <t>品牌</t>
        </is>
      </c>
      <c r="D300" s="19" t="inlineStr">
        <is>
          <t>120中古风小家，40平小院</t>
        </is>
      </c>
      <c r="E300" s="18" t="inlineStr">
        <is>
          <t>我是柚包麻～</t>
        </is>
      </c>
      <c r="F300" s="7" t="inlineStr">
        <is>
          <t>https://pgy.xiaohongshu.com/solar/pre-trade/blogger-detail/603073e5000000000100434c?track_id=kolSimilar_bc8e8121ec084e3c97b3f06b6c0de663&amp;source=Advertiser_Similar_Kol</t>
        </is>
      </c>
      <c r="G300" s="19" t="inlineStr">
        <is>
          <t>https://www.xiaohongshu.com/user/profile/603073e5000000000100434c</t>
        </is>
      </c>
      <c r="H300" s="18" t="n">
        <v>4278277061</v>
      </c>
      <c r="I300" s="18" t="inlineStr">
        <is>
          <t>家居家装</t>
        </is>
      </c>
      <c r="J300" s="18" t="n"/>
      <c r="K300" s="18" t="n"/>
      <c r="L300" s="18" t="inlineStr">
        <is>
          <t>尾部</t>
        </is>
      </c>
      <c r="M300" s="18" t="n">
        <v>5.9</v>
      </c>
      <c r="N300" s="18" t="n">
        <v>52.7</v>
      </c>
      <c r="O300" s="18" t="n">
        <v>13800</v>
      </c>
      <c r="P300" s="18">
        <f>O300*1.1</f>
        <v/>
      </c>
      <c r="Q300" s="20">
        <f>P300/Z300</f>
        <v/>
      </c>
      <c r="R300" s="20">
        <f>P300/AA300</f>
        <v/>
      </c>
      <c r="S300" s="18" t="inlineStr">
        <is>
          <t>视频</t>
        </is>
      </c>
      <c r="T300" s="21" t="n">
        <v>0.87</v>
      </c>
      <c r="U300" s="21" t="n">
        <v>0.08</v>
      </c>
      <c r="V300" s="21" t="n">
        <v>0.5</v>
      </c>
      <c r="W300" s="21" t="n">
        <v>0.23</v>
      </c>
      <c r="X300" s="21" t="n">
        <v>0.3</v>
      </c>
      <c r="Y300" s="21" t="n">
        <v>0.31</v>
      </c>
      <c r="Z300" s="22" t="n">
        <v>28579</v>
      </c>
      <c r="AA300" s="22" t="n">
        <v>1592</v>
      </c>
    </row>
    <row r="301" ht="19" customHeight="1" s="151">
      <c r="A301" s="43" t="inlineStr">
        <is>
          <t>以下为品牌3.18提报月亮</t>
        </is>
      </c>
      <c r="C301" s="32" t="n"/>
      <c r="D301" s="5" t="n"/>
      <c r="E301" s="7" t="n"/>
      <c r="F301" s="7" t="n"/>
      <c r="G301" s="19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>
        <f>O301*1.1</f>
        <v/>
      </c>
      <c r="Q301" s="20">
        <f>P301/Z301</f>
        <v/>
      </c>
      <c r="R301" s="20">
        <f>P301/AA301</f>
        <v/>
      </c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</row>
    <row r="302" ht="19" customHeight="1" s="151">
      <c r="C302" s="18" t="inlineStr">
        <is>
          <t>品牌</t>
        </is>
      </c>
      <c r="D302" s="5" t="inlineStr">
        <is>
          <t>法式田园自建房，调性高</t>
        </is>
      </c>
      <c r="E302" s="7" t="inlineStr">
        <is>
          <t>是小彩虹呀🌈</t>
        </is>
      </c>
      <c r="F302" s="7" t="inlineStr">
        <is>
          <t>https://pgy.xiaohongshu.com/solar/pre-trade/blogger-detail/623fa90c000000002102b6b2?track_id=kolSimilar_c397fbfd516c4c98bd1d11e120d19146&amp;source=Advertiser_Similar_Kol</t>
        </is>
      </c>
      <c r="G302" s="19" t="inlineStr">
        <is>
          <t>https://www.xiaohongshu.com/user/profile/623fa90c000000002102b6b2</t>
        </is>
      </c>
      <c r="H302" s="18" t="n">
        <v>4710018182</v>
      </c>
      <c r="I302" s="18" t="inlineStr">
        <is>
          <t>家居家装</t>
        </is>
      </c>
      <c r="J302" s="18" t="n"/>
      <c r="K302" s="18" t="n"/>
      <c r="L302" s="18" t="inlineStr">
        <is>
          <t>尾部</t>
        </is>
      </c>
      <c r="M302" s="18" t="n">
        <v>8.800000000000001</v>
      </c>
      <c r="N302" s="18" t="n">
        <v>183.4</v>
      </c>
      <c r="O302" s="18" t="n">
        <v>16000</v>
      </c>
      <c r="P302" s="18">
        <f>O302*1.1</f>
        <v/>
      </c>
      <c r="Q302" s="20">
        <f>P302/Z302</f>
        <v/>
      </c>
      <c r="R302" s="20">
        <f>P302/AA302</f>
        <v/>
      </c>
      <c r="S302" s="18" t="inlineStr">
        <is>
          <t>视频</t>
        </is>
      </c>
      <c r="T302" s="21" t="n">
        <v>0.88</v>
      </c>
      <c r="U302" s="21" t="n">
        <v>0.18</v>
      </c>
      <c r="V302" s="21" t="n">
        <v>0.48</v>
      </c>
      <c r="W302" s="21" t="n">
        <v>0.21</v>
      </c>
      <c r="X302" s="21" t="n">
        <v>0.49</v>
      </c>
      <c r="Y302" s="21" t="n">
        <v>0.14</v>
      </c>
      <c r="Z302" s="22" t="n">
        <v>20745</v>
      </c>
      <c r="AA302" s="22" t="n">
        <v>2448</v>
      </c>
    </row>
    <row r="303" ht="19" customHeight="1" s="151">
      <c r="C303" s="18" t="inlineStr">
        <is>
          <t>品牌</t>
        </is>
      </c>
      <c r="D303" s="5" t="inlineStr">
        <is>
          <t>独居女性，有厨房场景</t>
        </is>
      </c>
      <c r="E303" s="7" t="inlineStr">
        <is>
          <t>孜然过敏</t>
        </is>
      </c>
      <c r="F303" s="7" t="inlineStr">
        <is>
          <t>https://pgy.xiaohongshu.com/solar/pre-trade/blogger-detail/5a8c16b94eacab718b4efec1?track_id=kolSearch_dd97aa6a9e4140818d6885eb41cc49df&amp;source=Advertiser_Kol</t>
        </is>
      </c>
      <c r="G303" s="19" t="inlineStr">
        <is>
          <t>https://www.xiaohongshu.com/user/profile/5a8c16b94eacab718b4efec1</t>
        </is>
      </c>
      <c r="H303" s="18" t="n">
        <v>264625584</v>
      </c>
      <c r="I303" s="18" t="inlineStr">
        <is>
          <t>家居家装</t>
        </is>
      </c>
      <c r="J303" s="18" t="n"/>
      <c r="K303" s="18" t="n"/>
      <c r="L303" s="18" t="inlineStr">
        <is>
          <t>尾部</t>
        </is>
      </c>
      <c r="M303" s="18" t="n">
        <v>3</v>
      </c>
      <c r="N303" s="18" t="n">
        <v>29.9</v>
      </c>
      <c r="O303" s="18" t="n">
        <v>5200</v>
      </c>
      <c r="P303" s="18">
        <f>O303*1.1</f>
        <v/>
      </c>
      <c r="Q303" s="20">
        <f>P303/Z303</f>
        <v/>
      </c>
      <c r="R303" s="20">
        <f>P303/AA303</f>
        <v/>
      </c>
      <c r="S303" s="18" t="inlineStr">
        <is>
          <t>视频</t>
        </is>
      </c>
      <c r="T303" s="21" t="n">
        <v>0.87</v>
      </c>
      <c r="U303" s="21" t="n">
        <v>0.14</v>
      </c>
      <c r="V303" s="21" t="n">
        <v>0.51</v>
      </c>
      <c r="W303" s="21" t="n">
        <v>0.24</v>
      </c>
      <c r="X303" s="21" t="n">
        <v>0.64</v>
      </c>
      <c r="Y303" s="21" t="n">
        <v>0.13</v>
      </c>
      <c r="Z303" s="18" t="n">
        <v>38000</v>
      </c>
      <c r="AA303" s="18" t="n">
        <v>700</v>
      </c>
    </row>
    <row r="304" ht="19" customHeight="1" s="151">
      <c r="C304" s="18" t="inlineStr">
        <is>
          <t>品牌</t>
        </is>
      </c>
      <c r="D304" s="5" t="inlineStr">
        <is>
          <t>垂直装修内容</t>
        </is>
      </c>
      <c r="E304" s="7" t="inlineStr">
        <is>
          <t>朱朱（自装日记）</t>
        </is>
      </c>
      <c r="F304" s="7" t="inlineStr">
        <is>
          <t>https://pgy.xiaohongshu.com/solar/pre-trade/blogger-detail/5c7ea1aa000000001602a180?track_id=kolSimilar_b9d75b67b52f40eeb5bca2c8a3f09093&amp;source=Advertiser_Similar_Kol</t>
        </is>
      </c>
      <c r="G304" s="19" t="inlineStr">
        <is>
          <t>https://www.xiaohongshu.com/user/profile/5c7ea1aa000000001602a180</t>
        </is>
      </c>
      <c r="H304" s="18" t="n">
        <v>430124735</v>
      </c>
      <c r="I304" s="18" t="inlineStr">
        <is>
          <t>家居家装</t>
        </is>
      </c>
      <c r="J304" s="18" t="n"/>
      <c r="K304" s="18" t="n"/>
      <c r="L304" s="18" t="inlineStr">
        <is>
          <t>尾部</t>
        </is>
      </c>
      <c r="M304" s="18" t="n">
        <v>1.9</v>
      </c>
      <c r="N304" s="18" t="n">
        <v>35.1</v>
      </c>
      <c r="O304" s="18" t="n">
        <v>3000</v>
      </c>
      <c r="P304" s="18">
        <f>O304*1.1</f>
        <v/>
      </c>
      <c r="Q304" s="20">
        <f>P304/Z304</f>
        <v/>
      </c>
      <c r="R304" s="20">
        <f>P304/AA304</f>
        <v/>
      </c>
      <c r="S304" s="18" t="inlineStr">
        <is>
          <t>图文</t>
        </is>
      </c>
      <c r="T304" s="21" t="n">
        <v>0.76</v>
      </c>
      <c r="U304" s="21" t="n">
        <v>0.09</v>
      </c>
      <c r="V304" s="21" t="n">
        <v>0.5</v>
      </c>
      <c r="W304" s="21" t="n">
        <v>0.24</v>
      </c>
      <c r="X304" s="21" t="n">
        <v>0.42</v>
      </c>
      <c r="Y304" s="21" t="n">
        <v>0.18</v>
      </c>
      <c r="Z304" s="18" t="n">
        <v>7000</v>
      </c>
      <c r="AA304" s="18" t="n">
        <v>350</v>
      </c>
    </row>
    <row r="305" ht="19" customHeight="1" s="151">
      <c r="C305" s="18" t="inlineStr">
        <is>
          <t>品牌</t>
        </is>
      </c>
      <c r="D305" s="5" t="inlineStr">
        <is>
          <t>垂类家居装修内容，粉丝群体对家居家装十分感兴趣</t>
        </is>
      </c>
      <c r="E305" s="7" t="inlineStr">
        <is>
          <t>柚子的装修日记</t>
        </is>
      </c>
      <c r="F305" s="7" t="inlineStr">
        <is>
          <t>https://pgy.xiaohongshu.com/solar/pre-trade/blogger-detail/650a7a41000000000200f029?track_id=kolSimilar_b9d75b67b52f40eeb5bca2c8a3f09093&amp;source=Advertiser_Similar_Kol</t>
        </is>
      </c>
      <c r="G305" s="19" t="inlineStr">
        <is>
          <t>https://www.xiaohongshu.com/user/profile/650a7a41000000000200f029</t>
        </is>
      </c>
      <c r="H305" s="7" t="n">
        <v>6465876116</v>
      </c>
      <c r="I305" s="18" t="inlineStr">
        <is>
          <t>家居家装</t>
        </is>
      </c>
      <c r="J305" s="18" t="n"/>
      <c r="K305" s="18" t="n"/>
      <c r="L305" s="18" t="inlineStr">
        <is>
          <t>尾部</t>
        </is>
      </c>
      <c r="M305" s="18" t="n">
        <v>2.5</v>
      </c>
      <c r="N305" s="18" t="n">
        <v>59.9</v>
      </c>
      <c r="O305" s="18" t="n">
        <v>3500</v>
      </c>
      <c r="P305" s="18">
        <f>O305*1.1</f>
        <v/>
      </c>
      <c r="Q305" s="20">
        <f>P305/Z305</f>
        <v/>
      </c>
      <c r="R305" s="20">
        <f>P305/AA305</f>
        <v/>
      </c>
      <c r="S305" s="18" t="inlineStr">
        <is>
          <t>图文</t>
        </is>
      </c>
      <c r="T305" s="21" t="n">
        <v>0.8100000000000001</v>
      </c>
      <c r="U305" s="21" t="n">
        <v>0.04</v>
      </c>
      <c r="V305" s="21" t="n">
        <v>0.38</v>
      </c>
      <c r="W305" s="21" t="n">
        <v>0.41</v>
      </c>
      <c r="X305" s="21" t="n">
        <v>0.39</v>
      </c>
      <c r="Y305" s="21" t="n">
        <v>0.23</v>
      </c>
      <c r="Z305" s="22" t="n">
        <v>13400</v>
      </c>
      <c r="AA305" s="22" t="n">
        <v>1040</v>
      </c>
    </row>
    <row r="306" ht="19" customHeight="1" s="151">
      <c r="C306" s="18" t="inlineStr">
        <is>
          <t>品牌</t>
        </is>
      </c>
      <c r="D306" s="19" t="inlineStr">
        <is>
          <t>垂直测评账号 性价比不错</t>
        </is>
      </c>
      <c r="E306" s="18" t="inlineStr">
        <is>
          <t>不觉三石</t>
        </is>
      </c>
      <c r="F306" s="7" t="inlineStr">
        <is>
          <t>https://pgy.xiaohongshu.com/solar/pre-trade/blogger-detail/58ebdd8a6a6a696bff3e7836?track_id=kolMatch_9ab907c8fa474419b6b42ea44a7ef03b&amp;source=Advertiser_Kol</t>
        </is>
      </c>
      <c r="G306" s="19" t="inlineStr">
        <is>
          <t>https://www.xiaohongshu.com/user/profile/58ebdd8a6a6a696bff3e7836</t>
        </is>
      </c>
      <c r="H306" s="18" t="inlineStr">
        <is>
          <t>wwy000</t>
        </is>
      </c>
      <c r="I306" s="18" t="inlineStr">
        <is>
          <t>家居家装</t>
        </is>
      </c>
      <c r="J306" s="18" t="n"/>
      <c r="K306" s="18" t="n"/>
      <c r="L306" s="18" t="inlineStr">
        <is>
          <t>尾部</t>
        </is>
      </c>
      <c r="M306" s="18" t="n">
        <v>2.4</v>
      </c>
      <c r="N306" s="18" t="n">
        <v>25.8</v>
      </c>
      <c r="O306" s="18" t="n">
        <v>5800</v>
      </c>
      <c r="P306" s="18">
        <f>O306*1.1</f>
        <v/>
      </c>
      <c r="Q306" s="20">
        <f>P306/Z306</f>
        <v/>
      </c>
      <c r="R306" s="20">
        <f>P306/AA306</f>
        <v/>
      </c>
      <c r="S306" s="18" t="inlineStr">
        <is>
          <t>视频</t>
        </is>
      </c>
      <c r="T306" s="21" t="n">
        <v>0.86</v>
      </c>
      <c r="U306" s="21" t="n">
        <v>0.05</v>
      </c>
      <c r="V306" s="21" t="n">
        <v>0.36</v>
      </c>
      <c r="W306" s="21" t="n">
        <v>0.35</v>
      </c>
      <c r="X306" s="21" t="n">
        <v>0.48</v>
      </c>
      <c r="Y306" s="21" t="n">
        <v>0.21</v>
      </c>
      <c r="Z306" s="22" t="n">
        <v>9657</v>
      </c>
      <c r="AA306" s="18" t="n">
        <v>504</v>
      </c>
    </row>
    <row r="307" ht="19" customHeight="1" s="151">
      <c r="C307" s="18" t="inlineStr">
        <is>
          <t>品牌</t>
        </is>
      </c>
      <c r="D307" s="134" t="inlineStr">
        <is>
          <t>600平带地下室的日常，广告多，种草能力强</t>
        </is>
      </c>
      <c r="E307" s="18" t="inlineStr">
        <is>
          <t>ok小姐</t>
        </is>
      </c>
      <c r="F307" s="7" t="inlineStr">
        <is>
          <t>https://pgy.xiaohongshu.com/solar/pre-trade/blogger-detail/58bbb4c05e87e73fcfe47ae8?track_id=kolMatch_665beeb609e34ef3b4191997af19c313&amp;source=Advertiser_Kol</t>
        </is>
      </c>
      <c r="G307" s="19" t="inlineStr">
        <is>
          <t>https://www.xiaohongshu.com/user/profile/58bbb4c05e87e73fcfe47ae8</t>
        </is>
      </c>
      <c r="H307" s="18" t="inlineStr">
        <is>
          <t>cqing1122</t>
        </is>
      </c>
      <c r="I307" s="18" t="inlineStr">
        <is>
          <t>家居家装</t>
        </is>
      </c>
      <c r="J307" s="18" t="n"/>
      <c r="K307" s="18" t="n"/>
      <c r="L307" s="18" t="inlineStr">
        <is>
          <t>尾部</t>
        </is>
      </c>
      <c r="M307" s="18" t="n">
        <v>4.1</v>
      </c>
      <c r="N307" s="18" t="n">
        <v>22.6</v>
      </c>
      <c r="O307" s="18" t="n">
        <v>14500</v>
      </c>
      <c r="P307" s="18">
        <f>O307*1.1</f>
        <v/>
      </c>
      <c r="Q307" s="20">
        <f>P307/Z307</f>
        <v/>
      </c>
      <c r="R307" s="20">
        <f>P307/AA307</f>
        <v/>
      </c>
      <c r="S307" s="18" t="inlineStr">
        <is>
          <t>视频</t>
        </is>
      </c>
      <c r="T307" s="21" t="n">
        <v>0.79</v>
      </c>
      <c r="U307" s="21" t="n">
        <v>0.1</v>
      </c>
      <c r="V307" s="21" t="n">
        <v>0.49</v>
      </c>
      <c r="W307" s="21" t="n">
        <v>0.26</v>
      </c>
      <c r="X307" s="21" t="n">
        <v>0.38</v>
      </c>
      <c r="Y307" s="21" t="n">
        <v>0.26</v>
      </c>
      <c r="Z307" s="22" t="n">
        <v>16878</v>
      </c>
      <c r="AA307" s="22" t="n">
        <v>1521</v>
      </c>
    </row>
    <row r="308" ht="19" customHeight="1" s="151">
      <c r="C308" s="18" t="inlineStr">
        <is>
          <t>品牌</t>
        </is>
      </c>
      <c r="D308" s="19" t="inlineStr">
        <is>
          <t>家居测评内容</t>
        </is>
      </c>
      <c r="E308" s="18" t="inlineStr">
        <is>
          <t>陈大大呀🏠</t>
        </is>
      </c>
      <c r="F308" s="7" t="inlineStr">
        <is>
          <t>https://pgy.xiaohongshu.com/solar/pre-trade/blogger-detail/67e681cb000000000a03c126?track_id=kolMatch_3687438110cb47e394ac6fddd2e15179&amp;source=Advertiser_Kol</t>
        </is>
      </c>
      <c r="G308" s="19" t="inlineStr">
        <is>
          <t>https://www.xiaohongshu.com/user/profile/67e681cb000000000a03c126</t>
        </is>
      </c>
      <c r="H308" s="0" t="n">
        <v>95344814759</v>
      </c>
      <c r="I308" s="18" t="inlineStr">
        <is>
          <t>家居家装</t>
        </is>
      </c>
      <c r="J308" s="18" t="n"/>
      <c r="K308" s="18" t="n"/>
      <c r="L308" s="18" t="inlineStr">
        <is>
          <t>尾部</t>
        </is>
      </c>
      <c r="M308" s="18" t="n">
        <v>8.4</v>
      </c>
      <c r="N308" s="18" t="n">
        <v>116.5</v>
      </c>
      <c r="O308" s="18" t="n">
        <v>8000</v>
      </c>
      <c r="P308" s="18">
        <f>O308*1.1</f>
        <v/>
      </c>
      <c r="Q308" s="20">
        <f>P308/Z308</f>
        <v/>
      </c>
      <c r="R308" s="20">
        <f>P308/AA308</f>
        <v/>
      </c>
      <c r="S308" s="18" t="inlineStr">
        <is>
          <t>视频</t>
        </is>
      </c>
      <c r="T308" s="21" t="n">
        <v>0.87</v>
      </c>
      <c r="U308" s="21" t="n">
        <v>0.15</v>
      </c>
      <c r="V308" s="21" t="n">
        <v>0.31</v>
      </c>
      <c r="W308" s="21" t="n">
        <v>0.26</v>
      </c>
      <c r="X308" s="21" t="n">
        <v>0.33</v>
      </c>
      <c r="Y308" s="21" t="n">
        <v>0.19</v>
      </c>
      <c r="Z308" s="22" t="n">
        <v>17638</v>
      </c>
      <c r="AA308" s="18" t="n">
        <v>715</v>
      </c>
    </row>
    <row r="309" ht="19" customHeight="1" s="151">
      <c r="C309" s="18" t="inlineStr">
        <is>
          <t>品牌</t>
        </is>
      </c>
      <c r="D309" s="134" t="inlineStr">
        <is>
          <t>垂类测评账号，近期爆文多</t>
        </is>
      </c>
      <c r="E309" s="18" t="inlineStr">
        <is>
          <t>一只何碗碗</t>
        </is>
      </c>
      <c r="F309" s="7" t="inlineStr">
        <is>
          <t>https://pgy.xiaohongshu.com/solar/pre-trade/blogger-detail/6565825b000000003c01e9e2?track_id=kolMatch_e60d689fa57840d69eb5287816e5a318&amp;source=Advertiser_Kol</t>
        </is>
      </c>
      <c r="G309" s="19" t="inlineStr">
        <is>
          <t>https://www.xiaohongshu.com/user/profile/6565825b000000003c01e9e2</t>
        </is>
      </c>
      <c r="H309" s="18" t="n">
        <v>6626700712</v>
      </c>
      <c r="I309" s="18" t="inlineStr">
        <is>
          <t>家居家装</t>
        </is>
      </c>
      <c r="J309" s="18" t="n"/>
      <c r="K309" s="18" t="n"/>
      <c r="L309" s="18" t="inlineStr">
        <is>
          <t>腰部</t>
        </is>
      </c>
      <c r="M309" s="18" t="n">
        <v>17.5</v>
      </c>
      <c r="N309" s="18" t="n">
        <v>218.4</v>
      </c>
      <c r="O309" s="18" t="n">
        <v>12800</v>
      </c>
      <c r="P309" s="18">
        <f>O309*1.1</f>
        <v/>
      </c>
      <c r="Q309" s="20">
        <f>P309/Z309</f>
        <v/>
      </c>
      <c r="R309" s="20">
        <f>P309/AA309</f>
        <v/>
      </c>
      <c r="S309" s="18" t="inlineStr">
        <is>
          <t>视频</t>
        </is>
      </c>
      <c r="T309" s="21" t="n">
        <v>0.84</v>
      </c>
      <c r="U309" s="21" t="n">
        <v>0.15</v>
      </c>
      <c r="V309" s="21" t="n">
        <v>0.4</v>
      </c>
      <c r="W309" s="21" t="n">
        <v>0.28</v>
      </c>
      <c r="X309" s="21" t="n">
        <v>0.39</v>
      </c>
      <c r="Y309" s="21" t="n">
        <v>0.19</v>
      </c>
      <c r="Z309" s="22" t="n">
        <v>14794</v>
      </c>
      <c r="AA309" s="18" t="n">
        <v>890</v>
      </c>
    </row>
    <row r="310" ht="19" customHeight="1" s="151">
      <c r="C310" s="18" t="inlineStr">
        <is>
          <t>品牌</t>
        </is>
      </c>
      <c r="D310" s="134" t="inlineStr">
        <is>
          <t>进店数据不错</t>
        </is>
      </c>
      <c r="E310" s="18" t="inlineStr">
        <is>
          <t>妹等Mayden</t>
        </is>
      </c>
      <c r="F310" s="7" t="inlineStr">
        <is>
          <t>https://pgy.xiaohongshu.com/solar/pre-trade/blogger-detail/55d1d96de4b1cf26b61d65a5?track_id=kolMatch_4b52f038803f4a02be23dc8211d4b654&amp;source=Advertiser_Kol</t>
        </is>
      </c>
      <c r="G310" s="19" t="inlineStr">
        <is>
          <t>https://www.xiaohongshu.com/user/profile/55d1d96de4b1cf26b61d65a5</t>
        </is>
      </c>
      <c r="H310" s="18" t="inlineStr">
        <is>
          <t xml:space="preserve">
maiden_1
</t>
        </is>
      </c>
      <c r="I310" s="18" t="inlineStr">
        <is>
          <t>家居家装</t>
        </is>
      </c>
      <c r="J310" s="18" t="n"/>
      <c r="K310" s="18" t="n"/>
      <c r="L310" s="18" t="inlineStr">
        <is>
          <t>腰部</t>
        </is>
      </c>
      <c r="M310" s="18" t="n">
        <v>20.7</v>
      </c>
      <c r="N310" s="18" t="n">
        <v>297.3</v>
      </c>
      <c r="O310" s="18" t="n">
        <v>18000</v>
      </c>
      <c r="P310" s="18">
        <f>O310*1.1</f>
        <v/>
      </c>
      <c r="Q310" s="20">
        <f>P310/Z310</f>
        <v/>
      </c>
      <c r="R310" s="20">
        <f>P310/AA310</f>
        <v/>
      </c>
      <c r="S310" s="18" t="inlineStr">
        <is>
          <t>视频</t>
        </is>
      </c>
      <c r="T310" s="21" t="n">
        <v>0.89</v>
      </c>
      <c r="U310" s="21" t="n">
        <v>0.09</v>
      </c>
      <c r="V310" s="21" t="n">
        <v>0.42</v>
      </c>
      <c r="W310" s="21" t="n">
        <v>0.31</v>
      </c>
      <c r="X310" s="21" t="n">
        <v>0.52</v>
      </c>
      <c r="Y310" s="21" t="n">
        <v>0.17</v>
      </c>
      <c r="Z310" s="22" t="n">
        <v>6695</v>
      </c>
      <c r="AA310" s="18" t="n">
        <v>828</v>
      </c>
    </row>
    <row r="311" ht="19" customHeight="1" s="151">
      <c r="C311" s="18" t="inlineStr">
        <is>
          <t>品牌</t>
        </is>
      </c>
      <c r="D311" s="5" t="inlineStr">
        <is>
          <t>性价比高</t>
        </is>
      </c>
      <c r="E311" s="7" t="inlineStr">
        <is>
          <t>一只柠檬茶</t>
        </is>
      </c>
      <c r="F311" s="7" t="inlineStr">
        <is>
          <t>https://pgy.xiaohongshu.com/solar/pre-trade/blogger-detail/6062e7fc0000000001002502?track_id=kolSearch_40a9719a6f304e15b1a3030835f06ba5&amp;source=Advertiser_Kol</t>
        </is>
      </c>
      <c r="G311" s="19" t="inlineStr">
        <is>
          <t>https://www.xiaohongshu.com/user/profile/6062e7fc0000000001002502</t>
        </is>
      </c>
      <c r="H311" s="18" t="n">
        <v>2650557056</v>
      </c>
      <c r="I311" s="18" t="inlineStr">
        <is>
          <t>家居家装</t>
        </is>
      </c>
      <c r="J311" s="18" t="n"/>
      <c r="K311" s="18" t="n"/>
      <c r="L311" s="18" t="inlineStr">
        <is>
          <t>尾部</t>
        </is>
      </c>
      <c r="M311" s="18" t="n">
        <v>2.5</v>
      </c>
      <c r="N311" s="18" t="n">
        <v>34.1</v>
      </c>
      <c r="O311" s="18" t="n">
        <v>6900</v>
      </c>
      <c r="P311" s="18">
        <f>O311*1.1</f>
        <v/>
      </c>
      <c r="Q311" s="20">
        <f>P311/Z311</f>
        <v/>
      </c>
      <c r="R311" s="20">
        <f>P311/AA311</f>
        <v/>
      </c>
      <c r="S311" s="18" t="inlineStr">
        <is>
          <t>图文</t>
        </is>
      </c>
      <c r="T311" s="21" t="n">
        <v>0.78</v>
      </c>
      <c r="U311" s="21" t="n">
        <v>0.09</v>
      </c>
      <c r="V311" s="21" t="n">
        <v>0.49</v>
      </c>
      <c r="W311" s="21" t="n">
        <v>0.28</v>
      </c>
      <c r="X311" s="21" t="n">
        <v>0.46</v>
      </c>
      <c r="Y311" s="21" t="n">
        <v>0.17</v>
      </c>
      <c r="Z311" s="22" t="n">
        <v>12491</v>
      </c>
      <c r="AA311" s="18" t="n">
        <v>792</v>
      </c>
    </row>
    <row r="312" ht="19" customHeight="1" s="151">
      <c r="C312" s="18" t="inlineStr">
        <is>
          <t>品牌</t>
        </is>
      </c>
      <c r="D312" s="134" t="inlineStr">
        <is>
          <t>35-44年龄人群占比第一，有娃家庭 适合植入相关卖点</t>
        </is>
      </c>
      <c r="E312" s="18" t="inlineStr">
        <is>
          <t>苏苏是个懒妈</t>
        </is>
      </c>
      <c r="F312" s="7" t="inlineStr">
        <is>
          <t>https://pgy.xiaohongshu.com/solar/pre-trade/blogger-detail/566e6e85b8ce1a6858474bf9?track_id=kolMatch_561d44a7a4d04465b9ce2a35cf09d095&amp;source=Advertiser_Kol</t>
        </is>
      </c>
      <c r="G312" s="19" t="inlineStr">
        <is>
          <t>https://www.xiaohongshu.com/user/profile/566e6e85b8ce1a6858474bf9</t>
        </is>
      </c>
      <c r="H312" s="18" t="n">
        <v>269309650</v>
      </c>
      <c r="I312" s="18" t="inlineStr">
        <is>
          <t>家居家装</t>
        </is>
      </c>
      <c r="J312" s="18" t="n"/>
      <c r="K312" s="18" t="n"/>
      <c r="L312" s="18" t="inlineStr">
        <is>
          <t>尾部</t>
        </is>
      </c>
      <c r="M312" s="18" t="n">
        <v>1.8</v>
      </c>
      <c r="N312" s="18" t="n">
        <v>11.2</v>
      </c>
      <c r="O312" s="18" t="n">
        <v>7800</v>
      </c>
      <c r="P312" s="18">
        <f>O312*1.1</f>
        <v/>
      </c>
      <c r="Q312" s="20">
        <f>P312/Z312</f>
        <v/>
      </c>
      <c r="R312" s="20">
        <f>P312/AA312</f>
        <v/>
      </c>
      <c r="S312" s="18" t="inlineStr">
        <is>
          <t>视频</t>
        </is>
      </c>
      <c r="T312" s="21" t="n">
        <v>0.87</v>
      </c>
      <c r="U312" s="21" t="n">
        <v>0.03</v>
      </c>
      <c r="V312" s="21" t="n">
        <v>0.36</v>
      </c>
      <c r="W312" s="21" t="n">
        <v>0.44</v>
      </c>
      <c r="X312" s="21" t="n">
        <v>0.42</v>
      </c>
      <c r="Y312" s="21" t="n">
        <v>0.19</v>
      </c>
      <c r="Z312" s="22" t="n">
        <v>30551</v>
      </c>
      <c r="AA312" s="18" t="n">
        <v>390</v>
      </c>
    </row>
    <row r="313" ht="19" customHeight="1" s="151">
      <c r="C313" s="18" t="inlineStr">
        <is>
          <t>品牌</t>
        </is>
      </c>
      <c r="D313" s="134" t="inlineStr">
        <is>
          <t>垂类测评账号</t>
        </is>
      </c>
      <c r="E313" s="18" t="inlineStr">
        <is>
          <t>余七装修笔记</t>
        </is>
      </c>
      <c r="F313" s="7" t="inlineStr">
        <is>
          <t>https://pgy.xiaohongshu.com/solar/pre-trade/blogger-detail/60bf99fc0000000001000029?track_id=kolMatch_e60d689fa57840d69eb5287816e5a318&amp;source=Advertiser_Kol</t>
        </is>
      </c>
      <c r="G313" s="19" t="inlineStr">
        <is>
          <t>https://www.xiaohongshu.com/user/profile/60bf99fc0000000001000029</t>
        </is>
      </c>
      <c r="H313" s="18" t="inlineStr">
        <is>
          <t>Czxy0210</t>
        </is>
      </c>
      <c r="I313" s="18" t="inlineStr">
        <is>
          <t>家居家装</t>
        </is>
      </c>
      <c r="J313" s="18" t="n"/>
      <c r="K313" s="18" t="n"/>
      <c r="L313" s="18" t="inlineStr">
        <is>
          <t>尾部</t>
        </is>
      </c>
      <c r="M313" s="18" t="n">
        <v>3.9</v>
      </c>
      <c r="N313" s="18" t="n">
        <v>60</v>
      </c>
      <c r="O313" s="18" t="n">
        <v>16990</v>
      </c>
      <c r="P313" s="18">
        <f>O313*1.1</f>
        <v/>
      </c>
      <c r="Q313" s="20">
        <f>P313/Z313</f>
        <v/>
      </c>
      <c r="R313" s="20">
        <f>P313/AA313</f>
        <v/>
      </c>
      <c r="S313" s="18" t="inlineStr">
        <is>
          <t>视频</t>
        </is>
      </c>
      <c r="T313" s="21" t="n">
        <v>0.65</v>
      </c>
      <c r="U313" s="21" t="n">
        <v>0.09</v>
      </c>
      <c r="V313" s="21" t="n">
        <v>0.42</v>
      </c>
      <c r="W313" s="21" t="n">
        <v>0.28</v>
      </c>
      <c r="X313" s="21" t="n">
        <v>0.47</v>
      </c>
      <c r="Y313" s="21" t="n">
        <v>0.2</v>
      </c>
      <c r="Z313" s="22" t="n">
        <v>25228</v>
      </c>
      <c r="AA313" s="22" t="n">
        <v>1621</v>
      </c>
    </row>
    <row r="314" ht="24" customHeight="1" s="151">
      <c r="C314" s="18" t="inlineStr">
        <is>
          <t>品牌</t>
        </is>
      </c>
      <c r="D314" s="134" t="inlineStr">
        <is>
          <t>有娃家庭，使用产品人群契合度高</t>
        </is>
      </c>
      <c r="E314" s="18" t="inlineStr">
        <is>
          <t>老骥就是老马</t>
        </is>
      </c>
      <c r="F314" s="7" t="inlineStr">
        <is>
          <t>https://pgy.xiaohongshu.com/solar/pre-trade/blogger-detail/5eb7ee6f0000000001007511?track_id=kolMatch_1a11f3efb5774eb1b9b83dc13e830a48&amp;source=Advertiser_Kol</t>
        </is>
      </c>
      <c r="G314" s="19" t="inlineStr">
        <is>
          <t>https://www.xiaohongshu.com/user/profile/5eb7ee6f0000000001007511</t>
        </is>
      </c>
      <c r="H314" s="18" t="inlineStr">
        <is>
          <t>visonm</t>
        </is>
      </c>
      <c r="I314" s="18" t="inlineStr">
        <is>
          <t>家居家装</t>
        </is>
      </c>
      <c r="J314" s="18" t="n"/>
      <c r="K314" s="18" t="n"/>
      <c r="L314" s="18" t="inlineStr">
        <is>
          <t>尾部</t>
        </is>
      </c>
      <c r="M314" s="18" t="n">
        <v>3.2</v>
      </c>
      <c r="N314" s="18" t="n">
        <v>41.9</v>
      </c>
      <c r="O314" s="18" t="n">
        <v>17800</v>
      </c>
      <c r="P314" s="18">
        <f>O314*1.1</f>
        <v/>
      </c>
      <c r="Q314" s="20">
        <f>P314/Z314</f>
        <v/>
      </c>
      <c r="R314" s="20">
        <f>P314/AA314</f>
        <v/>
      </c>
      <c r="S314" s="18" t="inlineStr">
        <is>
          <t>视频</t>
        </is>
      </c>
      <c r="T314" s="21" t="n">
        <v>0.64</v>
      </c>
      <c r="U314" s="21" t="n">
        <v>0.08</v>
      </c>
      <c r="V314" s="21" t="n">
        <v>0.4</v>
      </c>
      <c r="W314" s="21" t="n">
        <v>0.29</v>
      </c>
      <c r="X314" s="21" t="n">
        <v>0.46</v>
      </c>
      <c r="Y314" s="21" t="n">
        <v>0.17</v>
      </c>
      <c r="Z314" s="22" t="n">
        <v>5592</v>
      </c>
      <c r="AA314" s="18" t="n">
        <v>675</v>
      </c>
    </row>
    <row r="315" ht="24" customHeight="1" s="151">
      <c r="C315" s="18" t="inlineStr">
        <is>
          <t>品牌</t>
        </is>
      </c>
      <c r="D315" s="134" t="inlineStr">
        <is>
          <t>200平带院子小别墅</t>
        </is>
      </c>
      <c r="E315" s="18" t="inlineStr">
        <is>
          <t>吐司醒了</t>
        </is>
      </c>
      <c r="F315" s="7" t="inlineStr">
        <is>
          <t>https://pgy.xiaohongshu.com/solar/pre-trade/blogger-detail/5ed9bb28000000000101f1b9?track_id=kolSimilar_cca0c4108bb14333a2a379e15ea390fa&amp;source=Advertiser_Similar_Kol</t>
        </is>
      </c>
      <c r="G315" s="7" t="inlineStr">
        <is>
          <t>https://www.xiaohongshu.com/user/profile/5ed9bb28000000000101f1b9</t>
        </is>
      </c>
      <c r="H315" s="18" t="n">
        <v>26963133717</v>
      </c>
      <c r="I315" s="18" t="inlineStr">
        <is>
          <t>家居家装</t>
        </is>
      </c>
      <c r="J315" s="18" t="n"/>
      <c r="K315" s="18" t="n"/>
      <c r="L315" s="18" t="inlineStr">
        <is>
          <t>尾部</t>
        </is>
      </c>
      <c r="M315" s="18" t="n">
        <v>8</v>
      </c>
      <c r="N315" s="18" t="n">
        <v>72.59999999999999</v>
      </c>
      <c r="O315" s="18" t="n">
        <v>12800</v>
      </c>
      <c r="P315" s="18">
        <f>O315*1.1</f>
        <v/>
      </c>
      <c r="Q315" s="20">
        <f>P315/Z315</f>
        <v/>
      </c>
      <c r="R315" s="20">
        <f>P315/AA315</f>
        <v/>
      </c>
      <c r="S315" s="18" t="inlineStr">
        <is>
          <t>视频</t>
        </is>
      </c>
      <c r="T315" s="21" t="n">
        <v>0.86</v>
      </c>
      <c r="U315" s="21" t="n">
        <v>0.13</v>
      </c>
      <c r="V315" s="21" t="n">
        <v>0.48</v>
      </c>
      <c r="W315" s="21" t="n">
        <v>0.22</v>
      </c>
      <c r="X315" s="21" t="n">
        <v>0.6899999999999999</v>
      </c>
      <c r="Y315" s="21" t="n">
        <v>0.08</v>
      </c>
      <c r="Z315" s="18" t="n">
        <v>14000</v>
      </c>
      <c r="AA315" s="18" t="n">
        <v>600</v>
      </c>
    </row>
    <row r="316" ht="24" customHeight="1" s="151">
      <c r="C316" s="18" t="inlineStr">
        <is>
          <t>品牌</t>
        </is>
      </c>
      <c r="D316" s="134" t="inlineStr">
        <is>
          <t>森林原木小屋 调性很独特</t>
        </is>
      </c>
      <c r="E316" s="18" t="inlineStr">
        <is>
          <t>小青柑</t>
        </is>
      </c>
      <c r="F316" s="7" t="inlineStr">
        <is>
          <t>https://pgy.xiaohongshu.com/solar/pre-trade/blogger-detail/5657ed837c5bb8258f1dbb45?track_id=kolSimilar_645af52923a64011b6e7e94caf85bb98&amp;source=Advertiser_Similar_Kol</t>
        </is>
      </c>
      <c r="G316" s="7" t="inlineStr">
        <is>
          <t>https://www.xiaohongshu.com/user/profile/5657ed837c5bb8258f1dbb45</t>
        </is>
      </c>
      <c r="H316" s="18" t="n">
        <v>4196863456</v>
      </c>
      <c r="I316" s="18" t="inlineStr">
        <is>
          <t>家居家装</t>
        </is>
      </c>
      <c r="J316" s="18" t="n"/>
      <c r="K316" s="18" t="n"/>
      <c r="L316" s="18" t="inlineStr">
        <is>
          <t>肩部</t>
        </is>
      </c>
      <c r="M316" s="18" t="n">
        <v>44.1</v>
      </c>
      <c r="N316" s="18" t="n">
        <v>373.9</v>
      </c>
      <c r="O316" s="18" t="n">
        <v>43000</v>
      </c>
      <c r="P316" s="18">
        <f>O316*1.1</f>
        <v/>
      </c>
      <c r="Q316" s="20">
        <f>P316/Z316</f>
        <v/>
      </c>
      <c r="R316" s="20">
        <f>P316/AA316</f>
        <v/>
      </c>
      <c r="S316" s="18" t="inlineStr">
        <is>
          <t>视频</t>
        </is>
      </c>
      <c r="T316" s="21" t="n">
        <v>0.9</v>
      </c>
      <c r="U316" s="21" t="n">
        <v>0.14</v>
      </c>
      <c r="V316" s="21" t="n">
        <v>0.43</v>
      </c>
      <c r="W316" s="21" t="n">
        <v>0.27</v>
      </c>
      <c r="X316" s="21" t="n">
        <v>0.53</v>
      </c>
      <c r="Y316" s="21" t="n">
        <v>0.17</v>
      </c>
      <c r="Z316" s="22" t="n">
        <v>60617</v>
      </c>
      <c r="AA316" s="22" t="n">
        <v>3200</v>
      </c>
    </row>
    <row r="317" ht="24" customHeight="1" s="151">
      <c r="C317" s="18" t="inlineStr">
        <is>
          <t>品牌</t>
        </is>
      </c>
      <c r="D317" s="5" t="inlineStr">
        <is>
          <t>近期外溢进店中位数
9,145</t>
        </is>
      </c>
      <c r="E317" s="7" t="inlineStr">
        <is>
          <t>丰哥聊科技</t>
        </is>
      </c>
      <c r="F317" s="7" t="inlineStr">
        <is>
          <t>https://pgy.xiaohongshu.com/solar/pre-trade/blogger-detail/666e57880000000003032e41?track_id=kolMatch_7cf9b93a44b44a6cb5cae99c838dc678&amp;source=Advertiser_Kol</t>
        </is>
      </c>
      <c r="G317" s="7" t="inlineStr">
        <is>
          <t>https://www.xiaohongshu.com/user/profile/666e57880000000003032e41</t>
        </is>
      </c>
      <c r="H317" s="18" t="inlineStr">
        <is>
          <t xml:space="preserve">
11610199122
￼</t>
        </is>
      </c>
      <c r="I317" s="18" t="inlineStr">
        <is>
          <t>家居家装</t>
        </is>
      </c>
      <c r="J317" s="18" t="n"/>
      <c r="K317" s="18" t="n"/>
      <c r="L317" s="18" t="inlineStr">
        <is>
          <t>腰部</t>
        </is>
      </c>
      <c r="M317" s="18" t="n">
        <v>18.3</v>
      </c>
      <c r="N317" s="18" t="n">
        <v>144.8</v>
      </c>
      <c r="O317" s="18" t="n">
        <v>15800</v>
      </c>
      <c r="P317" s="18">
        <f>O317*1.1</f>
        <v/>
      </c>
      <c r="Q317" s="20">
        <f>P317/Z317</f>
        <v/>
      </c>
      <c r="R317" s="20">
        <f>P317/AA317</f>
        <v/>
      </c>
      <c r="S317" s="18" t="inlineStr">
        <is>
          <t>视频</t>
        </is>
      </c>
      <c r="T317" s="21" t="n">
        <v>0.45</v>
      </c>
      <c r="U317" s="21" t="n">
        <v>0.09</v>
      </c>
      <c r="V317" s="21" t="n">
        <v>0.26</v>
      </c>
      <c r="W317" s="21" t="n">
        <v>0.33</v>
      </c>
      <c r="X317" s="21" t="n">
        <v>0.3</v>
      </c>
      <c r="Y317" s="21" t="n">
        <v>0.25</v>
      </c>
      <c r="Z317" s="22" t="n">
        <v>11708</v>
      </c>
      <c r="AA317" s="18" t="n">
        <v>671</v>
      </c>
    </row>
    <row r="318" ht="24" customHeight="1" s="151">
      <c r="C318" s="18" t="inlineStr">
        <is>
          <t>品牌</t>
        </is>
      </c>
      <c r="D318" s="5" t="inlineStr">
        <is>
          <t>近期爆文 测评党</t>
        </is>
      </c>
      <c r="E318" s="18" t="inlineStr">
        <is>
          <t>明智生活家</t>
        </is>
      </c>
      <c r="F318" s="7" t="inlineStr">
        <is>
          <t>https://pgy.xiaohongshu.com/solar/pre-trade/blogger-detail/65e87ae200000000050088cf?track_id=kolMatch_1bf7af07d3cc4d45b6e9959981f2ccf8&amp;source=Advertiser_Kol</t>
        </is>
      </c>
      <c r="G318" s="7" t="inlineStr">
        <is>
          <t>https://www.xiaohongshu.com/user/profile/65e87ae200000000050088cf</t>
        </is>
      </c>
      <c r="H318" s="18" t="inlineStr">
        <is>
          <t>tf19960802</t>
        </is>
      </c>
      <c r="I318" s="18" t="inlineStr">
        <is>
          <t>家居家装</t>
        </is>
      </c>
      <c r="J318" s="18" t="n"/>
      <c r="K318" s="18" t="n"/>
      <c r="L318" s="18" t="inlineStr">
        <is>
          <t>腰部</t>
        </is>
      </c>
      <c r="M318" s="18" t="n">
        <v>12.8</v>
      </c>
      <c r="N318" s="18" t="n">
        <v>240.5</v>
      </c>
      <c r="O318" s="18" t="n">
        <v>16000</v>
      </c>
      <c r="P318" s="18">
        <f>O318*1.1</f>
        <v/>
      </c>
      <c r="Q318" s="20">
        <f>P318/Z318</f>
        <v/>
      </c>
      <c r="R318" s="20">
        <f>P318/AA318</f>
        <v/>
      </c>
      <c r="S318" s="18" t="inlineStr">
        <is>
          <t>视频</t>
        </is>
      </c>
      <c r="T318" s="21" t="n">
        <v>0.92</v>
      </c>
      <c r="U318" s="21" t="n">
        <v>0.17</v>
      </c>
      <c r="V318" s="21" t="n">
        <v>0.55</v>
      </c>
      <c r="W318" s="21" t="n">
        <v>0.19</v>
      </c>
      <c r="X318" s="21" t="n">
        <v>0.43</v>
      </c>
      <c r="Y318" s="21" t="n">
        <v>0.16</v>
      </c>
      <c r="Z318" s="22" t="n">
        <v>27116</v>
      </c>
      <c r="AA318" s="22" t="n">
        <v>2520</v>
      </c>
    </row>
    <row r="319" ht="24" customHeight="1" s="151">
      <c r="C319" s="18" t="inlineStr">
        <is>
          <t>品牌</t>
        </is>
      </c>
      <c r="D319" s="7" t="inlineStr">
        <is>
          <t>近期外溢进店中位数
212</t>
        </is>
      </c>
      <c r="E319" s="7" t="inlineStr">
        <is>
          <t>阿俊家电研究所</t>
        </is>
      </c>
      <c r="F319" s="7" t="inlineStr">
        <is>
          <t>https://pgy.xiaohongshu.com/solar/pre-trade/blogger-detail/67fa31470000000010025e19?track_id=kolSimilar_e04cc496a1604aa6bf9fd005d8528631&amp;source=Advertiser_Similar_Kol</t>
        </is>
      </c>
      <c r="G319" s="7" t="inlineStr">
        <is>
          <t>https://www.xiaohongshu.com/user/profile/67fa31470000000010025e19</t>
        </is>
      </c>
      <c r="H319" s="18" t="n">
        <v>95399406736</v>
      </c>
      <c r="I319" s="18" t="inlineStr">
        <is>
          <t>家居家装</t>
        </is>
      </c>
      <c r="J319" s="18" t="n"/>
      <c r="K319" s="18" t="n"/>
      <c r="L319" s="18" t="inlineStr">
        <is>
          <t>腰部</t>
        </is>
      </c>
      <c r="M319" s="18" t="n">
        <v>15.2</v>
      </c>
      <c r="N319" s="18" t="n">
        <v>84.2</v>
      </c>
      <c r="O319" s="18" t="n">
        <v>13800</v>
      </c>
      <c r="P319" s="18">
        <f>O319*1.1</f>
        <v/>
      </c>
      <c r="Q319" s="20">
        <f>P319/Z319</f>
        <v/>
      </c>
      <c r="R319" s="20">
        <f>P319/AA319</f>
        <v/>
      </c>
      <c r="S319" s="18" t="inlineStr">
        <is>
          <t>视频</t>
        </is>
      </c>
      <c r="T319" s="21" t="n">
        <v>0.6899999999999999</v>
      </c>
      <c r="U319" s="21" t="n">
        <v>0.18</v>
      </c>
      <c r="V319" s="21" t="n">
        <v>0.16</v>
      </c>
      <c r="W319" s="21" t="n">
        <v>0.22</v>
      </c>
      <c r="X319" s="21" t="n">
        <v>0.19</v>
      </c>
      <c r="Y319" s="21" t="n">
        <v>0.24</v>
      </c>
      <c r="Z319" s="22" t="n">
        <v>10046</v>
      </c>
      <c r="AA319" s="18" t="n">
        <v>979</v>
      </c>
    </row>
    <row r="320">
      <c r="C320" s="18" t="inlineStr">
        <is>
          <t>品牌</t>
        </is>
      </c>
      <c r="D320" s="7" t="inlineStr">
        <is>
          <t>专业背书</t>
        </is>
      </c>
      <c r="E320" s="7" t="inlineStr">
        <is>
          <t>家居设计师Bella</t>
        </is>
      </c>
      <c r="F320" s="7" t="inlineStr">
        <is>
          <t>https://pgy.xiaohongshu.com/solar/pre-trade/blogger-detail/59b1728f5e87e74ae7153032?track_id=kolSimilar_e04cc496a1604aa6bf9fd005d8528631&amp;source=Advertiser_Similar_Kol</t>
        </is>
      </c>
      <c r="G320" s="7" t="inlineStr">
        <is>
          <t>https://www.xiaohongshu.com/user/profile/59b1728f5e87e74ae7153032</t>
        </is>
      </c>
      <c r="H320" s="18" t="inlineStr">
        <is>
          <t>mo0301</t>
        </is>
      </c>
      <c r="I320" s="18" t="inlineStr">
        <is>
          <t>家居家装</t>
        </is>
      </c>
      <c r="J320" s="18" t="n"/>
      <c r="K320" s="18" t="n"/>
      <c r="L320" s="18" t="inlineStr">
        <is>
          <t>腰部</t>
        </is>
      </c>
      <c r="M320" s="18" t="n">
        <v>19.6</v>
      </c>
      <c r="N320" s="18" t="n">
        <v>74.09999999999999</v>
      </c>
      <c r="O320" s="18" t="n">
        <v>19000</v>
      </c>
      <c r="P320" s="18">
        <f>O320*1.1</f>
        <v/>
      </c>
      <c r="Q320" s="20">
        <f>P320/Z320</f>
        <v/>
      </c>
      <c r="R320" s="20">
        <f>P320/AA320</f>
        <v/>
      </c>
      <c r="S320" s="18" t="inlineStr">
        <is>
          <t>视频</t>
        </is>
      </c>
      <c r="T320" s="21" t="n">
        <v>0.9399999999999999</v>
      </c>
      <c r="U320" s="21" t="n">
        <v>0.02</v>
      </c>
      <c r="V320" s="21" t="n">
        <v>0.29</v>
      </c>
      <c r="W320" s="21" t="n">
        <v>0.5600000000000001</v>
      </c>
      <c r="X320" s="21" t="n">
        <v>0.43</v>
      </c>
      <c r="Y320" s="21" t="n">
        <v>0.23</v>
      </c>
      <c r="Z320" s="18" t="n">
        <v>18000</v>
      </c>
      <c r="AA320" s="18" t="n">
        <v>1700</v>
      </c>
    </row>
    <row r="321">
      <c r="A321" s="43" t="inlineStr">
        <is>
          <t>以下为品牌3.20提报月亮</t>
        </is>
      </c>
      <c r="C321" s="18" t="n"/>
      <c r="E321" s="7" t="n"/>
      <c r="F321" s="7" t="n"/>
      <c r="G321" s="7" t="n"/>
      <c r="H321" s="18" t="n"/>
      <c r="I321" s="18" t="n"/>
      <c r="J321" s="18" t="n"/>
      <c r="K321" s="18" t="n"/>
      <c r="L321" s="18" t="n"/>
      <c r="P321" s="18" t="n"/>
      <c r="Q321" s="20" t="n"/>
      <c r="R321" s="20" t="n"/>
      <c r="T321" s="18" t="n"/>
      <c r="U321" s="18" t="n"/>
      <c r="V321" s="18" t="n"/>
      <c r="W321" s="18" t="n"/>
      <c r="X321" s="18" t="n"/>
      <c r="Y321" s="18" t="n"/>
      <c r="Z321" s="18" t="n"/>
      <c r="AA321" s="18" t="n"/>
    </row>
    <row r="322">
      <c r="C322" s="18" t="inlineStr">
        <is>
          <t>品牌</t>
        </is>
      </c>
      <c r="D322" s="19" t="inlineStr">
        <is>
          <t>建议功能创意测评</t>
        </is>
      </c>
      <c r="E322" s="32" t="inlineStr">
        <is>
          <t>小璇要退休</t>
        </is>
      </c>
      <c r="F322" s="7" t="inlineStr">
        <is>
          <t>https://pgy.xiaohongshu.com/solar/pre-trade/blogger-detail/64eb24e200000000010114a4?track_id=kolMatch_36b2e3c1ae7a4f13ba44b212481296f2&amp;source=Advertiser_Kol</t>
        </is>
      </c>
      <c r="G322" s="144" t="inlineStr">
        <is>
          <t>https://www.xiaohongshu.com/user/profile/64eb24e200000000010114a4</t>
        </is>
      </c>
      <c r="H322" s="18" t="n">
        <v>9387299397</v>
      </c>
      <c r="I322" s="18" t="inlineStr">
        <is>
          <t>家居家装</t>
        </is>
      </c>
      <c r="J322" s="18" t="inlineStr">
        <is>
          <t>视频</t>
        </is>
      </c>
      <c r="K322" s="18" t="n"/>
      <c r="L322" s="18" t="inlineStr">
        <is>
          <t>腰部</t>
        </is>
      </c>
      <c r="M322" s="154" t="n">
        <v>13.4292</v>
      </c>
      <c r="N322" s="154" t="n">
        <v>212.4</v>
      </c>
      <c r="O322" s="18" t="n">
        <v>11000</v>
      </c>
      <c r="P322" s="18">
        <f>O322*1.1</f>
        <v/>
      </c>
      <c r="Q322" s="20">
        <f>P322/Z322</f>
        <v/>
      </c>
      <c r="R322" s="20">
        <f>P322/AA322</f>
        <v/>
      </c>
      <c r="S322" s="18" t="inlineStr">
        <is>
          <t>视频</t>
        </is>
      </c>
      <c r="T322" s="21" t="n">
        <v>0.71</v>
      </c>
      <c r="U322" s="21" t="n">
        <v>0.18</v>
      </c>
      <c r="V322" s="21" t="n">
        <v>0.28</v>
      </c>
      <c r="W322" s="21" t="n">
        <v>0.26</v>
      </c>
      <c r="X322" s="21" t="n">
        <v>0.21</v>
      </c>
      <c r="Y322" s="21" t="n">
        <v>0.21</v>
      </c>
      <c r="Z322" s="22" t="n">
        <v>16237</v>
      </c>
      <c r="AA322" s="18" t="n">
        <v>867</v>
      </c>
    </row>
    <row r="323">
      <c r="C323" s="18" t="inlineStr">
        <is>
          <t>品牌</t>
        </is>
      </c>
      <c r="D323" s="19" t="inlineStr">
        <is>
          <t>建议功能创意测评</t>
        </is>
      </c>
      <c r="E323" s="32" t="inlineStr">
        <is>
          <t>白羊座的J哥</t>
        </is>
      </c>
      <c r="F323" s="7" t="inlineStr">
        <is>
          <t>https://pgy.xiaohongshu.com/solar/pre-trade/blogger-detail/6550babc000000000802d4c5?track_id=kolMatch_096c2c2c84f4471c87b8bfa424508080&amp;source=Advertiser_Kol</t>
        </is>
      </c>
      <c r="G323" s="144" t="inlineStr">
        <is>
          <t>https://www.xiaohongshu.com/user/profile/6550babc000000000802d4c5</t>
        </is>
      </c>
      <c r="H323" s="18" t="n">
        <v>2313064404</v>
      </c>
      <c r="I323" s="18" t="inlineStr">
        <is>
          <t>家居家装</t>
        </is>
      </c>
      <c r="J323" s="18" t="n"/>
      <c r="K323" s="18" t="n"/>
      <c r="L323" s="18" t="inlineStr">
        <is>
          <t>腰部</t>
        </is>
      </c>
      <c r="M323" s="154" t="n">
        <v>13.3804</v>
      </c>
      <c r="N323" s="154" t="n">
        <v>105.0513</v>
      </c>
      <c r="O323" s="18" t="n">
        <v>17000</v>
      </c>
      <c r="P323" s="18">
        <f>O323*1.1</f>
        <v/>
      </c>
      <c r="Q323" s="20">
        <f>P323/Z323</f>
        <v/>
      </c>
      <c r="R323" s="20">
        <f>P323/AA323</f>
        <v/>
      </c>
      <c r="S323" s="18" t="inlineStr">
        <is>
          <t>视频</t>
        </is>
      </c>
      <c r="T323" s="21" t="n">
        <v>0.8</v>
      </c>
      <c r="U323" s="21" t="n">
        <v>0.1</v>
      </c>
      <c r="V323" s="21" t="n">
        <v>0.22</v>
      </c>
      <c r="W323" s="21" t="n">
        <v>0.29</v>
      </c>
      <c r="X323" s="21" t="n">
        <v>0.25</v>
      </c>
      <c r="Y323" s="21" t="n">
        <v>0.2</v>
      </c>
      <c r="Z323" s="22" t="n">
        <v>50633</v>
      </c>
      <c r="AA323" s="22" t="n">
        <v>5527</v>
      </c>
    </row>
    <row r="324">
      <c r="C324" s="18" t="inlineStr">
        <is>
          <t>品牌</t>
        </is>
      </c>
      <c r="D324" s="19" t="inlineStr">
        <is>
          <t>建议功能创意测评</t>
        </is>
      </c>
      <c r="E324" s="32" t="inlineStr">
        <is>
          <t>小胖聊家装</t>
        </is>
      </c>
      <c r="F324" s="7" t="inlineStr">
        <is>
          <t>https://pgy.xiaohongshu.com/solar/pre-trade/blogger-detail/63b3c73d0000000027028c8d?track_id=kolMatch_096c2c2c84f4471c87b8bfa424508080&amp;source=Advertiser_Kol</t>
        </is>
      </c>
      <c r="G324" s="144" t="inlineStr">
        <is>
          <t>https://www.xiaohongshu.com/user/profile/63b3c73d0000000027028c8d</t>
        </is>
      </c>
      <c r="H324" s="18" t="n">
        <v>6766361113</v>
      </c>
      <c r="I324" s="18" t="inlineStr">
        <is>
          <t>家居家装</t>
        </is>
      </c>
      <c r="J324" s="18" t="n"/>
      <c r="K324" s="18" t="n"/>
      <c r="L324" s="18" t="inlineStr">
        <is>
          <t>尾部</t>
        </is>
      </c>
      <c r="M324" s="154" t="n">
        <v>6.3054</v>
      </c>
      <c r="N324" s="154" t="n">
        <v>44.5129</v>
      </c>
      <c r="O324" s="18" t="n">
        <v>15200</v>
      </c>
      <c r="P324" s="18">
        <f>O324*1.1</f>
        <v/>
      </c>
      <c r="Q324" s="20">
        <f>P324/Z324</f>
        <v/>
      </c>
      <c r="R324" s="20">
        <f>P324/AA324</f>
        <v/>
      </c>
      <c r="S324" s="18" t="inlineStr">
        <is>
          <t>视频</t>
        </is>
      </c>
      <c r="T324" s="21" t="n">
        <v>0.7</v>
      </c>
      <c r="U324" s="21" t="n">
        <v>0.09</v>
      </c>
      <c r="V324" s="21" t="n">
        <v>0.28</v>
      </c>
      <c r="W324" s="21" t="n">
        <v>0.3</v>
      </c>
      <c r="X324" s="21" t="n">
        <v>0.32</v>
      </c>
      <c r="Y324" s="21" t="n">
        <v>0.25</v>
      </c>
      <c r="Z324" s="22" t="n">
        <v>11189</v>
      </c>
      <c r="AA324" s="18" t="n">
        <v>1096</v>
      </c>
    </row>
    <row r="325">
      <c r="C325" s="18" t="inlineStr">
        <is>
          <t>品牌</t>
        </is>
      </c>
      <c r="D325" s="19" t="inlineStr">
        <is>
          <t>建议功能创意测评</t>
        </is>
      </c>
      <c r="E325" s="32" t="inlineStr">
        <is>
          <t>王公子的家</t>
        </is>
      </c>
      <c r="F325" s="7" t="inlineStr">
        <is>
          <t>https://pgy.xiaohongshu.com/solar/pre-trade/blogger-detail/5aeb01e54eacab19fa539f31?track_id=kolMatch_77ab434ac52e48d683826de0677ff400&amp;source=Advertiser_Kol</t>
        </is>
      </c>
      <c r="G325" s="144" t="inlineStr">
        <is>
          <t>https://www.xiaohongshu.com/user/profile/5aeb01e54eacab19fa539f31</t>
        </is>
      </c>
      <c r="H325" s="18" t="inlineStr">
        <is>
          <t>shiyiba7758</t>
        </is>
      </c>
      <c r="I325" s="18" t="inlineStr">
        <is>
          <t>家居家装</t>
        </is>
      </c>
      <c r="J325" s="18" t="n"/>
      <c r="K325" s="18" t="n"/>
      <c r="L325" s="18" t="inlineStr">
        <is>
          <t>腰部</t>
        </is>
      </c>
      <c r="M325" s="154" t="n">
        <v>22.2716</v>
      </c>
      <c r="N325" s="154" t="n">
        <v>232.8396</v>
      </c>
      <c r="O325" s="18" t="n">
        <v>19800</v>
      </c>
      <c r="P325" s="18">
        <f>O325*1.1</f>
        <v/>
      </c>
      <c r="Q325" s="20">
        <f>P325/Z325</f>
        <v/>
      </c>
      <c r="R325" s="20">
        <f>P325/AA325</f>
        <v/>
      </c>
      <c r="S325" s="18" t="inlineStr">
        <is>
          <t>视频</t>
        </is>
      </c>
      <c r="T325" s="21" t="n">
        <v>0.78</v>
      </c>
      <c r="U325" s="21" t="n">
        <v>0.18</v>
      </c>
      <c r="V325" s="21" t="n">
        <v>0.42</v>
      </c>
      <c r="W325" s="21" t="n">
        <v>0.24</v>
      </c>
      <c r="X325" s="21" t="n">
        <v>0.41</v>
      </c>
      <c r="Y325" s="21" t="n">
        <v>0.19</v>
      </c>
      <c r="Z325" s="22" t="n">
        <v>24545</v>
      </c>
      <c r="AA325" s="18" t="n">
        <v>1099</v>
      </c>
    </row>
    <row r="326">
      <c r="C326" s="18" t="inlineStr">
        <is>
          <t>品牌</t>
        </is>
      </c>
      <c r="D326" s="19" t="inlineStr">
        <is>
          <t>建议功能创意测评</t>
        </is>
      </c>
      <c r="E326" s="32" t="inlineStr">
        <is>
          <t>张张的窝</t>
        </is>
      </c>
      <c r="F326" s="7" t="inlineStr">
        <is>
          <t>https://pgy.xiaohongshu.com/solar/pre-trade/blogger-detail/6682180c00000000030306fe?track_id=kolMatch_e5fc2a871a21406f92289669b784bc38&amp;source=Advertiser_Kol</t>
        </is>
      </c>
      <c r="G326" s="144" t="inlineStr">
        <is>
          <t>https://www.xiaohongshu.com/user/profile/6682180c00000000030306fe</t>
        </is>
      </c>
      <c r="H326" s="18" t="n">
        <v>26977175003</v>
      </c>
      <c r="I326" s="18" t="inlineStr">
        <is>
          <t>家居家装</t>
        </is>
      </c>
      <c r="J326" s="18" t="n"/>
      <c r="K326" s="18" t="n"/>
      <c r="L326" s="18" t="inlineStr">
        <is>
          <t>尾部</t>
        </is>
      </c>
      <c r="M326" s="154" t="n">
        <v>3.4745</v>
      </c>
      <c r="N326" s="154" t="n">
        <v>27.468</v>
      </c>
      <c r="O326" s="18" t="n">
        <v>6000</v>
      </c>
      <c r="P326" s="18">
        <f>O326*1.1</f>
        <v/>
      </c>
      <c r="Q326" s="20">
        <f>P326/Z326</f>
        <v/>
      </c>
      <c r="R326" s="20">
        <f>P326/AA326</f>
        <v/>
      </c>
      <c r="S326" s="18" t="inlineStr">
        <is>
          <t>视频</t>
        </is>
      </c>
      <c r="T326" s="21" t="n">
        <v>0.78</v>
      </c>
      <c r="U326" s="21" t="n">
        <v>0.07000000000000001</v>
      </c>
      <c r="V326" s="21" t="n">
        <v>0.48</v>
      </c>
      <c r="W326" s="21" t="n">
        <v>0.25</v>
      </c>
      <c r="X326" s="21" t="n">
        <v>0.35</v>
      </c>
      <c r="Y326" s="21" t="n">
        <v>0.3</v>
      </c>
      <c r="Z326" s="22" t="n">
        <v>23382</v>
      </c>
      <c r="AA326" s="18" t="n">
        <v>2061</v>
      </c>
    </row>
    <row r="327">
      <c r="C327" s="18" t="inlineStr">
        <is>
          <t>品牌</t>
        </is>
      </c>
      <c r="D327" s="19" t="inlineStr">
        <is>
          <t>建议功能创意测评</t>
        </is>
      </c>
      <c r="E327" s="32" t="inlineStr">
        <is>
          <t>JoJo爱家居</t>
        </is>
      </c>
      <c r="F327" s="7" t="inlineStr">
        <is>
          <t>https://pgy.xiaohongshu.com/solar/pre-trade/blogger-detail/5cf3d38f0000000005035b2c?track_id=kolMatch_36b2e3c1ae7a4f13ba44b212481296f2&amp;source=Advertiser_Kol</t>
        </is>
      </c>
      <c r="G327" s="144" t="inlineStr">
        <is>
          <t>https://www.xiaohongshu.com/user/profile/5cf3d38f0000000005035b2c</t>
        </is>
      </c>
      <c r="H327" s="18" t="n">
        <v>996468578</v>
      </c>
      <c r="I327" s="18" t="inlineStr">
        <is>
          <t>家居家装</t>
        </is>
      </c>
      <c r="J327" s="18" t="n"/>
      <c r="K327" s="18" t="n"/>
      <c r="L327" s="18" t="inlineStr">
        <is>
          <t>头部</t>
        </is>
      </c>
      <c r="M327" s="154" t="n">
        <v>62.7363</v>
      </c>
      <c r="N327" s="154" t="n">
        <v>327.2394</v>
      </c>
      <c r="O327" s="18" t="n">
        <v>58000</v>
      </c>
      <c r="P327" s="18">
        <f>O327*1.1</f>
        <v/>
      </c>
      <c r="Q327" s="20">
        <f>P327/Z327</f>
        <v/>
      </c>
      <c r="R327" s="20">
        <f>P327/AA327</f>
        <v/>
      </c>
      <c r="S327" s="18" t="inlineStr">
        <is>
          <t>视频</t>
        </is>
      </c>
      <c r="T327" s="21" t="n">
        <v>0.83</v>
      </c>
      <c r="U327" s="21" t="n">
        <v>0.08</v>
      </c>
      <c r="V327" s="21" t="n">
        <v>0.51</v>
      </c>
      <c r="W327" s="21" t="n">
        <v>0.27</v>
      </c>
      <c r="X327" s="21" t="n">
        <v>0.6</v>
      </c>
      <c r="Y327" s="21" t="n">
        <v>0.16</v>
      </c>
      <c r="Z327" s="22" t="n">
        <v>256545</v>
      </c>
      <c r="AA327" s="22" t="n">
        <v>17297</v>
      </c>
    </row>
    <row r="328">
      <c r="C328" s="18" t="inlineStr">
        <is>
          <t>品牌</t>
        </is>
      </c>
      <c r="D328" s="7" t="inlineStr">
        <is>
          <t>建议家居家装</t>
        </is>
      </c>
      <c r="E328" s="18" t="inlineStr">
        <is>
          <t>木梓蓝🏠</t>
        </is>
      </c>
      <c r="F328" s="7" t="inlineStr">
        <is>
          <t>https://pgy.xiaohongshu.com/solar/pre-trade/blogger-detail/5b504f6e11be105d6c4b5eec?track_id=kolMatch_49aee212e05e40c7a430eaa9a9c9985f&amp;source=Advertiser_Kol</t>
        </is>
      </c>
      <c r="G328" s="19" t="inlineStr">
        <is>
          <t>https://www.xiaohongshu.com/user/profile/5b504f6e11be105d6c4b5eec</t>
        </is>
      </c>
      <c r="H328" s="18" t="inlineStr">
        <is>
          <t>wen1620245191</t>
        </is>
      </c>
      <c r="I328" s="18" t="inlineStr">
        <is>
          <t>家居家装</t>
        </is>
      </c>
      <c r="J328" s="18" t="n"/>
      <c r="K328" s="18" t="n"/>
      <c r="L328" s="18" t="inlineStr">
        <is>
          <t>头部</t>
        </is>
      </c>
      <c r="M328" s="18" t="n">
        <v>51.7</v>
      </c>
      <c r="N328" s="18" t="n">
        <v>261.8</v>
      </c>
      <c r="O328" s="18" t="n">
        <v>29800</v>
      </c>
      <c r="P328" s="18">
        <f>O328*1.1</f>
        <v/>
      </c>
      <c r="Q328" s="20">
        <f>P328/Z328</f>
        <v/>
      </c>
      <c r="R328" s="20">
        <f>P328/AA328</f>
        <v/>
      </c>
      <c r="S328" s="18" t="inlineStr">
        <is>
          <t>视频</t>
        </is>
      </c>
      <c r="T328" s="21" t="n">
        <v>0.798</v>
      </c>
      <c r="U328" s="21" t="n">
        <v>0.258</v>
      </c>
      <c r="V328" s="21" t="n">
        <v>0.408</v>
      </c>
      <c r="W328" s="21" t="n">
        <v>0.206</v>
      </c>
      <c r="X328" s="21" t="n">
        <v>0.447</v>
      </c>
      <c r="Y328" s="21" t="n">
        <v>0.171</v>
      </c>
      <c r="Z328" s="22" t="n">
        <v>335713</v>
      </c>
      <c r="AA328" s="18" t="n">
        <v>23008</v>
      </c>
    </row>
    <row r="329">
      <c r="C329" s="18" t="inlineStr">
        <is>
          <t>品牌</t>
        </is>
      </c>
      <c r="D329" s="7" t="inlineStr">
        <is>
          <t>建议家居家装</t>
        </is>
      </c>
      <c r="E329" s="18" t="inlineStr">
        <is>
          <t>阿元啊～</t>
        </is>
      </c>
      <c r="F329" s="7" t="inlineStr">
        <is>
          <t>https://pgy.xiaohongshu.com/solar/pre-trade/blogger-detail/6125a7530000000001005d8b?track_id=kolMatch_49aee212e05e40c7a430eaa9a9c9985f&amp;source=Advertiser_Kol</t>
        </is>
      </c>
      <c r="G329" s="19" t="inlineStr">
        <is>
          <t>https://www.xiaohongshu.com/user/profile/6125a7530000000001005d8b</t>
        </is>
      </c>
      <c r="H329" s="18" t="inlineStr">
        <is>
          <t>min11_</t>
        </is>
      </c>
      <c r="I329" s="18" t="inlineStr">
        <is>
          <t>家居家装</t>
        </is>
      </c>
      <c r="J329" s="18" t="n"/>
      <c r="K329" s="18" t="n"/>
      <c r="L329" s="18" t="inlineStr">
        <is>
          <t>尾部</t>
        </is>
      </c>
      <c r="M329" s="18" t="n">
        <v>7.1</v>
      </c>
      <c r="N329" s="18" t="n">
        <v>143.4</v>
      </c>
      <c r="O329" s="18" t="n">
        <v>14800</v>
      </c>
      <c r="P329" s="18">
        <f>O329*1.1</f>
        <v/>
      </c>
      <c r="Q329" s="20">
        <f>P329/Z329</f>
        <v/>
      </c>
      <c r="R329" s="20">
        <f>P329/AA329</f>
        <v/>
      </c>
      <c r="S329" s="18" t="inlineStr">
        <is>
          <t>视频</t>
        </is>
      </c>
      <c r="T329" s="21" t="n">
        <v>0.823</v>
      </c>
      <c r="U329" s="21" t="n">
        <v>0.082</v>
      </c>
      <c r="V329" s="21" t="n">
        <v>0.374</v>
      </c>
      <c r="W329" s="21" t="n">
        <v>0.3434</v>
      </c>
      <c r="X329" s="21" t="n">
        <v>0.491</v>
      </c>
      <c r="Y329" s="21" t="n">
        <v>0.208</v>
      </c>
      <c r="Z329" s="22" t="n">
        <v>85047</v>
      </c>
      <c r="AA329" s="18" t="n">
        <v>15697</v>
      </c>
    </row>
    <row r="330">
      <c r="C330" s="18" t="inlineStr">
        <is>
          <t>品牌</t>
        </is>
      </c>
      <c r="D330" s="19" t="inlineStr">
        <is>
          <t>建议生活好物分享</t>
        </is>
      </c>
      <c r="E330" s="18" t="inlineStr">
        <is>
          <t>李小祺！</t>
        </is>
      </c>
      <c r="F330" s="7" t="inlineStr">
        <is>
          <t>https://pgy.xiaohongshu.com/solar/pre-trade/blogger-detail/5725e93e82ec3923a4faea24?track_id=kolMatch_ae946d7824954535874d7f1802b69fd0&amp;source=Advertiser_Kol</t>
        </is>
      </c>
      <c r="G330" s="19" t="inlineStr">
        <is>
          <t>https://www.xiaohongshu.com/user/profile/5725e93e82ec3923a4faea24</t>
        </is>
      </c>
      <c r="H330" s="18" t="inlineStr">
        <is>
          <t>inamoto</t>
        </is>
      </c>
      <c r="I330" s="18" t="inlineStr">
        <is>
          <t>家居家装</t>
        </is>
      </c>
      <c r="J330" s="18" t="n"/>
      <c r="K330" s="18" t="n"/>
      <c r="L330" s="18" t="inlineStr">
        <is>
          <t>肩部</t>
        </is>
      </c>
      <c r="M330" s="18" t="n">
        <v>35.7</v>
      </c>
      <c r="N330" s="18" t="n">
        <v>184</v>
      </c>
      <c r="O330" s="18" t="n">
        <v>65800</v>
      </c>
      <c r="P330" s="18">
        <f>O330*1.1</f>
        <v/>
      </c>
      <c r="Q330" s="20">
        <f>P330/Z330</f>
        <v/>
      </c>
      <c r="R330" s="20">
        <f>P330/AA330</f>
        <v/>
      </c>
      <c r="S330" s="18" t="inlineStr">
        <is>
          <t>视频</t>
        </is>
      </c>
      <c r="T330" s="21" t="n">
        <v>0.697</v>
      </c>
      <c r="U330" s="21" t="n">
        <v>0.144</v>
      </c>
      <c r="V330" s="21" t="n">
        <v>0.437</v>
      </c>
      <c r="W330" s="21" t="n">
        <v>0.271</v>
      </c>
      <c r="X330" s="21" t="n">
        <v>0.5590000000000001</v>
      </c>
      <c r="Y330" s="21" t="n">
        <v>0.113</v>
      </c>
      <c r="Z330" s="22" t="n">
        <v>45617</v>
      </c>
      <c r="AA330" s="18" t="n">
        <v>5941</v>
      </c>
    </row>
    <row r="331">
      <c r="C331" s="18" t="inlineStr">
        <is>
          <t>品牌</t>
        </is>
      </c>
      <c r="D331" s="19" t="inlineStr">
        <is>
          <t>建议生活好物分享</t>
        </is>
      </c>
      <c r="E331" s="18" t="inlineStr">
        <is>
          <t>蘑菇guanguan</t>
        </is>
      </c>
      <c r="F331" s="7" t="inlineStr">
        <is>
          <t>https://pgy.xiaohongshu.com/solar/pre-trade/blogger-detail/55cffbc45894467d469a4a9f?track_id=kolMatch_ae946d7824954535874d7f1802b69fd0&amp;source=Advertiser_Kol</t>
        </is>
      </c>
      <c r="G331" s="7" t="inlineStr">
        <is>
          <t>https://www.xiaohongshu.com/user/profile/55cffbc45894467d469a4a9f</t>
        </is>
      </c>
      <c r="H331" s="18" t="inlineStr">
        <is>
          <t>moguguanguan</t>
        </is>
      </c>
      <c r="I331" s="18" t="inlineStr">
        <is>
          <t>家居家装</t>
        </is>
      </c>
      <c r="J331" s="18" t="n"/>
      <c r="K331" s="18" t="n"/>
      <c r="L331" s="18" t="inlineStr">
        <is>
          <t>腰部</t>
        </is>
      </c>
      <c r="M331" s="18" t="n">
        <v>20.6</v>
      </c>
      <c r="N331" s="18" t="n">
        <v>201.5</v>
      </c>
      <c r="O331" s="18" t="n">
        <v>33000</v>
      </c>
      <c r="P331" s="18">
        <f>O331*1.1</f>
        <v/>
      </c>
      <c r="Q331" s="20">
        <f>P331/Z331</f>
        <v/>
      </c>
      <c r="R331" s="20">
        <f>P331/AA331</f>
        <v/>
      </c>
      <c r="S331" s="18" t="inlineStr">
        <is>
          <t>视频</t>
        </is>
      </c>
      <c r="T331" s="21" t="n">
        <v>0.85</v>
      </c>
      <c r="U331" s="21" t="n">
        <v>0.05</v>
      </c>
      <c r="V331" s="21" t="n">
        <v>0.49</v>
      </c>
      <c r="W331" s="21" t="n">
        <v>0.39</v>
      </c>
      <c r="X331" s="21" t="n">
        <v>0.68</v>
      </c>
      <c r="Y331" s="21" t="n">
        <v>0.15</v>
      </c>
      <c r="Z331" s="22" t="n">
        <v>606028</v>
      </c>
      <c r="AA331" s="18" t="n">
        <v>2456</v>
      </c>
    </row>
    <row r="332">
      <c r="C332" s="18" t="inlineStr">
        <is>
          <t>品牌</t>
        </is>
      </c>
      <c r="D332" s="19" t="inlineStr">
        <is>
          <t>建议生活好物分享</t>
        </is>
      </c>
      <c r="E332" s="18" t="inlineStr">
        <is>
          <t>Lieb里泊</t>
        </is>
      </c>
      <c r="F332" s="7" t="inlineStr">
        <is>
          <t>https://pgy.xiaohongshu.com/solar/pre-trade/blogger-detail/5d2f5781000000001102d77a?track_id=kolMatch_7038bb23ff424f69a45ae247ee0a18b7&amp;source=Advertiser_Kol</t>
        </is>
      </c>
      <c r="G332" s="19" t="inlineStr">
        <is>
          <t>https://www.xiaohongshu.com/user/profile/5d2f5781000000001102d77a</t>
        </is>
      </c>
      <c r="H332" s="18" t="n">
        <v>94742191123</v>
      </c>
      <c r="I332" s="18" t="inlineStr">
        <is>
          <t>家居家装</t>
        </is>
      </c>
      <c r="J332" s="18" t="n"/>
      <c r="K332" s="18" t="n"/>
      <c r="L332" s="18" t="inlineStr">
        <is>
          <t>肩部</t>
        </is>
      </c>
      <c r="M332" s="18" t="n">
        <v>33.8</v>
      </c>
      <c r="N332" s="18" t="n">
        <v>165.5</v>
      </c>
      <c r="O332" s="18" t="n">
        <v>52500</v>
      </c>
      <c r="P332" s="18">
        <f>O332*1.1</f>
        <v/>
      </c>
      <c r="Q332" s="20">
        <f>P332/Z332</f>
        <v/>
      </c>
      <c r="R332" s="20">
        <f>P332/AA332</f>
        <v/>
      </c>
      <c r="S332" s="18" t="inlineStr">
        <is>
          <t>视频</t>
        </is>
      </c>
      <c r="T332" s="21" t="n">
        <v>0.618</v>
      </c>
      <c r="U332" s="21" t="n">
        <v>0.107</v>
      </c>
      <c r="V332" s="21" t="n">
        <v>0.428</v>
      </c>
      <c r="W332" s="21" t="n">
        <v>0.288</v>
      </c>
      <c r="X332" s="21" t="n">
        <v>0.55</v>
      </c>
      <c r="Y332" s="21" t="n">
        <v>0.154</v>
      </c>
      <c r="Z332" s="22" t="n">
        <v>701378</v>
      </c>
      <c r="AA332" s="18" t="n">
        <v>65154</v>
      </c>
    </row>
    <row r="333">
      <c r="C333" s="18" t="inlineStr">
        <is>
          <t>品牌</t>
        </is>
      </c>
      <c r="D333" s="19" t="inlineStr">
        <is>
          <t>建议功能创意测评</t>
        </is>
      </c>
      <c r="E333" s="18" t="inlineStr">
        <is>
          <t>又又又小姐</t>
        </is>
      </c>
      <c r="F333" s="7" t="inlineStr">
        <is>
          <t>https://pgy.xiaohongshu.com/solar/pre-trade/blogger-detail/6507b30400000000170222db?track_id=kolMatch_fff06c7694834daa975199c074ea99e6&amp;source=Advertiser_Kol</t>
        </is>
      </c>
      <c r="G333" s="19" t="inlineStr">
        <is>
          <t>https://www.xiaohongshu.com/user/profile/6507b30400000000170222db</t>
        </is>
      </c>
      <c r="H333" s="18" t="inlineStr">
        <is>
          <t>DMW20190319</t>
        </is>
      </c>
      <c r="I333" s="18" t="inlineStr">
        <is>
          <t>家居家装</t>
        </is>
      </c>
      <c r="J333" s="18" t="n"/>
      <c r="K333" s="18" t="n"/>
      <c r="L333" s="18" t="inlineStr">
        <is>
          <t>腰部</t>
        </is>
      </c>
      <c r="M333" s="18" t="n">
        <v>13.6</v>
      </c>
      <c r="N333" s="18" t="n">
        <v>105.1</v>
      </c>
      <c r="O333" s="18" t="n">
        <v>28000</v>
      </c>
      <c r="P333" s="18">
        <f>O333*1.1</f>
        <v/>
      </c>
      <c r="Q333" s="20">
        <f>P333/Z333</f>
        <v/>
      </c>
      <c r="R333" s="20">
        <f>P333/AA333</f>
        <v/>
      </c>
      <c r="S333" s="18" t="inlineStr">
        <is>
          <t>视频</t>
        </is>
      </c>
      <c r="T333" s="21" t="n">
        <v>0.735</v>
      </c>
      <c r="U333" s="21" t="n">
        <v>0.062</v>
      </c>
      <c r="V333" s="21" t="n">
        <v>0.342</v>
      </c>
      <c r="W333" s="21" t="n">
        <v>0.327</v>
      </c>
      <c r="X333" s="21" t="n">
        <v>0.391</v>
      </c>
      <c r="Y333" s="21" t="n">
        <v>0.245</v>
      </c>
      <c r="Z333" s="22" t="n">
        <v>39959</v>
      </c>
      <c r="AA333" s="18" t="n">
        <v>2402</v>
      </c>
    </row>
    <row r="334">
      <c r="C334" s="18" t="inlineStr">
        <is>
          <t>品牌</t>
        </is>
      </c>
      <c r="D334" s="19" t="inlineStr">
        <is>
          <t>建议功能创意测评</t>
        </is>
      </c>
      <c r="E334" s="18" t="inlineStr">
        <is>
          <t>大狮子头很大</t>
        </is>
      </c>
      <c r="F334" s="7" t="inlineStr">
        <is>
          <t>https://pgy.xiaohongshu.com/solar/pre-trade/blogger-detail/65713dbc000000001902c807?track_id=kolMatch_fff06c7694834daa975199c074ea99e6&amp;source=Advertiser_Kol</t>
        </is>
      </c>
      <c r="G334" s="19" t="inlineStr">
        <is>
          <t>https://www.xiaohongshu.com/user/profile/65713dbc000000001902c807</t>
        </is>
      </c>
      <c r="H334" s="18" t="inlineStr">
        <is>
          <t>MomSunshine_001</t>
        </is>
      </c>
      <c r="I334" s="18" t="inlineStr">
        <is>
          <t>家居家装</t>
        </is>
      </c>
      <c r="J334" s="18" t="n"/>
      <c r="K334" s="18" t="n"/>
      <c r="L334" s="18" t="inlineStr">
        <is>
          <t>尾部</t>
        </is>
      </c>
      <c r="M334" s="18" t="n">
        <v>6.9</v>
      </c>
      <c r="N334" s="18" t="n">
        <v>32.6</v>
      </c>
      <c r="O334" s="18" t="n">
        <v>50000</v>
      </c>
      <c r="P334" s="18">
        <f>O334*1.1</f>
        <v/>
      </c>
      <c r="Q334" s="20">
        <f>P334/Z334</f>
        <v/>
      </c>
      <c r="R334" s="20">
        <f>P334/AA334</f>
        <v/>
      </c>
      <c r="S334" s="18" t="inlineStr">
        <is>
          <t>视频</t>
        </is>
      </c>
      <c r="T334" s="21" t="n">
        <v>0.509</v>
      </c>
      <c r="U334" s="21" t="n">
        <v>0.076</v>
      </c>
      <c r="V334" s="21" t="n">
        <v>0.441</v>
      </c>
      <c r="W334" s="21" t="n">
        <v>0.342</v>
      </c>
      <c r="X334" s="21" t="n">
        <v>0.479</v>
      </c>
      <c r="Y334" s="21" t="n">
        <v>0.178</v>
      </c>
      <c r="Z334" s="22" t="n">
        <v>86054</v>
      </c>
      <c r="AA334" s="18" t="n">
        <v>4669</v>
      </c>
    </row>
    <row r="335">
      <c r="C335" s="18" t="inlineStr">
        <is>
          <t>品牌</t>
        </is>
      </c>
      <c r="D335" s="7" t="inlineStr">
        <is>
          <t>建议家居家装</t>
        </is>
      </c>
      <c r="E335" s="18" t="inlineStr">
        <is>
          <t>南生的小生活</t>
        </is>
      </c>
      <c r="F335" s="7" t="inlineStr">
        <is>
          <t>https://pgy.xiaohongshu.com/solar/pre-trade/blogger-detail/62bfde38000000001b0266ce?track_id=kolMatch_51c4efee50e349f585b665b2d89c9ab7&amp;source=Advertiser_Kol</t>
        </is>
      </c>
      <c r="G335" s="19" t="inlineStr">
        <is>
          <t>https://www.xiaohongshu.com/user/profile/62bfde38000000001b0266ce</t>
        </is>
      </c>
      <c r="H335" s="18" t="inlineStr">
        <is>
          <t>nansheng0580</t>
        </is>
      </c>
      <c r="I335" s="18" t="inlineStr">
        <is>
          <t>家居家装</t>
        </is>
      </c>
      <c r="J335" s="18" t="n"/>
      <c r="K335" s="18" t="n"/>
      <c r="L335" s="18" t="inlineStr">
        <is>
          <t>尾部</t>
        </is>
      </c>
      <c r="M335" s="18" t="n">
        <v>5</v>
      </c>
      <c r="N335" s="18" t="n">
        <v>31</v>
      </c>
      <c r="O335" s="18" t="n">
        <v>21800</v>
      </c>
      <c r="P335" s="18">
        <f>O335*1.1</f>
        <v/>
      </c>
      <c r="Q335" s="20">
        <f>P335/Z335</f>
        <v/>
      </c>
      <c r="R335" s="20">
        <f>P335/AA335</f>
        <v/>
      </c>
      <c r="S335" s="18" t="inlineStr">
        <is>
          <t>视频</t>
        </is>
      </c>
      <c r="T335" s="21" t="n">
        <v>0.72</v>
      </c>
      <c r="U335" s="21" t="n">
        <v>0.17</v>
      </c>
      <c r="V335" s="21" t="n">
        <v>0.49</v>
      </c>
      <c r="W335" s="21" t="n">
        <v>0.23</v>
      </c>
      <c r="X335" s="21" t="n">
        <v>0.5</v>
      </c>
      <c r="Y335" s="21" t="n">
        <v>0.14</v>
      </c>
      <c r="Z335" s="22" t="n">
        <v>10259</v>
      </c>
      <c r="AA335" s="18" t="n">
        <v>1662</v>
      </c>
    </row>
    <row r="336">
      <c r="C336" s="18" t="inlineStr">
        <is>
          <t>品牌</t>
        </is>
      </c>
      <c r="D336" s="7" t="inlineStr">
        <is>
          <t>建议家居家装</t>
        </is>
      </c>
      <c r="E336" s="18" t="inlineStr">
        <is>
          <t>🔫暴走拉面</t>
        </is>
      </c>
      <c r="F336" s="7" t="inlineStr">
        <is>
          <t>https://pgy.xiaohongshu.com/solar/pre-trade/blogger-detail/5d2dfae1000000001601d10d?track_id=kolSimilar_0b85449c395d45ac83a12330ca553281&amp;source=Advertiser_Kol</t>
        </is>
      </c>
      <c r="G336" s="19" t="inlineStr">
        <is>
          <t>https://www.xiaohongshu.com/user/profile/5d2dfae1000000001601d10d</t>
        </is>
      </c>
      <c r="H336" s="18" t="inlineStr">
        <is>
          <t>HomeGallery_</t>
        </is>
      </c>
      <c r="I336" s="18" t="inlineStr">
        <is>
          <t>家居家装</t>
        </is>
      </c>
      <c r="J336" s="18" t="n"/>
      <c r="K336" s="18" t="n"/>
      <c r="L336" s="18" t="inlineStr">
        <is>
          <t>肩部</t>
        </is>
      </c>
      <c r="M336" s="18" t="n">
        <v>34.4</v>
      </c>
      <c r="N336" s="18" t="n">
        <v>258.2</v>
      </c>
      <c r="O336" s="18" t="n">
        <v>49000</v>
      </c>
      <c r="P336" s="18">
        <f>O336*1.1</f>
        <v/>
      </c>
      <c r="Q336" s="20">
        <f>P336/Z336</f>
        <v/>
      </c>
      <c r="R336" s="20">
        <f>P336/AA336</f>
        <v/>
      </c>
      <c r="S336" s="18" t="inlineStr">
        <is>
          <t>视频</t>
        </is>
      </c>
      <c r="T336" s="21" t="n">
        <v>0.84</v>
      </c>
      <c r="U336" s="21" t="n">
        <v>0.17</v>
      </c>
      <c r="V336" s="21" t="n">
        <v>0.45</v>
      </c>
      <c r="W336" s="21" t="n">
        <v>0.25</v>
      </c>
      <c r="X336" s="21" t="n">
        <v>0.59</v>
      </c>
      <c r="Y336" s="21" t="n">
        <v>0.14</v>
      </c>
      <c r="Z336" s="18" t="n">
        <v>64000</v>
      </c>
      <c r="AA336" s="18" t="n">
        <v>11000</v>
      </c>
    </row>
    <row r="337">
      <c r="A337" s="43" t="inlineStr">
        <is>
          <t>以下为品牌3.23提报月亮</t>
        </is>
      </c>
      <c r="C337" s="18" t="n"/>
      <c r="E337" s="7" t="n"/>
      <c r="F337" s="7" t="n"/>
      <c r="G337" s="7" t="n"/>
      <c r="P337" s="18" t="n"/>
      <c r="Q337" s="20" t="n"/>
      <c r="R337" s="20" t="n"/>
      <c r="T337" s="18" t="n"/>
      <c r="U337" s="18" t="n"/>
      <c r="V337" s="18" t="n"/>
      <c r="W337" s="18" t="n"/>
      <c r="X337" s="18" t="n"/>
      <c r="Y337" s="18" t="n"/>
      <c r="Z337" s="18" t="n"/>
      <c r="AA337" s="18" t="n"/>
    </row>
    <row r="338" ht="15" customHeight="1" s="151">
      <c r="C338" s="18" t="inlineStr">
        <is>
          <t>品牌</t>
        </is>
      </c>
      <c r="D338" s="19" t="inlineStr">
        <is>
          <t>建议生活好物分享</t>
        </is>
      </c>
      <c r="E338" s="32" t="inlineStr">
        <is>
          <t>兔斯基一家🏠</t>
        </is>
      </c>
      <c r="F338" s="7" t="inlineStr">
        <is>
          <t>https://pgy.xiaohongshu.com/solar/pre-trade/blogger-detail/621997ed0000000002024973?track_id=kolMatch_edea3bb4b6fd4ad099d2877bdff991cf&amp;source=Advertiser_Kol</t>
        </is>
      </c>
      <c r="G338" s="7" t="inlineStr">
        <is>
          <t>https://www.xiaohongshu.com/explore/6981f863000000000b00a634?xsec_token=MB5AH61CH-QFKBlV0Wja-h1FqygD0a-Y-1zyDo8J-qCPY=&amp;xsec_source=pc_pgy</t>
        </is>
      </c>
      <c r="H338" s="7" t="inlineStr">
        <is>
          <t>xjyhome</t>
        </is>
      </c>
      <c r="I338" s="18" t="inlineStr">
        <is>
          <t>家居家装</t>
        </is>
      </c>
      <c r="L338" s="18" t="inlineStr">
        <is>
          <t>尾部</t>
        </is>
      </c>
      <c r="M338" s="7" t="n">
        <v>4.8</v>
      </c>
      <c r="N338" s="145" t="n">
        <v>45.5</v>
      </c>
      <c r="O338" s="146" t="n">
        <v>4500</v>
      </c>
      <c r="P338" s="18">
        <f>O338*1.1</f>
        <v/>
      </c>
      <c r="Q338" s="20">
        <f>P338/Z338</f>
        <v/>
      </c>
      <c r="R338" s="20">
        <f>P338/AA338</f>
        <v/>
      </c>
      <c r="S338" s="18" t="inlineStr">
        <is>
          <t>视频</t>
        </is>
      </c>
      <c r="T338" s="147" t="n">
        <v>0.724</v>
      </c>
      <c r="U338" s="148" t="n">
        <v>0.142</v>
      </c>
      <c r="V338" s="148" t="n">
        <v>0.223</v>
      </c>
      <c r="W338" s="148" t="n">
        <v>0.271</v>
      </c>
      <c r="X338" s="149" t="n">
        <v>0.2</v>
      </c>
      <c r="Y338" s="149" t="n">
        <v>0.26</v>
      </c>
      <c r="Z338" s="150" t="n">
        <v>35164</v>
      </c>
      <c r="AA338" s="0" t="n">
        <v>695</v>
      </c>
    </row>
    <row r="339" ht="24.75" customHeight="1" s="151">
      <c r="C339" s="18" t="inlineStr">
        <is>
          <t>品牌</t>
        </is>
      </c>
      <c r="D339" s="19" t="inlineStr">
        <is>
          <t>建议功能创意测评</t>
        </is>
      </c>
      <c r="E339" s="32" t="inlineStr">
        <is>
          <t>呼叫夏夏（软装中）</t>
        </is>
      </c>
      <c r="F339" s="7" t="inlineStr">
        <is>
          <t>https://pgy.xiaohongshu.com/solar/pre-trade/blogger-detail/6777d88500000000180145f1?track_id=kolMatch_8f8850001ca14de6b97f58a2f1ce423c&amp;source=Advertiser_Kol</t>
        </is>
      </c>
      <c r="G339" s="19" t="inlineStr">
        <is>
          <t>https://www.xiaohongshu.com/user/profile/6777d88500000000180145f1</t>
        </is>
      </c>
      <c r="I339" s="18" t="inlineStr">
        <is>
          <t>家居家装</t>
        </is>
      </c>
      <c r="M339" s="7" t="n">
        <v>15.2</v>
      </c>
      <c r="N339" s="7" t="n">
        <v>108.5</v>
      </c>
      <c r="P339" s="18">
        <f>O339*1.1</f>
        <v/>
      </c>
      <c r="Q339" s="20">
        <f>P339/Z339</f>
        <v/>
      </c>
      <c r="R339" s="20">
        <f>P339/AA339</f>
        <v/>
      </c>
    </row>
    <row r="340">
      <c r="C340" s="18" t="inlineStr">
        <is>
          <t>品牌</t>
        </is>
      </c>
      <c r="D340" s="19" t="inlineStr">
        <is>
          <t>建议功能创意测评</t>
        </is>
      </c>
      <c r="E340" s="5" t="inlineStr">
        <is>
          <t>Goods!</t>
        </is>
      </c>
      <c r="F340" s="7" t="inlineStr">
        <is>
          <t>https://pgy.xiaohongshu.com/solar/pre-trade/blogger-detail/65dcc83e000000001701b3f2?track_id=kolSimilar_0da02a891023492787a43ec08334918d&amp;source=Advertiser_Similar_Kol</t>
        </is>
      </c>
      <c r="G340" s="19" t="inlineStr">
        <is>
          <t>https://www.xiaohongshu.com/user/profile/65dcc83e000000001701b3f2</t>
        </is>
      </c>
      <c r="I340" s="18" t="inlineStr">
        <is>
          <t>家居家装</t>
        </is>
      </c>
      <c r="P340" s="18">
        <f>O340*1.1</f>
        <v/>
      </c>
      <c r="Q340" s="20">
        <f>P340/Z340</f>
        <v/>
      </c>
      <c r="R340" s="20">
        <f>P340/AA340</f>
        <v/>
      </c>
    </row>
    <row r="341">
      <c r="C341" s="18" t="inlineStr">
        <is>
          <t>品牌</t>
        </is>
      </c>
      <c r="D341" s="7" t="inlineStr">
        <is>
          <t>建议家居家装</t>
        </is>
      </c>
      <c r="E341" s="5" t="inlineStr">
        <is>
          <t>一杯可乐猫</t>
        </is>
      </c>
      <c r="F341" s="7" t="inlineStr">
        <is>
          <t>https://pgy.xiaohongshu.com/solar/pre-trade/blogger-detail/5a73ecf411be1061dd115524?track_id=kolSimilar_0da02a891023492787a43ec08334918d&amp;source=Advertiser_Similar_Kol</t>
        </is>
      </c>
      <c r="G341" s="19" t="inlineStr">
        <is>
          <t>https://www.xiaohongshu.com/user/profile/5a73ecf411be1061dd115524</t>
        </is>
      </c>
      <c r="I341" s="18" t="inlineStr">
        <is>
          <t>家居家装</t>
        </is>
      </c>
      <c r="P341" s="18">
        <f>O341*1.1</f>
        <v/>
      </c>
      <c r="Q341" s="20">
        <f>P341/Z341</f>
        <v/>
      </c>
      <c r="R341" s="20">
        <f>P341/AA341</f>
        <v/>
      </c>
    </row>
    <row r="342" ht="24.75" customHeight="1" s="151">
      <c r="C342" s="18" t="inlineStr">
        <is>
          <t>品牌</t>
        </is>
      </c>
      <c r="D342" s="19" t="inlineStr">
        <is>
          <t>建议功能创意测评</t>
        </is>
      </c>
      <c r="E342" s="5" t="inlineStr">
        <is>
          <t>刘大大的装修妙想</t>
        </is>
      </c>
      <c r="F342" s="7" t="inlineStr">
        <is>
          <t>https://pgy.xiaohongshu.com/solar/pre-trade/blogger-detail/63b00fc300000000260136c7?track_id=kolSimilar_37297718eba34e2fb25841b3aebf02cf&amp;source=Advertiser_Similar_Kol</t>
        </is>
      </c>
      <c r="G342" s="19" t="inlineStr">
        <is>
          <t>https://www.xiaohongshu.com/user/profile/63b00fc300000000260136c7</t>
        </is>
      </c>
      <c r="I342" s="18" t="inlineStr">
        <is>
          <t>家居家装</t>
        </is>
      </c>
      <c r="P342" s="18">
        <f>O342*1.1</f>
        <v/>
      </c>
      <c r="Q342" s="20">
        <f>P342/Z342</f>
        <v/>
      </c>
      <c r="R342" s="20">
        <f>P342/AA342</f>
        <v/>
      </c>
    </row>
    <row r="343" ht="24.75" customHeight="1" s="151">
      <c r="C343" s="18" t="inlineStr">
        <is>
          <t>品牌</t>
        </is>
      </c>
      <c r="D343" s="19" t="inlineStr">
        <is>
          <t>建议生活好物分享</t>
        </is>
      </c>
      <c r="E343" s="5" t="inlineStr">
        <is>
          <t>小乔团子🍡（软装中）</t>
        </is>
      </c>
      <c r="F343" s="7" t="inlineStr">
        <is>
          <t>https://pgy.xiaohongshu.com/solar/pre-trade/blogger-detail/643037cd000000001201248a?track_id=kolSimilar_37297718eba34e2fb25841b3aebf02cf&amp;source=Advertiser_Similar_Kol</t>
        </is>
      </c>
      <c r="G343" s="19" t="inlineStr">
        <is>
          <t>https://www.xiaohongshu.com/user/profile/643037cd000000001201248a</t>
        </is>
      </c>
      <c r="I343" s="18" t="inlineStr">
        <is>
          <t>家居家装</t>
        </is>
      </c>
      <c r="P343" s="18">
        <f>O343*1.1</f>
        <v/>
      </c>
      <c r="Q343" s="20">
        <f>P343/Z343</f>
        <v/>
      </c>
      <c r="R343" s="20">
        <f>P343/AA343</f>
        <v/>
      </c>
    </row>
    <row r="344">
      <c r="C344" s="18" t="inlineStr">
        <is>
          <t>品牌</t>
        </is>
      </c>
      <c r="D344" s="19" t="inlineStr">
        <is>
          <t>建议功能创意测评</t>
        </is>
      </c>
      <c r="E344" s="5" t="inlineStr">
        <is>
          <t>一贤SamChan</t>
        </is>
      </c>
      <c r="F344" s="7" t="inlineStr">
        <is>
          <t>https://pgy.xiaohongshu.com/solar/pre-trade/blogger-detail/64321d92000000000d0190e3?track_id=kolSimilar_6cfcc1edfb554f4f8df8852cbd7a16ec&amp;source=Advertiser_Similar_Kol</t>
        </is>
      </c>
      <c r="G344" s="19" t="inlineStr">
        <is>
          <t>https://www.xiaohongshu.com/user/profile/64321d92000000000d0190e3</t>
        </is>
      </c>
      <c r="I344" s="18" t="inlineStr">
        <is>
          <t>家居家装</t>
        </is>
      </c>
      <c r="P344" s="18">
        <f>O344*1.1</f>
        <v/>
      </c>
      <c r="Q344" s="20">
        <f>P344/Z344</f>
        <v/>
      </c>
      <c r="R344" s="20">
        <f>P344/AA344</f>
        <v/>
      </c>
    </row>
    <row r="345" ht="24.75" customHeight="1" s="151">
      <c r="C345" s="18" t="inlineStr">
        <is>
          <t>品牌</t>
        </is>
      </c>
      <c r="D345" s="7" t="inlineStr">
        <is>
          <t>建议手工diy</t>
        </is>
      </c>
      <c r="E345" s="32" t="inlineStr">
        <is>
          <t>阿幻的国风手作</t>
        </is>
      </c>
      <c r="F345" s="7" t="inlineStr">
        <is>
          <t>https://pgy.xiaohongshu.com/solar/pre-trade/blogger-detail/580f309a7fc5b809c027abe0?track_id=kolSimilar_85fc24a35b514ed8a55c762eca935da3&amp;source=Advertiser_Similar_Kol</t>
        </is>
      </c>
      <c r="G345" s="19" t="inlineStr">
        <is>
          <t>https://www.xiaohongshu.com/user/profile/580f309a7fc5b809c027abe0</t>
        </is>
      </c>
      <c r="I345" s="18" t="inlineStr">
        <is>
          <t>家居家装</t>
        </is>
      </c>
      <c r="P345" s="18">
        <f>O345*1.1</f>
        <v/>
      </c>
      <c r="Q345" s="20">
        <f>P345/Z345</f>
        <v/>
      </c>
      <c r="R345" s="20">
        <f>P345/AA345</f>
        <v/>
      </c>
    </row>
    <row r="346" ht="24.75" customHeight="1" s="151">
      <c r="C346" s="18" t="inlineStr">
        <is>
          <t>品牌</t>
        </is>
      </c>
      <c r="D346" s="7" t="inlineStr">
        <is>
          <t>建议家居家装</t>
        </is>
      </c>
      <c r="E346" s="32" t="inlineStr">
        <is>
          <t>杰瑞有个漂亮家</t>
        </is>
      </c>
      <c r="F346" s="7" t="inlineStr">
        <is>
          <t>https://pgy.xiaohongshu.com/solar/pre-trade/blogger-detail/54b66e932e1d9379c959590b?track_id=kolSimilar_69efdbcbc8e74378a199e856df4b41fc&amp;source=Advertiser_Similar_Kol</t>
        </is>
      </c>
      <c r="G346" s="19" t="inlineStr">
        <is>
          <t>https://www.xiaohongshu.com/user/profile/54b66e932e1d9379c959590b</t>
        </is>
      </c>
      <c r="I346" s="18" t="inlineStr">
        <is>
          <t>家居家装</t>
        </is>
      </c>
      <c r="P346" s="18">
        <f>O346*1.1</f>
        <v/>
      </c>
      <c r="Q346" s="20">
        <f>P346/Z346</f>
        <v/>
      </c>
      <c r="R346" s="20">
        <f>P346/AA346</f>
        <v/>
      </c>
    </row>
    <row r="347">
      <c r="C347" s="18" t="inlineStr">
        <is>
          <t>品牌</t>
        </is>
      </c>
      <c r="D347" s="19" t="inlineStr">
        <is>
          <t>建议功能创意测评</t>
        </is>
      </c>
      <c r="E347" s="32" t="inlineStr">
        <is>
          <t>皮礼是糖</t>
        </is>
      </c>
      <c r="F347" s="7" t="inlineStr">
        <is>
          <t>https://pgy.xiaohongshu.com/solar/pre-trade/blogger-detail/580068ec6a6a69271c9037f4?track_id=kolMatch_ca517d14f29849daa4ce6e4ec363f7fc&amp;source=Advertiser_Kol</t>
        </is>
      </c>
      <c r="G347" s="19" t="inlineStr">
        <is>
          <t>https://www.xiaohongshu.com/user/profile/580068ec6a6a69271c9037f4</t>
        </is>
      </c>
      <c r="I347" s="18" t="inlineStr">
        <is>
          <t>家居家装</t>
        </is>
      </c>
      <c r="P347" s="18">
        <f>O347*1.1</f>
        <v/>
      </c>
      <c r="Q347" s="20">
        <f>P347/Z347</f>
        <v/>
      </c>
      <c r="R347" s="20">
        <f>P347/AA347</f>
        <v/>
      </c>
    </row>
    <row r="348">
      <c r="C348" s="18" t="inlineStr">
        <is>
          <t>品牌</t>
        </is>
      </c>
      <c r="D348" s="7" t="inlineStr">
        <is>
          <t>建议家居家装</t>
        </is>
      </c>
      <c r="E348" s="32" t="inlineStr">
        <is>
          <t>咪酱</t>
        </is>
      </c>
      <c r="F348" s="7" t="inlineStr">
        <is>
          <t>https://pgy.xiaohongshu.com/solar/pre-trade/blogger-detail/54efdf3bb4c4d663474f0beb?track_id=kolMatch_ca517d14f29849daa4ce6e4ec363f7fc&amp;source=Advertiser_Kol</t>
        </is>
      </c>
      <c r="G348" s="19" t="inlineStr">
        <is>
          <t>https://www.xiaohongshu.com/user/profile/54efdf3bb4c4d663474f0beb</t>
        </is>
      </c>
      <c r="I348" s="18" t="inlineStr">
        <is>
          <t>家居家装</t>
        </is>
      </c>
      <c r="P348" s="18">
        <f>O348*1.1</f>
        <v/>
      </c>
      <c r="Q348" s="20">
        <f>P348/Z348</f>
        <v/>
      </c>
      <c r="R348" s="20">
        <f>P348/AA348</f>
        <v/>
      </c>
    </row>
    <row r="349">
      <c r="C349" s="18" t="inlineStr">
        <is>
          <t>品牌</t>
        </is>
      </c>
      <c r="D349" s="7" t="inlineStr">
        <is>
          <t>建议家居家装</t>
        </is>
      </c>
      <c r="E349" s="32" t="inlineStr">
        <is>
          <t>曹千语Anmi</t>
        </is>
      </c>
      <c r="F349" s="7" t="inlineStr">
        <is>
          <t>https://pgy.xiaohongshu.com/solar/pre-trade/blogger-detail/5faa8ecd000000000101daa4?track_id=kolGeneralSearch_e9dee322837b46648099a31bafc0bad2&amp;source=Advertiser_Kol</t>
        </is>
      </c>
      <c r="G349" s="19" t="inlineStr">
        <is>
          <t>https://www.xiaohongshu.com/user/profile/5faa8ecd000000000101daa4</t>
        </is>
      </c>
      <c r="I349" s="18" t="inlineStr">
        <is>
          <t>家居家装</t>
        </is>
      </c>
      <c r="P349" s="18">
        <f>O349*1.1</f>
        <v/>
      </c>
      <c r="Q349" s="20">
        <f>P349/Z349</f>
        <v/>
      </c>
      <c r="R349" s="20">
        <f>P349/AA349</f>
        <v/>
      </c>
    </row>
    <row r="350">
      <c r="C350" s="18" t="inlineStr">
        <is>
          <t>品牌</t>
        </is>
      </c>
      <c r="D350" s="19" t="inlineStr">
        <is>
          <t>建议功能创意测评</t>
        </is>
      </c>
      <c r="E350" s="32" t="inlineStr">
        <is>
          <t>公主请回家</t>
        </is>
      </c>
      <c r="F350" s="7" t="inlineStr">
        <is>
          <t>https://pgy.xiaohongshu.com/solar/pre-trade/blogger-detail/659ba8d0000000002200793b?track_id=kolSearch_6ccc31e880644eafb66dd525a86d4738&amp;source=Advertiser_Kol</t>
        </is>
      </c>
      <c r="G350" s="19" t="inlineStr">
        <is>
          <t>https://www.xiaohongshu.com/user/profile/659ba8d0000000002200793b</t>
        </is>
      </c>
      <c r="I350" s="18" t="inlineStr">
        <is>
          <t>家居家装</t>
        </is>
      </c>
      <c r="P350" s="18">
        <f>O350*1.1</f>
        <v/>
      </c>
      <c r="Q350" s="20">
        <f>P350/Z350</f>
        <v/>
      </c>
      <c r="R350" s="20">
        <f>P350/AA350</f>
        <v/>
      </c>
    </row>
    <row r="351">
      <c r="C351" s="18" t="inlineStr">
        <is>
          <t>品牌</t>
        </is>
      </c>
      <c r="D351" s="19" t="inlineStr">
        <is>
          <t>建议生活好物分享</t>
        </is>
      </c>
      <c r="E351" s="32" t="inlineStr">
        <is>
          <t>木木3</t>
        </is>
      </c>
      <c r="F351" s="7" t="inlineStr">
        <is>
          <t>https://pgy.xiaohongshu.com/solar/pre-trade/blogger-detail/58524d6950c4b422e9cadd81?track_id=kolSimilar_4875b032bcbf4cce89d2b788564c9862&amp;source=Advertiser_Similar_Kol</t>
        </is>
      </c>
      <c r="G351" s="19" t="inlineStr">
        <is>
          <t>https://www.xiaohongshu.com/user/profile/58524d6950c4b422e9cadd81</t>
        </is>
      </c>
      <c r="I351" s="18" t="inlineStr">
        <is>
          <t>家居家装</t>
        </is>
      </c>
      <c r="P351" s="18">
        <f>O351*1.1</f>
        <v/>
      </c>
      <c r="Q351" s="20">
        <f>P351/Z351</f>
        <v/>
      </c>
      <c r="R351" s="20">
        <f>P351/AA351</f>
        <v/>
      </c>
    </row>
    <row r="352">
      <c r="C352" s="18" t="inlineStr">
        <is>
          <t>品牌</t>
        </is>
      </c>
      <c r="D352" s="19" t="inlineStr">
        <is>
          <t>建议功能创意测评</t>
        </is>
      </c>
      <c r="E352" s="32" t="inlineStr">
        <is>
          <t>玳玳de家</t>
        </is>
      </c>
      <c r="F352" s="7" t="inlineStr">
        <is>
          <t>https://pgy.xiaohongshu.com/solar/pre-trade/blogger-detail/5a7fb47911be101644d3a916?track_id=kolSearch_bd80cd4c8ef740f08c928652b8e9873d&amp;source=Advertiser_Kol</t>
        </is>
      </c>
      <c r="G352" s="19" t="inlineStr">
        <is>
          <t>https://www.xiaohongshu.com/user/profile/5a7fb47911be101644d3a916</t>
        </is>
      </c>
      <c r="I352" s="18" t="inlineStr">
        <is>
          <t>家居家装</t>
        </is>
      </c>
      <c r="P352" s="18">
        <f>O352*1.1</f>
        <v/>
      </c>
      <c r="Q352" s="20">
        <f>P352/Z352</f>
        <v/>
      </c>
      <c r="R352" s="20">
        <f>P352/AA352</f>
        <v/>
      </c>
    </row>
    <row r="353" ht="24.75" customHeight="1" s="151">
      <c r="C353" s="18" t="inlineStr">
        <is>
          <t>品牌</t>
        </is>
      </c>
      <c r="D353" s="19" t="inlineStr">
        <is>
          <t>建议生活好物分享</t>
        </is>
      </c>
      <c r="E353" s="32" t="inlineStr">
        <is>
          <t>郭大海的视频日记</t>
        </is>
      </c>
      <c r="F353" s="7" t="inlineStr">
        <is>
          <t>https://pgy.xiaohongshu.com/solar/pre-trade/blogger-detail/6543800c000000000400abbe?track_id=kolGeneralSearch_b6eaa83fe4264dffb6877db4923b5cd8&amp;source=Advertiser_Kol</t>
        </is>
      </c>
      <c r="G353" s="19" t="inlineStr">
        <is>
          <t>https://www.xiaohongshu.com/user/profile/6543800c000000000400abbe</t>
        </is>
      </c>
      <c r="I353" s="18" t="inlineStr">
        <is>
          <t>家居家装</t>
        </is>
      </c>
      <c r="P353" s="18">
        <f>O353*1.1</f>
        <v/>
      </c>
      <c r="Q353" s="20">
        <f>P353/Z353</f>
        <v/>
      </c>
      <c r="R353" s="20">
        <f>P353/AA353</f>
        <v/>
      </c>
    </row>
    <row r="354">
      <c r="C354" s="18" t="inlineStr">
        <is>
          <t>品牌</t>
        </is>
      </c>
      <c r="D354" s="7" t="inlineStr">
        <is>
          <t>建议家居家装</t>
        </is>
      </c>
      <c r="E354" s="32" t="inlineStr">
        <is>
          <t>栗子in上海</t>
        </is>
      </c>
      <c r="F354" s="7" t="inlineStr">
        <is>
          <t>https://pgy.xiaohongshu.com/solar/pre-trade/blogger-detail/66e171b9000000001d033e9b?track_id=kolSimilar_2ce8d8ec14db4bf7b1a567b5b9aefe5f&amp;source=Advertiser_Similar_Kol</t>
        </is>
      </c>
      <c r="G354" s="19" t="inlineStr">
        <is>
          <t>https://www.xiaohongshu.com/user/profile/66e171b9000000001d033e9b</t>
        </is>
      </c>
      <c r="I354" s="18" t="inlineStr">
        <is>
          <t>家居家装</t>
        </is>
      </c>
      <c r="P354" s="18">
        <f>O354*1.1</f>
        <v/>
      </c>
      <c r="Q354" s="20">
        <f>P354/Z354</f>
        <v/>
      </c>
      <c r="R354" s="20">
        <f>P354/AA354</f>
        <v/>
      </c>
    </row>
    <row r="355">
      <c r="C355" s="18" t="inlineStr">
        <is>
          <t>品牌</t>
        </is>
      </c>
      <c r="D355" s="7" t="inlineStr">
        <is>
          <t>建议家居家装</t>
        </is>
      </c>
      <c r="E355" s="32" t="inlineStr">
        <is>
          <t>猪妮生活记</t>
        </is>
      </c>
      <c r="F355" s="7" t="inlineStr">
        <is>
          <t>https://pgy.xiaohongshu.com/solar/pre-trade/blogger-detail/5db46d1a0000000001006fe5?track_id=kolSimilar_2ce8d8ec14db4bf7b1a567b5b9aefe5f&amp;source=Advertiser_Similar_Kol</t>
        </is>
      </c>
      <c r="G355" s="7" t="inlineStr">
        <is>
          <t>https://www.xiaohongshu.com/user/profile/5db46d1a0000000001006fe5</t>
        </is>
      </c>
      <c r="I355" s="18" t="inlineStr">
        <is>
          <t>家居家装</t>
        </is>
      </c>
      <c r="P355" s="18">
        <f>O355*1.1</f>
        <v/>
      </c>
      <c r="Q355" s="20">
        <f>P355/Z355</f>
        <v/>
      </c>
      <c r="R355" s="20">
        <f>P355/AA355</f>
        <v/>
      </c>
    </row>
    <row r="356">
      <c r="C356" s="18" t="inlineStr">
        <is>
          <t>品牌</t>
        </is>
      </c>
      <c r="D356" s="7" t="inlineStr">
        <is>
          <t>建议家居家装</t>
        </is>
      </c>
      <c r="E356" s="32" t="inlineStr">
        <is>
          <t>吕奶爸</t>
        </is>
      </c>
      <c r="F356" s="7" t="inlineStr">
        <is>
          <t>https://pgy.xiaohongshu.com/solar/pre-trade/blogger-detail/5bf1833c0bdb020001e402e5?track_id=kolSimilar_2ce8d8ec14db4bf7b1a567b5b9aefe5f&amp;source=Advertiser_Similar_Kol</t>
        </is>
      </c>
      <c r="G356" s="19" t="inlineStr">
        <is>
          <t>https://www.xiaohongshu.com/user/profile/5bf1833c0bdb020001e402e5</t>
        </is>
      </c>
      <c r="I356" s="18" t="inlineStr">
        <is>
          <t>家居家装</t>
        </is>
      </c>
      <c r="P356" s="18">
        <f>O356*1.1</f>
        <v/>
      </c>
      <c r="Q356" s="20">
        <f>P356/Z356</f>
        <v/>
      </c>
      <c r="R356" s="20">
        <f>P356/AA356</f>
        <v/>
      </c>
    </row>
    <row r="357">
      <c r="C357" s="18" t="inlineStr">
        <is>
          <t>品牌</t>
        </is>
      </c>
      <c r="D357" s="19" t="inlineStr">
        <is>
          <t>建议生活好物分享</t>
        </is>
      </c>
      <c r="E357" s="32" t="inlineStr">
        <is>
          <t>火山要爆发</t>
        </is>
      </c>
      <c r="F357" s="7" t="inlineStr">
        <is>
          <t>https://pgy.xiaohongshu.com/solar/pre-trade/blogger-detail/6357d3aa000000001802d3bd?track_id=kolSimilar_2ce8d8ec14db4bf7b1a567b5b9aefe5f&amp;source=Advertiser_Similar_Kol</t>
        </is>
      </c>
      <c r="G357" s="19" t="inlineStr">
        <is>
          <t>https://www.xiaohongshu.com/user/profile/6357d3aa000000001802d3bd</t>
        </is>
      </c>
      <c r="I357" s="18" t="inlineStr">
        <is>
          <t>家居家装</t>
        </is>
      </c>
      <c r="P357" s="18">
        <f>O357*1.1</f>
        <v/>
      </c>
      <c r="Q357" s="20">
        <f>P357/Z357</f>
        <v/>
      </c>
      <c r="R357" s="20">
        <f>P357/AA357</f>
        <v/>
      </c>
    </row>
    <row r="358" ht="19" customHeight="1" s="151">
      <c r="A358" s="43" t="inlineStr">
        <is>
          <t>以下为品牌3.24提报月亮</t>
        </is>
      </c>
      <c r="C358" s="18" t="n"/>
      <c r="E358" s="32" t="n"/>
      <c r="F358" s="7" t="n"/>
      <c r="G358" s="19" t="n"/>
      <c r="I358" s="18" t="inlineStr">
        <is>
          <t>家居家装</t>
        </is>
      </c>
      <c r="P358" s="18">
        <f>O358*1.1</f>
        <v/>
      </c>
      <c r="Q358" s="20">
        <f>P358/Z358</f>
        <v/>
      </c>
      <c r="R358" s="20">
        <f>P358/AA358</f>
        <v/>
      </c>
    </row>
    <row r="359">
      <c r="C359" s="18" t="inlineStr">
        <is>
          <t>品牌</t>
        </is>
      </c>
      <c r="D359" s="7" t="inlineStr">
        <is>
          <t>建议手工diy</t>
        </is>
      </c>
      <c r="E359" s="32" t="inlineStr">
        <is>
          <t>车厘米</t>
        </is>
      </c>
      <c r="F359" s="7" t="inlineStr">
        <is>
          <t>https://pgy.xiaohongshu.com/solar/pre-trade/blogger-detail/5a7eeceb4eacab4bc10da15a?track_id=kolSimilar_7b08f94ba6c84459a1b60151ee612c1c&amp;source=Advertiser_Similar_Kol</t>
        </is>
      </c>
      <c r="G359" s="19" t="inlineStr">
        <is>
          <t>https://www.xiaohongshu.com/user/profile/5a7eeceb4eacab4bc10da15a</t>
        </is>
      </c>
      <c r="I359" s="18" t="inlineStr">
        <is>
          <t>家居家装</t>
        </is>
      </c>
      <c r="P359" s="18">
        <f>O359*1.1</f>
        <v/>
      </c>
      <c r="Q359" s="20">
        <f>P359/Z359</f>
        <v/>
      </c>
      <c r="R359" s="20">
        <f>P359/AA359</f>
        <v/>
      </c>
    </row>
    <row r="360">
      <c r="C360" s="18" t="inlineStr">
        <is>
          <t>品牌</t>
        </is>
      </c>
      <c r="D360" s="19" t="inlineStr">
        <is>
          <t>建议生活好物分享</t>
        </is>
      </c>
      <c r="E360" s="32" t="inlineStr">
        <is>
          <t>马小若</t>
        </is>
      </c>
      <c r="F360" s="7" t="inlineStr">
        <is>
          <t>https://pgy.xiaohongshu.com/solar/pre-trade/blogger-detail/54923104b4c4d6721ae5bb5c?track_id=kolMatch_0c08c7e3e3c04fe183a5ab3e115810c4&amp;source=Advertiser_Kol</t>
        </is>
      </c>
      <c r="G360" s="19" t="inlineStr">
        <is>
          <t>https://www.xiaohongshu.com/user/profile/54923104b4c4d6721ae5bb5c</t>
        </is>
      </c>
      <c r="I360" s="18" t="inlineStr">
        <is>
          <t>家居家装</t>
        </is>
      </c>
      <c r="P360" s="18">
        <f>O360*1.1</f>
        <v/>
      </c>
      <c r="Q360" s="20">
        <f>P360/Z360</f>
        <v/>
      </c>
      <c r="R360" s="20">
        <f>P360/AA360</f>
        <v/>
      </c>
    </row>
    <row r="361">
      <c r="C361" s="18" t="inlineStr">
        <is>
          <t>品牌</t>
        </is>
      </c>
      <c r="D361" s="19" t="inlineStr">
        <is>
          <t>建议生活好物分享</t>
        </is>
      </c>
      <c r="E361" s="32" t="inlineStr">
        <is>
          <t>大姚儿</t>
        </is>
      </c>
      <c r="F361" s="7" t="inlineStr">
        <is>
          <t>https://pgy.xiaohongshu.com/solar/pre-trade/blogger-detail/5e5ec9af000000000100201a?track_id=kolMatch_0c08c7e3e3c04fe183a5ab3e115810c4&amp;source=Advertiser_Kol</t>
        </is>
      </c>
      <c r="G361" s="19" t="inlineStr">
        <is>
          <t>https://www.xiaohongshu.com/user/profile/5e5ec9af000000000100201a</t>
        </is>
      </c>
      <c r="I361" s="18" t="inlineStr">
        <is>
          <t>家居家装</t>
        </is>
      </c>
      <c r="P361" s="18">
        <f>O361*1.1</f>
        <v/>
      </c>
      <c r="Q361" s="20">
        <f>P361/Z361</f>
        <v/>
      </c>
      <c r="R361" s="20">
        <f>P361/AA361</f>
        <v/>
      </c>
    </row>
    <row r="362">
      <c r="C362" s="18" t="inlineStr">
        <is>
          <t>品牌</t>
        </is>
      </c>
      <c r="D362" s="7" t="inlineStr">
        <is>
          <t>建议家居美学</t>
        </is>
      </c>
      <c r="E362" s="32" t="inlineStr">
        <is>
          <t>可乐理想家</t>
        </is>
      </c>
      <c r="F362" s="7" t="inlineStr">
        <is>
          <t>https://pgy.xiaohongshu.com/solar/pre-trade/blogger-detail/58cdebca5e87e734faea601a?track_id=kolSimilar_ebf36afe2d864c1fb1fed00eb374202b&amp;source=Advertiser_Similar_Kol</t>
        </is>
      </c>
      <c r="G362" s="19" t="inlineStr">
        <is>
          <t>https://www.xiaohongshu.com/user/profile/58cdebca5e87e734faea601a</t>
        </is>
      </c>
      <c r="I362" s="18" t="inlineStr">
        <is>
          <t>家居家装</t>
        </is>
      </c>
      <c r="P362" s="18">
        <f>O362*1.1</f>
        <v/>
      </c>
      <c r="Q362" s="20">
        <f>P362/Z362</f>
        <v/>
      </c>
      <c r="R362" s="20">
        <f>P362/AA362</f>
        <v/>
      </c>
    </row>
    <row r="363" ht="19" customHeight="1" s="151">
      <c r="C363" s="18" t="inlineStr">
        <is>
          <t>品牌</t>
        </is>
      </c>
      <c r="E363" s="32" t="inlineStr">
        <is>
          <t>欢哥house</t>
        </is>
      </c>
      <c r="F363" s="7" t="n"/>
      <c r="G363" s="19" t="n"/>
    </row>
    <row r="364" ht="19" customHeight="1" s="151">
      <c r="C364" s="18" t="n"/>
      <c r="E364" s="32" t="n"/>
      <c r="F364" s="7" t="n"/>
      <c r="G364" s="19" t="n"/>
    </row>
    <row r="365" ht="19" customHeight="1" s="151">
      <c r="C365" s="18" t="n"/>
      <c r="E365" s="32" t="n"/>
      <c r="F365" s="7" t="n"/>
      <c r="G365" s="19" t="n"/>
    </row>
    <row r="366" ht="19" customHeight="1" s="151">
      <c r="C366" s="18" t="n"/>
      <c r="E366" s="32" t="n"/>
      <c r="F366" s="7" t="n"/>
      <c r="G366" s="19" t="n"/>
    </row>
    <row r="367" ht="19" customHeight="1" s="151">
      <c r="C367" s="18" t="n"/>
      <c r="E367" s="32" t="n"/>
      <c r="F367" s="7" t="n"/>
      <c r="G367" s="19" t="n"/>
    </row>
    <row r="368" ht="19" customHeight="1" s="151">
      <c r="C368" s="18" t="n"/>
      <c r="E368" s="32" t="n"/>
      <c r="F368" s="7" t="n"/>
      <c r="G368" s="19" t="n"/>
    </row>
    <row r="369" ht="19" customHeight="1" s="151">
      <c r="C369" s="18" t="n"/>
      <c r="E369" s="32" t="n"/>
      <c r="F369" s="7" t="n"/>
      <c r="G369" s="19" t="n"/>
    </row>
    <row r="370" ht="19" customHeight="1" s="151">
      <c r="C370" s="18" t="n"/>
      <c r="E370" s="32" t="n"/>
      <c r="F370" s="7" t="n"/>
      <c r="G370" s="19" t="n"/>
    </row>
    <row r="371" ht="19" customHeight="1" s="151">
      <c r="C371" s="18" t="n"/>
      <c r="E371" s="32" t="n"/>
      <c r="F371" s="7" t="n"/>
      <c r="G371" s="19" t="n"/>
    </row>
    <row r="372" ht="19" customHeight="1" s="151">
      <c r="C372" s="18" t="n"/>
      <c r="E372" s="32" t="n"/>
      <c r="F372" s="7" t="n"/>
      <c r="G372" s="19" t="n"/>
    </row>
    <row r="373" ht="19" customHeight="1" s="151">
      <c r="C373" s="18" t="n"/>
      <c r="E373" s="32" t="n"/>
      <c r="F373" s="7" t="n"/>
      <c r="G373" s="19" t="n"/>
    </row>
    <row r="374" ht="19" customHeight="1" s="151">
      <c r="C374" s="18" t="n"/>
      <c r="E374" s="32" t="n"/>
      <c r="F374" s="7" t="n"/>
      <c r="G374" s="19" t="n"/>
    </row>
    <row r="375" ht="19" customHeight="1" s="151">
      <c r="C375" s="18" t="n"/>
      <c r="E375" s="32" t="n"/>
      <c r="F375" s="7" t="n"/>
      <c r="G375" s="19" t="n"/>
    </row>
    <row r="376" ht="19" customHeight="1" s="151">
      <c r="C376" s="18" t="n"/>
      <c r="E376" s="32" t="n"/>
      <c r="F376" s="7" t="n"/>
      <c r="G376" s="19" t="n"/>
    </row>
    <row r="377" ht="19" customHeight="1" s="151">
      <c r="C377" s="18" t="n"/>
      <c r="E377" s="32" t="n"/>
      <c r="F377" s="7" t="n"/>
      <c r="G377" s="19" t="n"/>
    </row>
  </sheetData>
  <conditionalFormatting sqref="E1:E1048576">
    <cfRule type="duplicateValues" priority="2" dxfId="0" stopIfTrue="1"/>
  </conditionalFormatting>
  <dataValidations count="1">
    <dataValidation sqref="C2:C30 C32:C51 C53:C97 C99:C121 C123:C202 C204:C255 C257:C276 C278:C300 C302:C377" showDropDown="0" showInputMessage="0" showErrorMessage="1" allowBlank="1" type="list">
      <formula1>"电商,品牌"</formula1>
    </dataValidation>
  </dataValidations>
  <hyperlinks>
    <hyperlink xmlns:r="http://schemas.openxmlformats.org/officeDocument/2006/relationships" ref="F2" display="https://pgy.xiaohongshu.com/solar/pre-trade/blogger-detail/580f309a7fc5b809c027abe0?track_id=kolSimilar_85fc24a35b514ed8a55c762eca935da3&amp;source=Advertiser_Similar_Kol" r:id="rId1"/>
    <hyperlink xmlns:r="http://schemas.openxmlformats.org/officeDocument/2006/relationships" ref="G2" display="https://www.xiaohongshu.com/user/profile/580f309a7fc5b809c027abe0" r:id="rId2"/>
    <hyperlink xmlns:r="http://schemas.openxmlformats.org/officeDocument/2006/relationships" ref="F3" display="https://pgy.xiaohongshu.com/solar/pre-trade/blogger-detail/5e0ae42d0000000001005016?track_id=kolSimilar_1c5d7b284ffc4b678ae5cd28c9c0ccb2&amp;source=Advertiser_Similar_Kol" r:id="rId3"/>
    <hyperlink xmlns:r="http://schemas.openxmlformats.org/officeDocument/2006/relationships" ref="G3" display="https://www.xiaohongshu.com/user/profile/5e0ae42d0000000001005016" r:id="rId4"/>
    <hyperlink xmlns:r="http://schemas.openxmlformats.org/officeDocument/2006/relationships" ref="F4" display="https://pgy.xiaohongshu.com/solar/pre-trade/blogger-detail/55f1765e3397db3c30aef076?track_id=kolMatch_0c77e66e02af458cb9b1b9f0e62f8c57&amp;source=Advertiser_Kol" r:id="rId5"/>
    <hyperlink xmlns:r="http://schemas.openxmlformats.org/officeDocument/2006/relationships" ref="G4" display="https://www.xiaohongshu.com/user/profile/55f1765e3397db3c30aef076" r:id="rId6"/>
    <hyperlink xmlns:r="http://schemas.openxmlformats.org/officeDocument/2006/relationships" ref="F5" display="https://pgy.xiaohongshu.com/solar/pre-trade/blogger-detail/66fcc919000000001d0213f0?track_id=kolSimilar_c6dd74cee9194d488d4c33777e8572c0&amp;source=Advertiser_Similar_Kol" r:id="rId7"/>
    <hyperlink xmlns:r="http://schemas.openxmlformats.org/officeDocument/2006/relationships" ref="G5" display="https://www.xiaohongshu.com/user/profile/66fcc919000000001d0213f0" r:id="rId8"/>
    <hyperlink xmlns:r="http://schemas.openxmlformats.org/officeDocument/2006/relationships" ref="F6" display="https://pgy.xiaohongshu.com/solar/pre-trade/blogger-detail/66a89e08000000001d030a3d?track_id=kolMatch_d1745de758dc422794010fc583d98bed&amp;source=Advertiser_Kol" r:id="rId9"/>
    <hyperlink xmlns:r="http://schemas.openxmlformats.org/officeDocument/2006/relationships" ref="G6" display="https://www.xiaohongshu.com/user/profile/66a89e08000000001d030a3d" r:id="rId10"/>
    <hyperlink xmlns:r="http://schemas.openxmlformats.org/officeDocument/2006/relationships" ref="F7" display="https://pgy.xiaohongshu.com/solar/pre-trade/blogger-detail/63622603000000001f0196e4?track_id=kolSimilar_2f4063ec3358455399b8afe229b09290&amp;source=Advertiser_Similar_Kol" r:id="rId11"/>
    <hyperlink xmlns:r="http://schemas.openxmlformats.org/officeDocument/2006/relationships" ref="G7" display="https://www.xiaohongshu.com/user/profile/63622603000000001f0196e4" r:id="rId12"/>
    <hyperlink xmlns:r="http://schemas.openxmlformats.org/officeDocument/2006/relationships" ref="F8" display="https://pgy.xiaohongshu.com/solar/pre-trade/blogger-detail/6766be9800000000180176e2?track_id=kolSimilar_2f4063ec3358455399b8afe229b09290&amp;source=Advertiser_Similar_Kol" r:id="rId13"/>
    <hyperlink xmlns:r="http://schemas.openxmlformats.org/officeDocument/2006/relationships" ref="G8" display="https://www.xiaohongshu.com/user/profile/6766be9800000000180176e2" r:id="rId14"/>
    <hyperlink xmlns:r="http://schemas.openxmlformats.org/officeDocument/2006/relationships" ref="F9" display="https://pgy.xiaohongshu.com/solar/pre-trade/blogger-detail/5bb2c3e145c6e800012207fc?track_id=kolSimilar_2f4063ec3358455399b8afe229b09290&amp;source=Advertiser_Similar_Kol" r:id="rId15"/>
    <hyperlink xmlns:r="http://schemas.openxmlformats.org/officeDocument/2006/relationships" ref="G9" display="https://www.xiaohongshu.com/user/profile/5bb2c3e145c6e800012207fc" r:id="rId16"/>
    <hyperlink xmlns:r="http://schemas.openxmlformats.org/officeDocument/2006/relationships" ref="F10" display="https://pgy.xiaohongshu.com/solar/pre-trade/blogger-detail/5955125350c4b427fe2feec5?track_id=kolSimilar_2f4063ec3358455399b8afe229b09290&amp;source=Advertiser_Similar_Kol" r:id="rId17"/>
    <hyperlink xmlns:r="http://schemas.openxmlformats.org/officeDocument/2006/relationships" ref="G10" display="https://www.xiaohongshu.com/user/profile/5955125350c4b427fe2feec5" r:id="rId18"/>
    <hyperlink xmlns:r="http://schemas.openxmlformats.org/officeDocument/2006/relationships" ref="F11" display="https://pgy.xiaohongshu.com/solar/pre-trade/blogger-detail/590fc5895e87e70b4b5467c9?track_id=kolSimilar_23447bfe59154e6a96a9181935e076a8&amp;source=Advertiser_Similar_Kol" r:id="rId19"/>
    <hyperlink xmlns:r="http://schemas.openxmlformats.org/officeDocument/2006/relationships" ref="G11" display="https://www.xiaohongshu.com/user/profile/590fc5895e87e70b4b5467c9" r:id="rId20"/>
    <hyperlink xmlns:r="http://schemas.openxmlformats.org/officeDocument/2006/relationships" ref="F12" display="https://pgy.xiaohongshu.com/solar/pre-trade/blogger-detail/5b02a9274eacab6d26071a6a?track_id=kolSimilar_abaa8bc194a548898209f33f5f775763&amp;source=Advertiser_Similar_Kol" r:id="rId21"/>
    <hyperlink xmlns:r="http://schemas.openxmlformats.org/officeDocument/2006/relationships" ref="G12" display="https://www.xiaohongshu.com/user/profile/5b02a9274eacab6d26071a6a" r:id="rId22"/>
    <hyperlink xmlns:r="http://schemas.openxmlformats.org/officeDocument/2006/relationships" ref="F13" display="https://pgy.xiaohongshu.com/solar/pre-trade/blogger-detail/5638da6ab7ba223d99d73c41?track_id=kolSimilar_cfc4bac1e4254e5b8dbc08e19c54b331&amp;source=Advertiser_Similar_Kol" r:id="rId23"/>
    <hyperlink xmlns:r="http://schemas.openxmlformats.org/officeDocument/2006/relationships" ref="G13" display="https://www.xiaohongshu.com/user/profile/5638da6ab7ba223d99d73c41" r:id="rId24"/>
    <hyperlink xmlns:r="http://schemas.openxmlformats.org/officeDocument/2006/relationships" ref="F14" display="https://pgy.xiaohongshu.com/solar/pre-trade/blogger-detail/6042f930000000000100253e?track_id=kolSimilar_a93b327146334007b66fa5d0ee6b6b59&amp;source=Advertiser_Similar_Kol" r:id="rId25"/>
    <hyperlink xmlns:r="http://schemas.openxmlformats.org/officeDocument/2006/relationships" ref="G14" display="https://www.xiaohongshu.com/user/profile/6042f930000000000100253e" r:id="rId26"/>
    <hyperlink xmlns:r="http://schemas.openxmlformats.org/officeDocument/2006/relationships" ref="F15" display="https://pgy.xiaohongshu.com/solar/pre-trade/blogger-detail/5c6ea1360000000012029d1b?track_id=kolSimilar_a93b327146334007b66fa5d0ee6b6b59&amp;source=Advertiser_Similar_Kol" r:id="rId27"/>
    <hyperlink xmlns:r="http://schemas.openxmlformats.org/officeDocument/2006/relationships" ref="G15" display="https://www.xiaohongshu.com/user/profile/5c6ea1360000000012029d1b" r:id="rId28"/>
    <hyperlink xmlns:r="http://schemas.openxmlformats.org/officeDocument/2006/relationships" ref="F16" display="https://pgy.xiaohongshu.com/solar/pre-trade/blogger-detail/61d307360000000021026d08?track_id=kolSimilar_dafab09281384d63b481e1698c1cab4c&amp;source=Advertiser_Similar_Kol" r:id="rId29"/>
    <hyperlink xmlns:r="http://schemas.openxmlformats.org/officeDocument/2006/relationships" ref="G16" display="https://www.xiaohongshu.com/user/profile/61d307360000000021026d08" r:id="rId30"/>
    <hyperlink xmlns:r="http://schemas.openxmlformats.org/officeDocument/2006/relationships" ref="F17" display="https://pgy.xiaohongshu.com/solar/pre-trade/blogger-detail/588f4bfc5e87e73aeb7b0d09?track_id=kolSimilar_8390016c04644d8295e9e94432f6a358&amp;source=Advertiser_Similar_Kol" r:id="rId31"/>
    <hyperlink xmlns:r="http://schemas.openxmlformats.org/officeDocument/2006/relationships" ref="G17" display="https://www.xiaohongshu.com/user/profile/588f4bfc5e87e73aeb7b0d09" r:id="rId32"/>
    <hyperlink xmlns:r="http://schemas.openxmlformats.org/officeDocument/2006/relationships" ref="F18" display="https://pgy.xiaohongshu.com/solar/pre-trade/blogger-detail/5b8b489cd081470001fc11d0?track_id=kolSimilar_70e34f12eba642109ba6977a96c6b2ca&amp;source=Advertiser_Similar_Kol" r:id="rId33"/>
    <hyperlink xmlns:r="http://schemas.openxmlformats.org/officeDocument/2006/relationships" ref="G18" display="https://www.xiaohongshu.com/user/profile/5b8b489cd081470001fc11d0" r:id="rId34"/>
    <hyperlink xmlns:r="http://schemas.openxmlformats.org/officeDocument/2006/relationships" ref="F19" display="https://pgy.xiaohongshu.com/solar/pre-trade/blogger-detail/614bbc820000000002026099?track_id=kolSimilar_23447bfe59154e6a96a9181935e076a8&amp;source=Advertiser_Similar_Kol" r:id="rId35"/>
    <hyperlink xmlns:r="http://schemas.openxmlformats.org/officeDocument/2006/relationships" ref="G19" display="https://www.xiaohongshu.com/user/profile/614bbc820000000002026099" r:id="rId36"/>
    <hyperlink xmlns:r="http://schemas.openxmlformats.org/officeDocument/2006/relationships" ref="F20" display="https://pgy.xiaohongshu.com/solar/pre-trade/blogger-detail/631818b70000000023026cdc?track_id=kolSimilar_23447bfe59154e6a96a9181935e076a8&amp;source=Advertiser_Similar_Kol" r:id="rId37"/>
    <hyperlink xmlns:r="http://schemas.openxmlformats.org/officeDocument/2006/relationships" ref="G20" display="https://www.xiaohongshu.com/user/profile/631818b70000000023026cdc" r:id="rId38"/>
    <hyperlink xmlns:r="http://schemas.openxmlformats.org/officeDocument/2006/relationships" ref="F21" display="https://pgy.xiaohongshu.com/solar/pre-trade/blogger-detail/5bc0c7523226900001d269a8?track_id=kolSearch_5246004b454345ffbe2bd10d8aeb9c77&amp;source=Advertiser_Kol" r:id="rId39"/>
    <hyperlink xmlns:r="http://schemas.openxmlformats.org/officeDocument/2006/relationships" ref="G21" display="https://www.xiaohongshu.com/user/profile/5bc0c7523226900001d269a8" r:id="rId40"/>
    <hyperlink xmlns:r="http://schemas.openxmlformats.org/officeDocument/2006/relationships" ref="F22" display="https://pgy.xiaohongshu.com/solar/pre-trade/blogger-detail/5b6d7c8145a75900018fd760?track_id=kolSimilar_b6456e2e65f74f8998e20cd70fb4888a&amp;source=Advertiser_Similar_Kol" r:id="rId41"/>
    <hyperlink xmlns:r="http://schemas.openxmlformats.org/officeDocument/2006/relationships" ref="G22" display="https://www.xiaohongshu.com/user/profile/5b6d7c8145a75900018fd760" r:id="rId42"/>
    <hyperlink xmlns:r="http://schemas.openxmlformats.org/officeDocument/2006/relationships" ref="F23" display="https://pgy.xiaohongshu.com/solar/pre-trade/blogger-detail/594b6abf82ec390c901bcf6a?track_id=kolSimilar_70e34f12eba642109ba6977a96c6b2ca&amp;source=Advertiser_Similar_Kol" r:id="rId43"/>
    <hyperlink xmlns:r="http://schemas.openxmlformats.org/officeDocument/2006/relationships" ref="G23" display="https://www.xiaohongshu.com/user/profile/594b6abf82ec390c901bcf6a" r:id="rId44"/>
    <hyperlink xmlns:r="http://schemas.openxmlformats.org/officeDocument/2006/relationships" ref="F24" display="https://pgy.xiaohongshu.com/solar/pre-trade/blogger-detail/58c36ec87fc5b82234545007?track_id=kolSimilar_abaa8bc194a548898209f33f5f775763&amp;source=Advertiser_Similar_Kol" r:id="rId45"/>
    <hyperlink xmlns:r="http://schemas.openxmlformats.org/officeDocument/2006/relationships" ref="G24" display="https://www.xiaohongshu.com/user/profile/58c36ec87fc5b82234545007" r:id="rId46"/>
    <hyperlink xmlns:r="http://schemas.openxmlformats.org/officeDocument/2006/relationships" ref="F25" display="https://pgy.xiaohongshu.com/solar/pre-trade/blogger-detail/5f43b27e0000000001003691?track_id=kolSimilar_4c3116f26a874caaa683b003afe19997&amp;source=Advertiser_Similar_Kol" r:id="rId47"/>
    <hyperlink xmlns:r="http://schemas.openxmlformats.org/officeDocument/2006/relationships" ref="G25" display="https://www.xiaohongshu.com/user/profile/5f43b27e0000000001003691" r:id="rId48"/>
    <hyperlink xmlns:r="http://schemas.openxmlformats.org/officeDocument/2006/relationships" ref="F26" display="https://pgy.xiaohongshu.com/solar/pre-trade/blogger-detail/58c287f55e87e76ec5baf8f3?track_id=kolSimilar_a2327ccb62f242f19f2974aba203afa0&amp;source=Advertiser_Similar_Kol" r:id="rId49"/>
    <hyperlink xmlns:r="http://schemas.openxmlformats.org/officeDocument/2006/relationships" ref="G26" display="https://www.xiaohongshu.com/user/profile/58c287f55e87e76ec5baf8f3" r:id="rId50"/>
    <hyperlink xmlns:r="http://schemas.openxmlformats.org/officeDocument/2006/relationships" ref="F27" display="https://pgy.xiaohongshu.com/solar/pre-trade/blogger-detail/64d2448f000000000e027acf?track_id=kolSimilar_23447bfe59154e6a96a9181935e076a8&amp;source=Advertiser_Similar_Kol" r:id="rId51"/>
    <hyperlink xmlns:r="http://schemas.openxmlformats.org/officeDocument/2006/relationships" ref="G27" display="https://www.xiaohongshu.com/user/profile/64d2448f000000000e027acf" r:id="rId52"/>
    <hyperlink xmlns:r="http://schemas.openxmlformats.org/officeDocument/2006/relationships" ref="F28" display="https://pgy.xiaohongshu.com/solar/pre-trade/blogger-detail/5571a88f4209957c6bdfc1b1?track_id=kolSimilar_f7c0622c32774331bb4f93bf8b337c57&amp;source=Advertiser_Similar_Kol" r:id="rId53"/>
    <hyperlink xmlns:r="http://schemas.openxmlformats.org/officeDocument/2006/relationships" ref="G28" display="https://www.xiaohongshu.com/user/profile/5571a88f4209957c6bdfc1b1" r:id="rId54"/>
    <hyperlink xmlns:r="http://schemas.openxmlformats.org/officeDocument/2006/relationships" ref="F29" display="https://pgy.xiaohongshu.com/solar/pre-trade/blogger-detail/5cb845130000000016026884?track_id=kolSimilar_4c3116f26a874caaa683b003afe19997&amp;source=Advertiser_Similar_Kol" r:id="rId55"/>
    <hyperlink xmlns:r="http://schemas.openxmlformats.org/officeDocument/2006/relationships" ref="G29" display="https://www.xiaohongshu.com/user/profile/5cb845130000000016026884" r:id="rId56"/>
    <hyperlink xmlns:r="http://schemas.openxmlformats.org/officeDocument/2006/relationships" ref="F30" display="https://pgy.xiaohongshu.com/solar/pre-trade/blogger-detail/5a04a88111be101a093266a2?track_id=kolSimilar_a93b327146334007b66fa5d0ee6b6b59&amp;source=Advertiser_Similar_Kol" r:id="rId57"/>
    <hyperlink xmlns:r="http://schemas.openxmlformats.org/officeDocument/2006/relationships" ref="G30" display="https://www.xiaohongshu.com/user/profile/5a04a88111be101a093266a2" r:id="rId58"/>
    <hyperlink xmlns:r="http://schemas.openxmlformats.org/officeDocument/2006/relationships" ref="F32" display="https://pgy.xiaohongshu.com/solar/pre-trade/blogger-detail/5a2cc1a011be1020886bc0a0?track_id=kolSimilar_9ceb2672c00e4c4b9ea53a31f1c945a9&amp;source=Advertiser_Similar_Kol" r:id="rId59"/>
    <hyperlink xmlns:r="http://schemas.openxmlformats.org/officeDocument/2006/relationships" ref="G32" display="https://www.xiaohongshu.com/user/profile/5a2cc1a011be1020886bc0a0" r:id="rId60"/>
    <hyperlink xmlns:r="http://schemas.openxmlformats.org/officeDocument/2006/relationships" ref="F33" display="https://pgy.xiaohongshu.com/solar/pre-trade/blogger-detail/5a9fb3d611be104c7fab4c68?track_id=kolSimilar_9ceb2672c00e4c4b9ea53a31f1c945a9&amp;source=Advertiser_Similar_Kol" r:id="rId61"/>
    <hyperlink xmlns:r="http://schemas.openxmlformats.org/officeDocument/2006/relationships" ref="G33" display="https://www.xiaohongshu.com/user/profile/5a9fb3d611be104c7fab4c68" r:id="rId62"/>
    <hyperlink xmlns:r="http://schemas.openxmlformats.org/officeDocument/2006/relationships" ref="F34" display="https://pgy.xiaohongshu.com/solar/pre-trade/blogger-detail/61a768ab0000000010009fbb?track_id=kolSimilar_9ceb2672c00e4c4b9ea53a31f1c945a9&amp;source=Advertiser_Similar_Kol" r:id="rId63"/>
    <hyperlink xmlns:r="http://schemas.openxmlformats.org/officeDocument/2006/relationships" ref="G34" display="https://www.xiaohongshu.com/user/profile/61a768ab0000000010009fbb" r:id="rId64"/>
    <hyperlink xmlns:r="http://schemas.openxmlformats.org/officeDocument/2006/relationships" ref="F35" display="https://pgy.xiaohongshu.com/solar/pre-trade/blogger-detail/593eb48250c4b47d2e0c3856?track_id=kolSimilar_6733628ae4434cde953b2a604ea8e8ca&amp;source=Advertiser_Similar_Kol" r:id="rId65"/>
    <hyperlink xmlns:r="http://schemas.openxmlformats.org/officeDocument/2006/relationships" ref="G35" display="https://www.xiaohongshu.com/user/profile/593eb48250c4b47d2e0c3856" r:id="rId66"/>
    <hyperlink xmlns:r="http://schemas.openxmlformats.org/officeDocument/2006/relationships" ref="F36" display="https://pgy.xiaohongshu.com/solar/pre-trade/blogger-detail/62c82ec40000000002003d1b?track_id=kolSimilar_5df06d567db94f91a14b7943904a00c8&amp;source=Advertiser_Similar_Kol" r:id="rId67"/>
    <hyperlink xmlns:r="http://schemas.openxmlformats.org/officeDocument/2006/relationships" ref="G36" display="https://www.xiaohongshu.com/user/profile/62c82ec40000000002003d1b" r:id="rId68"/>
    <hyperlink xmlns:r="http://schemas.openxmlformats.org/officeDocument/2006/relationships" ref="F37" display="https://pgy.xiaohongshu.com/solar/pre-trade/blogger-detail/62f7ab21000000001f017cde?track_id=kolSimilar_97e5c0938dfd461180454a0152e9f136&amp;source=Advertiser_Similar_Kol" r:id="rId69"/>
    <hyperlink xmlns:r="http://schemas.openxmlformats.org/officeDocument/2006/relationships" ref="G37" display="https://www.xiaohongshu.com/user/profile/62f7ab21000000001f017cde" r:id="rId70"/>
    <hyperlink xmlns:r="http://schemas.openxmlformats.org/officeDocument/2006/relationships" ref="F38" display="https://pgy.xiaohongshu.com/solar/pre-trade/blogger-detail/5a697e1111be10729ea3bd7d?track_id=kolSimilar_9d1e24782ccf4cc593cb6bc3ce2c1ebb&amp;source=Advertiser_Similar_Kol" r:id="rId71"/>
    <hyperlink xmlns:r="http://schemas.openxmlformats.org/officeDocument/2006/relationships" ref="G38" display="https://www.xiaohongshu.com/user/profile/5a697e1111be10729ea3bd7d" r:id="rId72"/>
    <hyperlink xmlns:r="http://schemas.openxmlformats.org/officeDocument/2006/relationships" ref="F39" display="https://pgy.xiaohongshu.com/solar/pre-trade/blogger-detail/59d9c8d56eea8874f78ba0d5?track_id=kolSimilar_9d1e24782ccf4cc593cb6bc3ce2c1ebb&amp;source=Advertiser_Similar_Kol" r:id="rId73"/>
    <hyperlink xmlns:r="http://schemas.openxmlformats.org/officeDocument/2006/relationships" ref="G39" display="https://www.xiaohongshu.com/user/profile/59d9c8d56eea8874f78ba0d5" r:id="rId74"/>
    <hyperlink xmlns:r="http://schemas.openxmlformats.org/officeDocument/2006/relationships" ref="F40" display="https://pgy.xiaohongshu.com/solar/pre-trade/blogger-detail/5978558f82ec39204c64e9cd?track_id=kolSimilar_9ceb2672c00e4c4b9ea53a31f1c945a9&amp;source=Advertiser_Similar_Kol" r:id="rId75"/>
    <hyperlink xmlns:r="http://schemas.openxmlformats.org/officeDocument/2006/relationships" ref="G40" display="https://www.xiaohongshu.com/user/profile/5978558f82ec39204c64e9cd" r:id="rId76"/>
    <hyperlink xmlns:r="http://schemas.openxmlformats.org/officeDocument/2006/relationships" ref="F41" display="https://pgy.xiaohongshu.com/solar/pre-trade/blogger-detail/5c08873e0000000007005585?track_id=kolSimilar_9d1e24782ccf4cc593cb6bc3ce2c1ebb&amp;source=Advertiser_Similar_Kol" r:id="rId77"/>
    <hyperlink xmlns:r="http://schemas.openxmlformats.org/officeDocument/2006/relationships" ref="G41" display="https://www.xiaohongshu.com/user/profile/5c08873e0000000007005585" r:id="rId78"/>
    <hyperlink xmlns:r="http://schemas.openxmlformats.org/officeDocument/2006/relationships" ref="F42" display="https://pgy.xiaohongshu.com/solar/pre-trade/blogger-detail/5d037cf200000000120226ec?track_id=kolSimilar_2ed5f923a2ad48ed8a8077e5eb363a60&amp;source=Advertiser_Similar_Kol" r:id="rId79"/>
    <hyperlink xmlns:r="http://schemas.openxmlformats.org/officeDocument/2006/relationships" ref="G42" display="https://www.xiaohongshu.com/user/profile/5d037cf200000000120226ec" r:id="rId80"/>
    <hyperlink xmlns:r="http://schemas.openxmlformats.org/officeDocument/2006/relationships" ref="F43" display="https://pgy.xiaohongshu.com/solar/pre-trade/blogger-detail/56586dd97c5bb835be78c80a?track_id=kolSimilar_e702f93d41f84e15952933fbc533d580&amp;source=Advertiser_Similar_Kol" r:id="rId81"/>
    <hyperlink xmlns:r="http://schemas.openxmlformats.org/officeDocument/2006/relationships" ref="G43" display="https://www.xiaohongshu.com/user/profile/56586dd97c5bb835be78c80a" r:id="rId82"/>
    <hyperlink xmlns:r="http://schemas.openxmlformats.org/officeDocument/2006/relationships" ref="F44" display="https://pgy.xiaohongshu.com/solar/pre-trade/blogger-detail/5b7bf8eb6b58b7189cdc0ae3?track_id=kolSimilar_d99dd70330bb4cdaacbdedee30bb4f23&amp;source=Advertiser_Similar_Kol" r:id="rId83"/>
    <hyperlink xmlns:r="http://schemas.openxmlformats.org/officeDocument/2006/relationships" ref="G44" display="https://www.xiaohongshu.com/user/profile/5b7bf8eb6b58b7189cdc0ae3" r:id="rId84"/>
    <hyperlink xmlns:r="http://schemas.openxmlformats.org/officeDocument/2006/relationships" ref="F45" display="https://pgy.xiaohongshu.com/solar/pre-trade/blogger-detail/645a46f4000000002a00a5ce?track_id=kolSimilar_d99dd70330bb4cdaacbdedee30bb4f23&amp;source=Advertiser_Similar_Kol" r:id="rId85"/>
    <hyperlink xmlns:r="http://schemas.openxmlformats.org/officeDocument/2006/relationships" ref="G45" display="https://www.xiaohongshu.com/user/profile/645a46f4000000002a00a5ce" r:id="rId86"/>
    <hyperlink xmlns:r="http://schemas.openxmlformats.org/officeDocument/2006/relationships" ref="F46" display="https://pgy.xiaohongshu.com/solar/pre-trade/blogger-detail/56bd37a75e87e75d1b0b9a98?track_id=kolSimilar_d99dd70330bb4cdaacbdedee30bb4f23&amp;source=Advertiser_Similar_Kol" r:id="rId87"/>
    <hyperlink xmlns:r="http://schemas.openxmlformats.org/officeDocument/2006/relationships" ref="G46" display="https://www.xiaohongshu.com/user/profile/56bd37a75e87e75d1b0b9a98" r:id="rId88"/>
    <hyperlink xmlns:r="http://schemas.openxmlformats.org/officeDocument/2006/relationships" ref="F47" display="https://pgy.xiaohongshu.com/solar/pre-trade/blogger-detail/56d1b4f94775a72ad1e10784?track_id=kolSimilar_7968c4349c584d2b856f5dd0e156dbca&amp;source=Advertiser_Similar_Kol" r:id="rId89"/>
    <hyperlink xmlns:r="http://schemas.openxmlformats.org/officeDocument/2006/relationships" ref="G47" display="https://www.xiaohongshu.com/user/profile/56d1b4f94775a72ad1e10784" r:id="rId90"/>
    <hyperlink xmlns:r="http://schemas.openxmlformats.org/officeDocument/2006/relationships" ref="F48" display="https://pgy.xiaohongshu.com/solar/pre-trade/blogger-detail/571ac39784edcd37dd312cfe?track_id=kolSimilar_7968c4349c584d2b856f5dd0e156dbca&amp;source=Advertiser_Similar_Kol" r:id="rId91"/>
    <hyperlink xmlns:r="http://schemas.openxmlformats.org/officeDocument/2006/relationships" ref="G48" display="https://www.xiaohongshu.com/user/profile/571ac39784edcd37dd312cfe" r:id="rId92"/>
    <hyperlink xmlns:r="http://schemas.openxmlformats.org/officeDocument/2006/relationships" ref="F49" display="https://pgy.xiaohongshu.com/solar/pre-trade/blogger-detail/62ee3af1000000001f017612?track_id=kolSimilar_3e439a41f50743b1b7f3667e037ed8b6&amp;source=Advertiser_Similar_Kol" r:id="rId93"/>
    <hyperlink xmlns:r="http://schemas.openxmlformats.org/officeDocument/2006/relationships" ref="G49" display="https://www.xiaohongshu.com/user/profile/62ee3af1000000001f017612" r:id="rId94"/>
    <hyperlink xmlns:r="http://schemas.openxmlformats.org/officeDocument/2006/relationships" ref="F50" display="https://pgy.xiaohongshu.com/solar/pre-trade/blogger-detail/5e108fac0000000001004eb5?track_id=kolSimilar_cf83a2a7608b4555896d0b90c235f377&amp;source=Advertiser_Similar_Kol" r:id="rId95"/>
    <hyperlink xmlns:r="http://schemas.openxmlformats.org/officeDocument/2006/relationships" ref="G50" display="https://www.xiaohongshu.com/user/profile/5e108fac0000000001004eb5" r:id="rId96"/>
    <hyperlink xmlns:r="http://schemas.openxmlformats.org/officeDocument/2006/relationships" ref="F51" display="https://pgy.xiaohongshu.com/solar/pre-trade/blogger-detail/613f186b0000000002020a45?track_id=kolSearch_a2b8021877e7422386b3a6feec4fd0e6&amp;source=Advertiser_Kol" r:id="rId97"/>
    <hyperlink xmlns:r="http://schemas.openxmlformats.org/officeDocument/2006/relationships" ref="G51" display="https://www.xiaohongshu.com/user/profile/613f186b0000000002020a45" r:id="rId98"/>
    <hyperlink xmlns:r="http://schemas.openxmlformats.org/officeDocument/2006/relationships" ref="F53" display="https://pgy.xiaohongshu.com/solar/pre-trade/blogger-detail/5be2ad66c548e1000124cf47?track_id=kolSimilar_775c8898ee3844d0bf65b4fae0758307&amp;source=Advertiser_Similar_Kol" r:id="rId99"/>
    <hyperlink xmlns:r="http://schemas.openxmlformats.org/officeDocument/2006/relationships" ref="G53" display="https://www.xiaohongshu.com/user/profile/5be2ad66c548e1000124cf47" r:id="rId100"/>
    <hyperlink xmlns:r="http://schemas.openxmlformats.org/officeDocument/2006/relationships" ref="F54" display="https://pgy.xiaohongshu.com/solar/pre-trade/blogger-detail/5e060da600000000010013be?track_id=kolSimilar_775c8898ee3844d0bf65b4fae0758307&amp;source=Advertiser_Similar_Kol" r:id="rId101"/>
    <hyperlink xmlns:r="http://schemas.openxmlformats.org/officeDocument/2006/relationships" ref="G54" display="https://www.xiaohongshu.com/user/profile/5e060da600000000010013be" r:id="rId102"/>
    <hyperlink xmlns:r="http://schemas.openxmlformats.org/officeDocument/2006/relationships" ref="F55" display="https://pgy.xiaohongshu.com/solar/pre-trade/blogger-detail/5aa22ceb4eacab7fd1081ade?track_id=kolSimilar_775c8898ee3844d0bf65b4fae0758307&amp;source=Advertiser_Similar_Kol" r:id="rId103"/>
    <hyperlink xmlns:r="http://schemas.openxmlformats.org/officeDocument/2006/relationships" ref="G55" display="https://www.xiaohongshu.com/user/profile/5aa22ceb4eacab7fd1081ade" r:id="rId104"/>
    <hyperlink xmlns:r="http://schemas.openxmlformats.org/officeDocument/2006/relationships" ref="F56" display="https://pgy.xiaohongshu.com/solar/pre-trade/blogger-detail/58a531af6a6a697ce5300f79?track_id=kolSimilar_775c8898ee3844d0bf65b4fae0758307&amp;source=Advertiser_Similar_Kol" r:id="rId105"/>
    <hyperlink xmlns:r="http://schemas.openxmlformats.org/officeDocument/2006/relationships" ref="G56" display="https://www.xiaohongshu.com/user/profile/58a531af6a6a697ce5300f79" r:id="rId106"/>
    <hyperlink xmlns:r="http://schemas.openxmlformats.org/officeDocument/2006/relationships" ref="F57" display="https://pgy.xiaohongshu.com/solar/pre-trade/blogger-detail/63daec1c0000000026004f03?track_id=kolSimilar_775c8898ee3844d0bf65b4fae0758307&amp;source=Advertiser_Similar_Kol" r:id="rId107"/>
    <hyperlink xmlns:r="http://schemas.openxmlformats.org/officeDocument/2006/relationships" ref="G57" display="https://www.xiaohongshu.com/user/profile/63daec1c0000000026004f03" r:id="rId108"/>
    <hyperlink xmlns:r="http://schemas.openxmlformats.org/officeDocument/2006/relationships" ref="F58" display="https://pgy.xiaohongshu.com/solar/pre-trade/blogger-detail/5c13bce2000000000502a5ca?track_id=kolSimilar_6797ccb940ce449abeadd5aa23f9d5e2&amp;source=Advertiser_Similar_Kol" r:id="rId109"/>
    <hyperlink xmlns:r="http://schemas.openxmlformats.org/officeDocument/2006/relationships" ref="G58" display="https://www.xiaohongshu.com/user/profile/5c13bce2000000000502a5ca" r:id="rId110"/>
    <hyperlink xmlns:r="http://schemas.openxmlformats.org/officeDocument/2006/relationships" ref="F59" display="https://pgy.xiaohongshu.com/solar/pre-trade/blogger-detail/5784ffb850c4b433370bcdec?track_id=kolSimilar_6797ccb940ce449abeadd5aa23f9d5e2&amp;source=Advertiser_Similar_Kol" r:id="rId111"/>
    <hyperlink xmlns:r="http://schemas.openxmlformats.org/officeDocument/2006/relationships" ref="G59" display="https://www.xiaohongshu.com/user/profile/5784ffb850c4b433370bcdec" r:id="rId112"/>
    <hyperlink xmlns:r="http://schemas.openxmlformats.org/officeDocument/2006/relationships" ref="F60" display="https://pgy.xiaohongshu.com/solar/pre-trade/blogger-detail/5a65ed3b11be1074e48a26be?track_id=kolSimilar_1bc940eb10344e3599eb4e99fdbd89fc&amp;source=Advertiser_Similar_Kol" r:id="rId113"/>
    <hyperlink xmlns:r="http://schemas.openxmlformats.org/officeDocument/2006/relationships" ref="G60" display="https://www.xiaohongshu.com/user/profile/5a65ed3b11be1074e48a26be" r:id="rId114"/>
    <hyperlink xmlns:r="http://schemas.openxmlformats.org/officeDocument/2006/relationships" ref="F61" display="https://pgy.xiaohongshu.com/solar/pre-trade/blogger-detail/5a5a77864eacab15573f237d?track_id=kolSimilar_1bc940eb10344e3599eb4e99fdbd89fc&amp;source=Advertiser_Similar_Kol" r:id="rId115"/>
    <hyperlink xmlns:r="http://schemas.openxmlformats.org/officeDocument/2006/relationships" ref="G61" display="https://www.xiaohongshu.com/user/profile/5a5a77864eacab15573f237d" r:id="rId116"/>
    <hyperlink xmlns:r="http://schemas.openxmlformats.org/officeDocument/2006/relationships" ref="F62" display="https://pgy.xiaohongshu.com/solar/pre-trade/blogger-detail/5c62610f0000000011038869?track_id=kolSimilar_1bc940eb10344e3599eb4e99fdbd89fc&amp;source=Advertiser_Similar_Kol" r:id="rId117"/>
    <hyperlink xmlns:r="http://schemas.openxmlformats.org/officeDocument/2006/relationships" ref="G62" display="https://www.xiaohongshu.com/user/profile/5c62610f0000000011038869" r:id="rId118"/>
    <hyperlink xmlns:r="http://schemas.openxmlformats.org/officeDocument/2006/relationships" ref="F63" display="https://pgy.xiaohongshu.com/solar/pre-trade/blogger-detail/57e4db186a6a6965c733a4ea?track_id=kolSimilar_1bc940eb10344e3599eb4e99fdbd89fc&amp;source=Advertiser_Similar_Kol" r:id="rId119"/>
    <hyperlink xmlns:r="http://schemas.openxmlformats.org/officeDocument/2006/relationships" ref="G63" display="https://www.xiaohongshu.com/user/profile/57e4db186a6a6965c733a4ea" r:id="rId120"/>
    <hyperlink xmlns:r="http://schemas.openxmlformats.org/officeDocument/2006/relationships" ref="F64" display="https://pgy.xiaohongshu.com/solar/pre-trade/blogger-detail/5eab78110000000001002638?track_id=kolSimilar_1bc940eb10344e3599eb4e99fdbd89fc&amp;source=Advertiser_Similar_Kol" r:id="rId121"/>
    <hyperlink xmlns:r="http://schemas.openxmlformats.org/officeDocument/2006/relationships" ref="G64" display="https://www.xiaohongshu.com/user/profile/5eab78110000000001002638" r:id="rId122"/>
    <hyperlink xmlns:r="http://schemas.openxmlformats.org/officeDocument/2006/relationships" ref="F65" display="https://pgy.xiaohongshu.com/solar/pre-trade/blogger-detail/5cee3f6b0000000018030cca?track_id=kolSimilar_1bc940eb10344e3599eb4e99fdbd89fc&amp;source=Advertiser_Similar_Kol" r:id="rId123"/>
    <hyperlink xmlns:r="http://schemas.openxmlformats.org/officeDocument/2006/relationships" ref="G65" display="https://www.xiaohongshu.com/user/profile/5cee3f6b0000000018030cca" r:id="rId124"/>
    <hyperlink xmlns:r="http://schemas.openxmlformats.org/officeDocument/2006/relationships" ref="F66" display="https://pgy.xiaohongshu.com/solar/pre-trade/blogger-detail/5c25acc2000000000700dbaf?track_id=kolSimilar_1bc940eb10344e3599eb4e99fdbd89fc&amp;source=Advertiser_Similar_Kol" r:id="rId125"/>
    <hyperlink xmlns:r="http://schemas.openxmlformats.org/officeDocument/2006/relationships" ref="G66" display="https://www.xiaohongshu.com/user/profile/5c25acc2000000000700dbaf" r:id="rId126"/>
    <hyperlink xmlns:r="http://schemas.openxmlformats.org/officeDocument/2006/relationships" ref="F67" display="https://pgy.xiaohongshu.com/solar/pre-trade/blogger-detail/57bee2476a6a6937b03a3b68?track_id=kolSimilar_c2a66d17ee364fa285425294a5b1ccfb&amp;source=Advertiser_Similar_Kol" r:id="rId127"/>
    <hyperlink xmlns:r="http://schemas.openxmlformats.org/officeDocument/2006/relationships" ref="G67" display="https://www.xiaohongshu.com/user/profile/57bee2476a6a6937b03a3b68" r:id="rId128"/>
    <hyperlink xmlns:r="http://schemas.openxmlformats.org/officeDocument/2006/relationships" ref="F68" display="https://pgy.xiaohongshu.com/solar/pre-trade/blogger-detail/542a17fe2e1d9378fd428507?track_id=kolSimilar_c2a66d17ee364fa285425294a5b1ccfb&amp;source=Advertiser_Similar_Kol" r:id="rId129"/>
    <hyperlink xmlns:r="http://schemas.openxmlformats.org/officeDocument/2006/relationships" ref="G68" display="https://www.xiaohongshu.com/user/profile/542a17fe2e1d9378fd428507" r:id="rId130"/>
    <hyperlink xmlns:r="http://schemas.openxmlformats.org/officeDocument/2006/relationships" ref="F69" display="https://pgy.xiaohongshu.com/solar/pre-trade/blogger-detail/66c0a6b0000000001d033e39?track_id=kolSimilar_c2a66d17ee364fa285425294a5b1ccfb&amp;source=Advertiser_Similar_Kol" r:id="rId131"/>
    <hyperlink xmlns:r="http://schemas.openxmlformats.org/officeDocument/2006/relationships" ref="G69" display="https://www.xiaohongshu.com/user/profile/66c0a6b0000000001d033e39" r:id="rId132"/>
    <hyperlink xmlns:r="http://schemas.openxmlformats.org/officeDocument/2006/relationships" ref="F70" display="https://pgy.xiaohongshu.com/solar/pre-trade/blogger-detail/5fbb6bdf000000000100882d?track_id=kolSimilar_c2a66d17ee364fa285425294a5b1ccfb&amp;source=Advertiser_Similar_Kol" r:id="rId133"/>
    <hyperlink xmlns:r="http://schemas.openxmlformats.org/officeDocument/2006/relationships" ref="G70" display="https://www.xiaohongshu.com/user/profile/5fbb6bdf000000000100882d" r:id="rId134"/>
    <hyperlink xmlns:r="http://schemas.openxmlformats.org/officeDocument/2006/relationships" ref="F71" display="https://pgy.xiaohongshu.com/solar/pre-trade/blogger-detail/6372dc46000000001f01d5e5?track_id=kolSimilar_c2a66d17ee364fa285425294a5b1ccfb&amp;source=Advertiser_Similar_Kol" r:id="rId135"/>
    <hyperlink xmlns:r="http://schemas.openxmlformats.org/officeDocument/2006/relationships" ref="G71" display="https://www.xiaohongshu.com/user/profile/6372dc46000000001f01d5e5" r:id="rId136"/>
    <hyperlink xmlns:r="http://schemas.openxmlformats.org/officeDocument/2006/relationships" ref="F72" display="https://pgy.xiaohongshu.com/solar/pre-trade/blogger-detail/6125ad1a000000000100029e?track_id=kolSimilar_a18d1e180db8486fab6bc8c94513c45d&amp;source=Advertiser_Similar_Kol" r:id="rId137"/>
    <hyperlink xmlns:r="http://schemas.openxmlformats.org/officeDocument/2006/relationships" ref="G72" display="https://www.xiaohongshu.com/user/profile/6125ad1a000000000100029e" r:id="rId138"/>
    <hyperlink xmlns:r="http://schemas.openxmlformats.org/officeDocument/2006/relationships" ref="F73" display="https://pgy.xiaohongshu.com/solar/pre-trade/blogger-detail/5407117eb4c4d67090536215?track_id=kolSimilar_a18d1e180db8486fab6bc8c94513c45d&amp;source=Advertiser_Similar_Kol" r:id="rId139"/>
    <hyperlink xmlns:r="http://schemas.openxmlformats.org/officeDocument/2006/relationships" ref="G73" display="https://www.xiaohongshu.com/user/profile/5407117eb4c4d67090536215" r:id="rId140"/>
    <hyperlink xmlns:r="http://schemas.openxmlformats.org/officeDocument/2006/relationships" ref="F74" display="https://pgy.xiaohongshu.com/solar/pre-trade/blogger-detail/5bdfd3ca989f580001b8d86d?track_id=kolSimilar_a18d1e180db8486fab6bc8c94513c45d&amp;source=Advertiser_Similar_Kol" r:id="rId141"/>
    <hyperlink xmlns:r="http://schemas.openxmlformats.org/officeDocument/2006/relationships" ref="G74" display="https://www.xiaohongshu.com/user/profile/5bdfd3ca989f580001b8d86d" r:id="rId142"/>
    <hyperlink xmlns:r="http://schemas.openxmlformats.org/officeDocument/2006/relationships" ref="F76" display="https://pgy.xiaohongshu.com/solar/pre-trade/blogger-detail/58ae66f6a9b2ed16238bcb68?track_id=kolSimilar_8111d80f8e414c91afeccbffa135a4f5&amp;source=Advertiser_Similar_Kol" r:id="rId143"/>
    <hyperlink xmlns:r="http://schemas.openxmlformats.org/officeDocument/2006/relationships" ref="G76" display="https://www.xiaohongshu.com/user/profile/58ae66f6a9b2ed16238bcb68" r:id="rId144"/>
    <hyperlink xmlns:r="http://schemas.openxmlformats.org/officeDocument/2006/relationships" ref="F77" display="https://pgy.xiaohongshu.com/solar/pre-trade/blogger-detail/5b3b05cbe8ac2b5e7f0c3cf0?track_id=kolSimilar_8111d80f8e414c91afeccbffa135a4f5&amp;source=Advertiser_Similar_Kol" r:id="rId145"/>
    <hyperlink xmlns:r="http://schemas.openxmlformats.org/officeDocument/2006/relationships" ref="G77" display="https://www.xiaohongshu.com/user/profile/5b3b05cbe8ac2b5e7f0c3cf0" r:id="rId146"/>
    <hyperlink xmlns:r="http://schemas.openxmlformats.org/officeDocument/2006/relationships" ref="F78" display="https://pgy.xiaohongshu.com/solar/pre-trade/blogger-detail/5e63c2f400000000010031b4?track_id=kolSimilar_6313be65406b49cfb3959f5afa60978c&amp;source=Advertiser_Similar_Kol" r:id="rId147"/>
    <hyperlink xmlns:r="http://schemas.openxmlformats.org/officeDocument/2006/relationships" ref="G78" display="https://www.xiaohongshu.com/user/profile/5e63c2f400000000010031b4" r:id="rId148"/>
    <hyperlink xmlns:r="http://schemas.openxmlformats.org/officeDocument/2006/relationships" ref="F79" display="https://pgy.xiaohongshu.com/solar/pre-trade/blogger-detail/5dafb9a00000000001009617?track_id=kolSimilar_6313be65406b49cfb3959f5afa60978c&amp;source=Advertiser_Similar_Kol" r:id="rId149"/>
    <hyperlink xmlns:r="http://schemas.openxmlformats.org/officeDocument/2006/relationships" ref="G79" display="https://www.xiaohongshu.com/user/profile/5dafb9a00000000001009617" r:id="rId150"/>
    <hyperlink xmlns:r="http://schemas.openxmlformats.org/officeDocument/2006/relationships" ref="F80" display="https://pgy.xiaohongshu.com/solar/pre-trade/blogger-detail/55d1e3dc3397db11c7edf7e4?track_id=kolSimilar_6313be65406b49cfb3959f5afa60978c&amp;source=Advertiser_Similar_Kol" r:id="rId151"/>
    <hyperlink xmlns:r="http://schemas.openxmlformats.org/officeDocument/2006/relationships" ref="G80" display="https://www.xiaohongshu.com/user/profile/55d1e3dc3397db11c7edf7e4" r:id="rId152"/>
    <hyperlink xmlns:r="http://schemas.openxmlformats.org/officeDocument/2006/relationships" ref="F81" display="https://pgy.xiaohongshu.com/solar/pre-trade/blogger-detail/5844219350c4b42934dc0b95?track_id=kolSimilar_6313be65406b49cfb3959f5afa60978c&amp;source=Advertiser_Similar_Kol" r:id="rId153"/>
    <hyperlink xmlns:r="http://schemas.openxmlformats.org/officeDocument/2006/relationships" ref="G81" display="https://www.xiaohongshu.com/user/profile/5844219350c4b42934dc0b95" r:id="rId154"/>
    <hyperlink xmlns:r="http://schemas.openxmlformats.org/officeDocument/2006/relationships" ref="F82" display="https://pgy.xiaohongshu.com/solar/pre-trade/blogger-detail/58fa1bf182ec3930cdb2ddfd?track_id=kolSimilar_6313be65406b49cfb3959f5afa60978c&amp;source=Advertiser_Similar_Kol" r:id="rId155"/>
    <hyperlink xmlns:r="http://schemas.openxmlformats.org/officeDocument/2006/relationships" ref="G82" display="https://www.xiaohongshu.com/user/profile/58fa1bf182ec3930cdb2ddfd" r:id="rId156"/>
    <hyperlink xmlns:r="http://schemas.openxmlformats.org/officeDocument/2006/relationships" ref="F83" display="https://pgy.xiaohongshu.com/solar/pre-trade/blogger-detail/5f439ffe00000000010074f9?track_id=kolSimilar_75cc37d546944a9cafd5edda2e992284&amp;source=Advertiser_Similar_Kol" r:id="rId157"/>
    <hyperlink xmlns:r="http://schemas.openxmlformats.org/officeDocument/2006/relationships" ref="G83" display="https://www.xiaohongshu.com/user/profile/5f439ffe00000000010074f9" r:id="rId158"/>
    <hyperlink xmlns:r="http://schemas.openxmlformats.org/officeDocument/2006/relationships" ref="F84" display="https://pgy.xiaohongshu.com/solar/pre-trade/blogger-detail/5f571186000000000100ab3d?track_id=kolSimilar_75cc37d546944a9cafd5edda2e992284&amp;source=Advertiser_Similar_Kol" r:id="rId159"/>
    <hyperlink xmlns:r="http://schemas.openxmlformats.org/officeDocument/2006/relationships" ref="G84" display="https://www.xiaohongshu.com/user/profile/5f571186000000000100ab3d" r:id="rId160"/>
    <hyperlink xmlns:r="http://schemas.openxmlformats.org/officeDocument/2006/relationships" ref="F85" display="https://pgy.xiaohongshu.com/solar/pre-trade/blogger-detail/5b6fc11938a98000011e750e?track_id=kolSimilar_258eaaa5cb8e4139b28f2bd383863f60&amp;source=Advertiser_Similar_Kol" r:id="rId161"/>
    <hyperlink xmlns:r="http://schemas.openxmlformats.org/officeDocument/2006/relationships" ref="G85" display="https://www.xiaohongshu.com/user/profile/5b6fc11938a98000011e750e" r:id="rId162"/>
    <hyperlink xmlns:r="http://schemas.openxmlformats.org/officeDocument/2006/relationships" ref="F86" display="https://pgy.xiaohongshu.com/solar/pre-trade/blogger-detail/5c20f13f000000000702d477?track_id=kolSimilar_258eaaa5cb8e4139b28f2bd383863f60&amp;source=Advertiser_Similar_Kol" r:id="rId163"/>
    <hyperlink xmlns:r="http://schemas.openxmlformats.org/officeDocument/2006/relationships" ref="G86" display="https://www.xiaohongshu.com/user/profile/5c20f13f000000000702d477" r:id="rId164"/>
    <hyperlink xmlns:r="http://schemas.openxmlformats.org/officeDocument/2006/relationships" ref="F87" display="https://pgy.xiaohongshu.com/solar/pre-trade/blogger-detail/5a522dd9e8ac2b3230f67abb?track_id=kolSimilar_258eaaa5cb8e4139b28f2bd383863f60&amp;source=Advertiser_Similar_Kol" r:id="rId165"/>
    <hyperlink xmlns:r="http://schemas.openxmlformats.org/officeDocument/2006/relationships" ref="G87" display="https://www.xiaohongshu.com/user/profile/5a522dd9e8ac2b3230f67abb" r:id="rId166"/>
    <hyperlink xmlns:r="http://schemas.openxmlformats.org/officeDocument/2006/relationships" ref="F88" display="https://pgy.xiaohongshu.com/solar/pre-trade/blogger-detail/5bb352cb414ee700012948a3?track_id=kolSimilar_82d3d19c7ece41f5bb5ea42b119c7e72&amp;source=Advertiser_Similar_Kol" r:id="rId167"/>
    <hyperlink xmlns:r="http://schemas.openxmlformats.org/officeDocument/2006/relationships" ref="G88" display="https://www.xiaohongshu.com/user/profile/5bb352cb414ee700012948a3" r:id="rId168"/>
    <hyperlink xmlns:r="http://schemas.openxmlformats.org/officeDocument/2006/relationships" ref="F89" display="https://pgy.xiaohongshu.com/solar/pre-trade/blogger-detail/5ef5c137000000000101d95e?track_id=kolSimilar_82d3d19c7ece41f5bb5ea42b119c7e72&amp;source=Advertiser_Similar_Kol" r:id="rId169"/>
    <hyperlink xmlns:r="http://schemas.openxmlformats.org/officeDocument/2006/relationships" ref="G89" display="https://www.xiaohongshu.com/user/profile/5ef5c137000000000101d95e" r:id="rId170"/>
    <hyperlink xmlns:r="http://schemas.openxmlformats.org/officeDocument/2006/relationships" ref="F90" display="https://pgy.xiaohongshu.com/solar/pre-trade/blogger-detail/55050be52e1d9359054f4dca?track_id=kolMatch_7794a23a4b764c948cf43c5fc29e5d22&amp;source=Advertiser_Kol" r:id="rId171"/>
    <hyperlink xmlns:r="http://schemas.openxmlformats.org/officeDocument/2006/relationships" ref="G90" display="https://www.xiaohongshu.com/user/profile/55050be52e1d9359054f4dca" r:id="rId172"/>
    <hyperlink xmlns:r="http://schemas.openxmlformats.org/officeDocument/2006/relationships" ref="F91" display="https://pgy.xiaohongshu.com/solar/pre-trade/blogger-detail/60bf41660000000020029525?track_id=kolMatch_7794a23a4b764c948cf43c5fc29e5d22&amp;source=Advertiser_Kol" r:id="rId173"/>
    <hyperlink xmlns:r="http://schemas.openxmlformats.org/officeDocument/2006/relationships" ref="G91" display="https://www.xiaohongshu.com/user/profile/60bf41660000000020029525" r:id="rId174"/>
    <hyperlink xmlns:r="http://schemas.openxmlformats.org/officeDocument/2006/relationships" ref="F92" display="https://pgy.xiaohongshu.com/solar/pre-trade/blogger-detail/5c94b9300000000012018638?track_id=kolMatch_4c05e5ef58964c39a6418794f6a5d4d7&amp;source=Advertiser_Kol" r:id="rId175"/>
    <hyperlink xmlns:r="http://schemas.openxmlformats.org/officeDocument/2006/relationships" ref="G92" display="https://www.xiaohongshu.com/user/profile/5c94b9300000000012018638" r:id="rId176"/>
    <hyperlink xmlns:r="http://schemas.openxmlformats.org/officeDocument/2006/relationships" ref="F93" display="https://pgy.xiaohongshu.com/solar/pre-trade/blogger-detail/5bd5da7e6b58b737f827ea92?track_id=kolMatch_7cf9b93a44b44a6cb5cae99c838dc678&amp;source=Advertiser_Kol" r:id="rId177"/>
    <hyperlink xmlns:r="http://schemas.openxmlformats.org/officeDocument/2006/relationships" ref="G93" display="https://www.xiaohongshu.com/user/profile/5bd5da7e6b58b737f827ea92" r:id="rId178"/>
    <hyperlink xmlns:r="http://schemas.openxmlformats.org/officeDocument/2006/relationships" ref="F94" display="https://pgy.xiaohongshu.com/solar/pre-trade/blogger-detail/639eb62e0000000026013332?track_id=kolMatch_564352da8b82463bb4f360b20d173faf&amp;source=Advertiser_Kol" r:id="rId179"/>
    <hyperlink xmlns:r="http://schemas.openxmlformats.org/officeDocument/2006/relationships" ref="G94" display="https://www.xiaohongshu.com/user/profile/639eb62e0000000026013332" r:id="rId180"/>
    <hyperlink xmlns:r="http://schemas.openxmlformats.org/officeDocument/2006/relationships" ref="F95" display="https://pgy.xiaohongshu.com/solar/pre-trade/blogger-detail/5bb184257d87110001e0c1dc?track_id=kolMatch_564352da8b82463bb4f360b20d173faf&amp;source=Advertiser_Kol" r:id="rId181"/>
    <hyperlink xmlns:r="http://schemas.openxmlformats.org/officeDocument/2006/relationships" ref="G95" display="https://www.xiaohongshu.com/user/profile/5bb184257d87110001e0c1dc" r:id="rId182"/>
    <hyperlink xmlns:r="http://schemas.openxmlformats.org/officeDocument/2006/relationships" ref="F96" display="https://pgy.xiaohongshu.com/solar/pre-trade/blogger-detail/5dcd13c9000000000100572a?track_id=kolMatch_0f8dbf46b3f5463da17b109b7f2f5253&amp;source=Advertiser_Kol" r:id="rId183"/>
    <hyperlink xmlns:r="http://schemas.openxmlformats.org/officeDocument/2006/relationships" ref="G96" display="https://www.xiaohongshu.com/user/profile/5dcd13c9000000000100572a" r:id="rId184"/>
    <hyperlink xmlns:r="http://schemas.openxmlformats.org/officeDocument/2006/relationships" ref="F97" display="https://pgy.xiaohongshu.com/solar/pre-trade/blogger-detail/68022ea8000000000e02cd1b?track_id=kolMatch_0f8dbf46b3f5463da17b109b7f2f5253&amp;source=Advertiser_Kol" r:id="rId185"/>
    <hyperlink xmlns:r="http://schemas.openxmlformats.org/officeDocument/2006/relationships" ref="G97" display="https://www.xiaohongshu.com/user/profile/68022ea8000000000e02cd1b" r:id="rId186"/>
    <hyperlink xmlns:r="http://schemas.openxmlformats.org/officeDocument/2006/relationships" ref="F99" display="https://pgy.xiaohongshu.com/solar/pre-trade/blogger-detail/67453e99000000001d02faf0?track_id=kolMatch_a2b0a43926eb41e2806e38dbb4c8e19b&amp;source=Advertiser_Kol" r:id="rId187"/>
    <hyperlink xmlns:r="http://schemas.openxmlformats.org/officeDocument/2006/relationships" ref="G99" display="https://www.xiaohongshu.com/user/profile/67453e99000000001d02faf0" r:id="rId188"/>
    <hyperlink xmlns:r="http://schemas.openxmlformats.org/officeDocument/2006/relationships" ref="F100" display="https://pgy.xiaohongshu.com/solar/pre-trade/blogger-detail/56c5b898aed7582d8a9b5f23?track_id=kolMatch_a2b0a43926eb41e2806e38dbb4c8e19b&amp;source=Advertiser_Kol" r:id="rId189"/>
    <hyperlink xmlns:r="http://schemas.openxmlformats.org/officeDocument/2006/relationships" ref="G100" display="https://www.xiaohongshu.com/user/profile/56c5b898aed7582d8a9b5f23" r:id="rId190"/>
    <hyperlink xmlns:r="http://schemas.openxmlformats.org/officeDocument/2006/relationships" ref="F101" display="https://pgy.xiaohongshu.com/solar/pre-trade/blogger-detail/5b6ba011a001f6000129fb20?track_id=kolMatch_c18e4a9bd67149e5aeccd0cecbabfcb0&amp;source=Advertiser_Kol" r:id="rId191"/>
    <hyperlink xmlns:r="http://schemas.openxmlformats.org/officeDocument/2006/relationships" ref="G101" display="https://www.xiaohongshu.com/user/profile/5b6ba011a001f6000129fb20" r:id="rId192"/>
    <hyperlink xmlns:r="http://schemas.openxmlformats.org/officeDocument/2006/relationships" ref="F102" display="https://pgy.xiaohongshu.com/solar/pre-trade/blogger-detail/60374f8e0000000001006fa5?track_id=kolMatch_3898bd6c9cde420fb952dbc1bb44389a&amp;source=Advertiser_Kol" r:id="rId193"/>
    <hyperlink xmlns:r="http://schemas.openxmlformats.org/officeDocument/2006/relationships" ref="G102" display="https://www.xiaohongshu.com/user/profile/60374f8e0000000001006fa5" r:id="rId194"/>
    <hyperlink xmlns:r="http://schemas.openxmlformats.org/officeDocument/2006/relationships" ref="F103" display="https://pgy.xiaohongshu.com/solar/pre-trade/blogger-detail/594fba4982ec397bde1c9998?track_id=kolSimilar_345da337c4b94c33a6eb3a8d76e80a06&amp;source=Advertiser_Similar_Kol" r:id="rId195"/>
    <hyperlink xmlns:r="http://schemas.openxmlformats.org/officeDocument/2006/relationships" ref="G103" display="https://www.xiaohongshu.com/user/profile/594fba4982ec397bde1c9998" r:id="rId196"/>
    <hyperlink xmlns:r="http://schemas.openxmlformats.org/officeDocument/2006/relationships" ref="F104" display="https://pgy.xiaohongshu.com/solar/pre-trade/blogger-detail/64d8936b00000000010101df?track_id=kolSimilar_345da337c4b94c33a6eb3a8d76e80a06&amp;source=Advertiser_Similar_Kol" r:id="rId197"/>
    <hyperlink xmlns:r="http://schemas.openxmlformats.org/officeDocument/2006/relationships" ref="G104" display="https://www.xiaohongshu.com/user/profile/64d8936b00000000010101df" r:id="rId198"/>
    <hyperlink xmlns:r="http://schemas.openxmlformats.org/officeDocument/2006/relationships" ref="F105" display="https://pgy.xiaohongshu.com/solar/pre-trade/blogger-detail/65f161a0000000000500a702?track_id=kolSimilar_01891343d6464fce89686f8cfa133b71&amp;source=Advertiser_Similar_Kol" r:id="rId199"/>
    <hyperlink xmlns:r="http://schemas.openxmlformats.org/officeDocument/2006/relationships" ref="G105" display="https://www.xiaohongshu.com/user/profile/65f161a0000000000500a702" r:id="rId200"/>
    <hyperlink xmlns:r="http://schemas.openxmlformats.org/officeDocument/2006/relationships" ref="F106" display="https://pgy.xiaohongshu.com/solar/pre-trade/blogger-detail/5a1bb60a4eacab252da41bd8?track_id=kolSimilar_5f73b095e529472bad1372d932c1f860&amp;source=Advertiser_Similar_Kol" r:id="rId201"/>
    <hyperlink xmlns:r="http://schemas.openxmlformats.org/officeDocument/2006/relationships" ref="G106" display="https://www.xiaohongshu.com/user/profile/5a1bb60a4eacab252da41bd8" r:id="rId202"/>
    <hyperlink xmlns:r="http://schemas.openxmlformats.org/officeDocument/2006/relationships" ref="F107" display="https://pgy.xiaohongshu.com/solar/pre-trade/blogger-detail/5b6471b7c5fd3c0001487e14?track_id=kolSimilar_5f73b095e529472bad1372d932c1f860&amp;source=Advertiser_Similar_Kol" r:id="rId203"/>
    <hyperlink xmlns:r="http://schemas.openxmlformats.org/officeDocument/2006/relationships" ref="G107" display="https://www.xiaohongshu.com/user/profile/5b6471b7c5fd3c0001487e14" r:id="rId204"/>
    <hyperlink xmlns:r="http://schemas.openxmlformats.org/officeDocument/2006/relationships" ref="F108" display="https://pgy.xiaohongshu.com/solar/pre-trade/blogger-detail/5a97f06f11be102313679d97?track_id=kolSimilar_5f73b095e529472bad1372d932c1f860&amp;source=Advertiser_Similar_Kol" r:id="rId205"/>
    <hyperlink xmlns:r="http://schemas.openxmlformats.org/officeDocument/2006/relationships" ref="G108" display="https://www.xiaohongshu.com/user/profile/5a97f06f11be102313679d97" r:id="rId206"/>
    <hyperlink xmlns:r="http://schemas.openxmlformats.org/officeDocument/2006/relationships" ref="F109" display="https://pgy.xiaohongshu.com/solar/pre-trade/blogger-detail/63a5266b000000002601349b?track_id=kolSimilar_5f73b095e529472bad1372d932c1f860&amp;source=Advertiser_Similar_Kol" r:id="rId207"/>
    <hyperlink xmlns:r="http://schemas.openxmlformats.org/officeDocument/2006/relationships" ref="G109" display="https://www.xiaohongshu.com/user/profile/63a5266b000000002601349b" r:id="rId208"/>
    <hyperlink xmlns:r="http://schemas.openxmlformats.org/officeDocument/2006/relationships" ref="F110" display="https://pgy.xiaohongshu.com/solar/pre-trade/blogger-detail/5bd6770701fd9e0001e98fe9?track_id=kolSimilar_5f73b095e529472bad1372d932c1f860&amp;source=Advertiser_Similar_Kol" r:id="rId209"/>
    <hyperlink xmlns:r="http://schemas.openxmlformats.org/officeDocument/2006/relationships" ref="G110" display="https://www.xiaohongshu.com/user/profile/5bd6770701fd9e0001e98fe9" r:id="rId210"/>
    <hyperlink xmlns:r="http://schemas.openxmlformats.org/officeDocument/2006/relationships" ref="F111" display="https://pgy.xiaohongshu.com/solar/pre-trade/blogger-detail/655229a5000000000403a7b6?track_id=kolSimilar_db54877342d74e699a23d291c229f810&amp;source=Advertiser_Similar_Kol" r:id="rId211"/>
    <hyperlink xmlns:r="http://schemas.openxmlformats.org/officeDocument/2006/relationships" ref="G111" display="https://www.xiaohongshu.com/user/profile/655229a5000000000403a7b6" r:id="rId212"/>
    <hyperlink xmlns:r="http://schemas.openxmlformats.org/officeDocument/2006/relationships" ref="F112" display="https://pgy.xiaohongshu.com/solar/pre-trade/blogger-detail/5fb8d8a90000000001007718?track_id=kolSimilar_a21ce1a79fc34d5bbee44b8ec8b39dbc&amp;source=Advertiser_Similar_Kol" r:id="rId213"/>
    <hyperlink xmlns:r="http://schemas.openxmlformats.org/officeDocument/2006/relationships" ref="G112" display="https://www.xiaohongshu.com/user/profile/5fb8d8a90000000001007718" r:id="rId214"/>
    <hyperlink xmlns:r="http://schemas.openxmlformats.org/officeDocument/2006/relationships" ref="F113" display="https://pgy.xiaohongshu.com/solar/pre-trade/blogger-detail/61bf0e0a0000000002024788?track_id=kolSimilar_a21ce1a79fc34d5bbee44b8ec8b39dbc&amp;source=Advertiser_Similar_Kol" r:id="rId215"/>
    <hyperlink xmlns:r="http://schemas.openxmlformats.org/officeDocument/2006/relationships" ref="G113" display="https://www.xiaohongshu.com/user/profile/61bf0e0a0000000002024788" r:id="rId216"/>
    <hyperlink xmlns:r="http://schemas.openxmlformats.org/officeDocument/2006/relationships" ref="F114" display="https://pgy.xiaohongshu.com/solar/pre-trade/blogger-detail/5b062cfe11be1027b2dba76b?track_id=kolSimilar_a21ce1a79fc34d5bbee44b8ec8b39dbc&amp;source=Advertiser_Similar_Kol" r:id="rId217"/>
    <hyperlink xmlns:r="http://schemas.openxmlformats.org/officeDocument/2006/relationships" ref="G114" display="https://www.xiaohongshu.com/user/profile/5b062cfe11be1027b2dba76b" r:id="rId218"/>
    <hyperlink xmlns:r="http://schemas.openxmlformats.org/officeDocument/2006/relationships" ref="F115" display="https://pgy.xiaohongshu.com/solar/pre-trade/blogger-detail/56d10bdeaed75804d84ebc10?track_id=kolSimilar_7e31c84d39844f4fb81f0b37dda2441e&amp;source=Advertiser_Similar_Kol" r:id="rId219"/>
    <hyperlink xmlns:r="http://schemas.openxmlformats.org/officeDocument/2006/relationships" ref="G115" display="https://www.xiaohongshu.com/user/profile/56d10bdeaed75804d84ebc10" r:id="rId220"/>
    <hyperlink xmlns:r="http://schemas.openxmlformats.org/officeDocument/2006/relationships" ref="F116" display="https://pgy.xiaohongshu.com/solar/pre-trade/blogger-detail/59e05a1044363b7c408a7561?track_id=kolSimilar_7e31c84d39844f4fb81f0b37dda2441e&amp;source=Advertiser_Similar_Kol" r:id="rId221"/>
    <hyperlink xmlns:r="http://schemas.openxmlformats.org/officeDocument/2006/relationships" ref="G116" display="https://www.xiaohongshu.com/user/profile/59e05a1044363b7c408a7561" r:id="rId222"/>
    <hyperlink xmlns:r="http://schemas.openxmlformats.org/officeDocument/2006/relationships" ref="F117" display="https://pgy.xiaohongshu.com/solar/pre-trade/blogger-detail/5d2a7794000000001200f429?track_id=kolSimilar_7e31c84d39844f4fb81f0b37dda2441e&amp;source=Advertiser_Similar_Kol" r:id="rId223"/>
    <hyperlink xmlns:r="http://schemas.openxmlformats.org/officeDocument/2006/relationships" ref="G117" display="https://www.xiaohongshu.com/user/profile/5d2a7794000000001200f429" r:id="rId224"/>
    <hyperlink xmlns:r="http://schemas.openxmlformats.org/officeDocument/2006/relationships" ref="F118" display="https://pgy.xiaohongshu.com/solar/pre-trade/blogger-detail/6090d83800000000010085ed?track_id=kolSimilar_fb821e2580bf4d049cbb04b2487b45bc&amp;source=Advertiser_Similar_Kol" r:id="rId225"/>
    <hyperlink xmlns:r="http://schemas.openxmlformats.org/officeDocument/2006/relationships" ref="G118" display="https://www.xiaohongshu.com/user/profile/6090d83800000000010085ed" r:id="rId226"/>
    <hyperlink xmlns:r="http://schemas.openxmlformats.org/officeDocument/2006/relationships" ref="F119" display="https://pgy.xiaohongshu.com/solar/pre-trade/blogger-detail/5a000df74eacab6929f24ce4?track_id=kolSimilar_345da337c4b94c33a6eb3a8d76e80a06&amp;source=Advertiser_Similar_Kol" r:id="rId227"/>
    <hyperlink xmlns:r="http://schemas.openxmlformats.org/officeDocument/2006/relationships" ref="G119" display="https://www.xiaohongshu.com/user/profile/5a000df74eacab6929f24ce4" r:id="rId228"/>
    <hyperlink xmlns:r="http://schemas.openxmlformats.org/officeDocument/2006/relationships" ref="F120" display="https://pgy.xiaohongshu.com/solar/pre-trade/blogger-detail/5b8f622e55c23100010c3184?track_id=kolSimilar_345da337c4b94c33a6eb3a8d76e80a06&amp;source=Advertiser_Similar_Kol" r:id="rId229"/>
    <hyperlink xmlns:r="http://schemas.openxmlformats.org/officeDocument/2006/relationships" ref="G120" display="https://www.xiaohongshu.com/user/profile/5b8f622e55c23100010c3184" r:id="rId230"/>
    <hyperlink xmlns:r="http://schemas.openxmlformats.org/officeDocument/2006/relationships" ref="F121" display="https://pgy.xiaohongshu.com/solar/pre-trade/blogger-detail/548256612e1d9320b11eb7c4?track_id=kolSimilar_01891343d6464fce89686f8cfa133b71&amp;source=Advertiser_Similar_Kol" r:id="rId231"/>
    <hyperlink xmlns:r="http://schemas.openxmlformats.org/officeDocument/2006/relationships" ref="G121" display="https://www.xiaohongshu.com/user/profile/548256612e1d9320b11eb7c4" r:id="rId232"/>
    <hyperlink xmlns:r="http://schemas.openxmlformats.org/officeDocument/2006/relationships" ref="F123" display="https://pgy.xiaohongshu.com/solar/pre-trade/blogger-detail/59f7c9734eacab1f46d7e41b?track_id=kolMatch_dd81364721dc437dacbeab67bc7a18f7&amp;source=Advertiser_Kol" r:id="rId233"/>
    <hyperlink xmlns:r="http://schemas.openxmlformats.org/officeDocument/2006/relationships" ref="G123" display="https://www.xiaohongshu.com/user/profile/59f7c9734eacab1f46d7e41b" r:id="rId234"/>
    <hyperlink xmlns:r="http://schemas.openxmlformats.org/officeDocument/2006/relationships" ref="F124" display="https://pgy.xiaohongshu.com/solar/pre-trade/blogger-detail/5cbc0702000000001102c42d?track_id=kolMatch_dfbd61a4df554795baa378b4a3ae964e&amp;source=Advertiser_Kol" r:id="rId235"/>
    <hyperlink xmlns:r="http://schemas.openxmlformats.org/officeDocument/2006/relationships" ref="G124" display="https://www.xiaohongshu.com/user/profile/5cbc0702000000001102c42d" r:id="rId236"/>
    <hyperlink xmlns:r="http://schemas.openxmlformats.org/officeDocument/2006/relationships" ref="F125" display="https://pgy.xiaohongshu.com/solar/pre-trade/blogger-detail/56a2d674b8c8b4483a3be100?track_id=kolMatch_cd652a86f6424b98a6d71058578cd75e&amp;source=Advertiser_Kol" r:id="rId237"/>
    <hyperlink xmlns:r="http://schemas.openxmlformats.org/officeDocument/2006/relationships" ref="G125" display="https://www.xiaohongshu.com/user/profile/56a2d674b8c8b4483a3be100" r:id="rId238"/>
    <hyperlink xmlns:r="http://schemas.openxmlformats.org/officeDocument/2006/relationships" ref="F126" display="https://pgy.xiaohongshu.com/solar/pre-trade/blogger-detail/5996979f5e87e753213cf296?track_id=kolMatch_cd652a86f6424b98a6d71058578cd75e&amp;source=Advertiser_Kol" r:id="rId239"/>
    <hyperlink xmlns:r="http://schemas.openxmlformats.org/officeDocument/2006/relationships" ref="G126" display="https://www.xiaohongshu.com/user/profile/5996979f5e87e753213cf296" r:id="rId240"/>
    <hyperlink xmlns:r="http://schemas.openxmlformats.org/officeDocument/2006/relationships" ref="F127" display="https://pgy.xiaohongshu.com/solar/pre-trade/blogger-detail/5555f921e58d137afa22d7d5?track_id=kolMatch_6bf4b0f79f06426dbf17c79c265ed8da&amp;source=Advertiser_Kol" r:id="rId241"/>
    <hyperlink xmlns:r="http://schemas.openxmlformats.org/officeDocument/2006/relationships" ref="G127" display="https://www.xiaohongshu.com/user/profile/5555f921e58d137afa22d7d5" r:id="rId242"/>
    <hyperlink xmlns:r="http://schemas.openxmlformats.org/officeDocument/2006/relationships" ref="F128" display="https://pgy.xiaohongshu.com/solar/pre-trade/blogger-detail/672ae54a000000001d02c0af?track_id=kolSimilar_db54877342d74e699a23d291c229f810&amp;source=Advertiser_Similar_Kol" r:id="rId243"/>
    <hyperlink xmlns:r="http://schemas.openxmlformats.org/officeDocument/2006/relationships" ref="G128" display="https://www.xiaohongshu.com/user/profile/672ae54a000000001d02c0af" r:id="rId244"/>
    <hyperlink xmlns:r="http://schemas.openxmlformats.org/officeDocument/2006/relationships" ref="F129" display="https://pgy.xiaohongshu.com/solar/pre-trade/blogger-detail/6071877d0000000001002cfd?track_id=kolSimilar_5d190bf56ad5467396c3ea3be025631c&amp;source=Advertiser_Similar_Kol" r:id="rId245"/>
    <hyperlink xmlns:r="http://schemas.openxmlformats.org/officeDocument/2006/relationships" ref="G129" display="https://www.xiaohongshu.com/user/profile/6071877d0000000001002cfd" r:id="rId246"/>
    <hyperlink xmlns:r="http://schemas.openxmlformats.org/officeDocument/2006/relationships" ref="F130" display="https://pgy.xiaohongshu.com/solar/pre-trade/blogger-detail/5b7251e2ca2c92000186323d?track_id=kolSimilar_5f73b095e529472bad1372d932c1f860&amp;source=Advertiser_Similar_Kol" r:id="rId247"/>
    <hyperlink xmlns:r="http://schemas.openxmlformats.org/officeDocument/2006/relationships" ref="G130" display="https://www.xiaohongshu.com/user/profile/5b7251e2ca2c92000186323d" r:id="rId248"/>
    <hyperlink xmlns:r="http://schemas.openxmlformats.org/officeDocument/2006/relationships" ref="F131" display="https://pgy.xiaohongshu.com/solar/pre-trade/blogger-detail/59f2dc5b11be1063dc1ada8f?track_id=kolSimilar_e8c332d6478245f59fa0ae222865783e&amp;source=Advertiser_Similar_Kol" r:id="rId249"/>
    <hyperlink xmlns:r="http://schemas.openxmlformats.org/officeDocument/2006/relationships" ref="G131" display="https://www.xiaohongshu.com/user/profile/59f2dc5b11be1063dc1ada8f" r:id="rId250"/>
    <hyperlink xmlns:r="http://schemas.openxmlformats.org/officeDocument/2006/relationships" ref="F132" display="https://pgy.xiaohongshu.com/solar/pre-trade/blogger-detail/5dc2e5ad000000000100ab6e?track_id=kolSimilar_e8c332d6478245f59fa0ae222865783e&amp;source=Advertiser_Similar_Kol" r:id="rId251"/>
    <hyperlink xmlns:r="http://schemas.openxmlformats.org/officeDocument/2006/relationships" ref="G132" display="https://www.xiaohongshu.com/user/profile/5dc2e5ad000000000100ab6e" r:id="rId252"/>
    <hyperlink xmlns:r="http://schemas.openxmlformats.org/officeDocument/2006/relationships" ref="F133" display="https://pgy.xiaohongshu.com/solar/pre-trade/blogger-detail/5dd60dce00000000010078bd?track_id=kolSimilar_e8c332d6478245f59fa0ae222865783e&amp;source=Advertiser_Similar_Kol" r:id="rId253"/>
    <hyperlink xmlns:r="http://schemas.openxmlformats.org/officeDocument/2006/relationships" ref="G133" display="https://www.xiaohongshu.com/user/profile/5dd60dce00000000010078bd" r:id="rId254"/>
    <hyperlink xmlns:r="http://schemas.openxmlformats.org/officeDocument/2006/relationships" ref="F134" display="https://pgy.xiaohongshu.com/solar/pre-trade/blogger-detail/5e527c4f0000000001000728?track_id=kolSimilar_e8c332d6478245f59fa0ae222865783e&amp;source=Advertiser_Similar_Kol" r:id="rId255"/>
    <hyperlink xmlns:r="http://schemas.openxmlformats.org/officeDocument/2006/relationships" ref="G134" display="https://www.xiaohongshu.com/user/profile/5e527c4f0000000001000728" r:id="rId256"/>
    <hyperlink xmlns:r="http://schemas.openxmlformats.org/officeDocument/2006/relationships" ref="F135" display="https://pgy.xiaohongshu.com/solar/pre-trade/blogger-detail/5bd3b8fd3b7be400017da80a?track_id=kolMatch_46185070b1a74e0d9519af7e57d906f1&amp;source=Advertiser_Kol" r:id="rId257"/>
    <hyperlink xmlns:r="http://schemas.openxmlformats.org/officeDocument/2006/relationships" ref="G135" display="https://www.xiaohongshu.com/user/profile/5bd3b8fd3b7be400017da80a" r:id="rId258"/>
    <hyperlink xmlns:r="http://schemas.openxmlformats.org/officeDocument/2006/relationships" ref="F136" display="https://pgy.xiaohongshu.com/solar/pre-trade/blogger-detail/5b7d938ff7e8b91830d7d905?track_id=kolMatch_fcf260738f3e4cce8a78064f885972a7&amp;source=Advertiser_Kol" r:id="rId259"/>
    <hyperlink xmlns:r="http://schemas.openxmlformats.org/officeDocument/2006/relationships" ref="G136" display="https://www.xiaohongshu.com/user/profile/5b7d938ff7e8b91830d7d905" r:id="rId260"/>
    <hyperlink xmlns:r="http://schemas.openxmlformats.org/officeDocument/2006/relationships" ref="F137" display="https://pgy.xiaohongshu.com/solar/pre-trade/blogger-detail/6226b2f70000000010006a9e?track_id=kolSimilar_01891343d6464fce89686f8cfa133b71&amp;source=Advertiser_Similar_Kol" r:id="rId261"/>
    <hyperlink xmlns:r="http://schemas.openxmlformats.org/officeDocument/2006/relationships" ref="G137" display="https://www.xiaohongshu.com/user/profile/6226b2f70000000010006a9e" r:id="rId262"/>
    <hyperlink xmlns:r="http://schemas.openxmlformats.org/officeDocument/2006/relationships" ref="F138" display="https://pgy.xiaohongshu.com/solar/pre-trade/blogger-detail/5785b7476a6a6949e43cadf7?track_id=kolSimilar_01891343d6464fce89686f8cfa133b71&amp;source=Advertiser_Similar_Kol" r:id="rId263"/>
    <hyperlink xmlns:r="http://schemas.openxmlformats.org/officeDocument/2006/relationships" ref="G138" display="https://www.xiaohongshu.com/user/profile/5785b7476a6a6949e43cadf7" r:id="rId264"/>
    <hyperlink xmlns:r="http://schemas.openxmlformats.org/officeDocument/2006/relationships" ref="F139" display="https://pgy.xiaohongshu.com/solar/pre-trade/blogger-detail/580c8ab950c4b42ecfa8c528?track_id=kolSimilar_01182e2358884c70918589d054aca5a3&amp;source=Advertiser_Similar_Kol" r:id="rId265"/>
    <hyperlink xmlns:r="http://schemas.openxmlformats.org/officeDocument/2006/relationships" ref="G139" display="https://www.xiaohongshu.com/user/profile/580c8ab950c4b42ecfa8c528" r:id="rId266"/>
    <hyperlink xmlns:r="http://schemas.openxmlformats.org/officeDocument/2006/relationships" ref="F140" display="https://pgy.xiaohongshu.com/solar/pre-trade/blogger-detail/596f3bac50c4b47bd5929889?track_id=kolSimilar_4ad74dd65b224d40a6db321450ae0221&amp;source=Advertiser_Similar_Kol" r:id="rId267"/>
    <hyperlink xmlns:r="http://schemas.openxmlformats.org/officeDocument/2006/relationships" ref="G140" display="https://www.xiaohongshu.com/user/profile/596f3bac50c4b47bd5929889" r:id="rId268"/>
    <hyperlink xmlns:r="http://schemas.openxmlformats.org/officeDocument/2006/relationships" ref="F141" display="https://pgy.xiaohongshu.com/solar/pre-trade/blogger-detail/646a384d000000002a0096fb?track_id=kolSimilar_4ad74dd65b224d40a6db321450ae0221&amp;source=Advertiser_Similar_Kol" r:id="rId269"/>
    <hyperlink xmlns:r="http://schemas.openxmlformats.org/officeDocument/2006/relationships" ref="G141" display="https://www.xiaohongshu.com/user/profile/646a384d000000002a0096fb" r:id="rId270"/>
    <hyperlink xmlns:r="http://schemas.openxmlformats.org/officeDocument/2006/relationships" ref="F142" display="https://pgy.xiaohongshu.com/solar/pre-trade/blogger-detail/5aaa02a111be1077d0bb1918?track_id=kolSimilar_4ad74dd65b224d40a6db321450ae0221&amp;source=Advertiser_Similar_Kol" r:id="rId271"/>
    <hyperlink xmlns:r="http://schemas.openxmlformats.org/officeDocument/2006/relationships" ref="G142" display="https://www.xiaohongshu.com/user/profile/5aaa02a111be1077d0bb1918" r:id="rId272"/>
    <hyperlink xmlns:r="http://schemas.openxmlformats.org/officeDocument/2006/relationships" ref="F143" display="https://pgy.xiaohongshu.com/solar/pre-trade/blogger-detail/5b32165c6b58b70fbe7e7b6d?track_id=kolSimilar_8da705e98fb941b5a8756f2de03e4ef3&amp;source=Advertiser_Similar_Kol" r:id="rId273"/>
    <hyperlink xmlns:r="http://schemas.openxmlformats.org/officeDocument/2006/relationships" ref="G143" display="https://www.xiaohongshu.com/user/profile/5b32165c6b58b70fbe7e7b6d" r:id="rId274"/>
    <hyperlink xmlns:r="http://schemas.openxmlformats.org/officeDocument/2006/relationships" ref="F144" display="https://pgy.xiaohongshu.com/solar/pre-trade/blogger-detail/5561304d484fb60b407e1a11?track_id=kolSearch_3cd355e9fdce4768b2be229ccfce418a&amp;source=Advertiser_Kol" r:id="rId275"/>
    <hyperlink xmlns:r="http://schemas.openxmlformats.org/officeDocument/2006/relationships" ref="G144" display="https://www.xiaohongshu.com/user/profile/5561304d484fb60b407e1a11" r:id="rId276"/>
    <hyperlink xmlns:r="http://schemas.openxmlformats.org/officeDocument/2006/relationships" ref="F145" display="https://pgy.xiaohongshu.com/solar/pre-trade/blogger-detail/5a9bfbf511be1014b6161c55?track_id=kolSearch_dfa9b8ff17784a7eb40bfc30e656eaea&amp;source=Advertiser_Kol" r:id="rId277"/>
    <hyperlink xmlns:r="http://schemas.openxmlformats.org/officeDocument/2006/relationships" ref="G145" display="https://www.xiaohongshu.com/user/profile/5a9bfbf511be1014b6161c55" r:id="rId278"/>
    <hyperlink xmlns:r="http://schemas.openxmlformats.org/officeDocument/2006/relationships" ref="F147" display="https://pgy.xiaohongshu.com/solar/pre-trade/blogger-detail/5c5134740000000010023396?track_id=kolSimilar_66e6921dc20149d4af28b02438b7707c&amp;source=Advertiser_Similar_Kol" r:id="rId279"/>
    <hyperlink xmlns:r="http://schemas.openxmlformats.org/officeDocument/2006/relationships" ref="G147" display="https://www.xiaohongshu.com/user/profile/5c5134740000000010023396" r:id="rId280"/>
    <hyperlink xmlns:r="http://schemas.openxmlformats.org/officeDocument/2006/relationships" ref="F148" display="https://pgy.xiaohongshu.com/solar/pre-trade/blogger-detail/565695c082ec397dd628e540?track_id=kolSimilar_47cf4b7ef4f34b89a32f77ad8b2578f6&amp;source=Advertiser_Similar_Kol" r:id="rId281"/>
    <hyperlink xmlns:r="http://schemas.openxmlformats.org/officeDocument/2006/relationships" ref="G148" display="https://www.xiaohongshu.com/user/profile/565695c082ec397dd628e540" r:id="rId282"/>
    <hyperlink xmlns:r="http://schemas.openxmlformats.org/officeDocument/2006/relationships" ref="F149" display="https://pgy.xiaohongshu.com/solar/pre-trade/blogger-detail/5bbbe4d385e5bd000107c1ff?track_id=kolSimilar_47cf4b7ef4f34b89a32f77ad8b2578f6&amp;source=Advertiser_Similar_Kol" r:id="rId283"/>
    <hyperlink xmlns:r="http://schemas.openxmlformats.org/officeDocument/2006/relationships" ref="G149" display="https://www.xiaohongshu.com/user/profile/5bbbe4d385e5bd000107c1ff" r:id="rId284"/>
    <hyperlink xmlns:r="http://schemas.openxmlformats.org/officeDocument/2006/relationships" ref="F150" display="https://pgy.xiaohongshu.com/solar/pre-trade/blogger-detail/5edbafff00000000010078bf?track_id=kolSimilar_8f850d90b1214d71a43650135a1b56a8&amp;source=Advertiser_Similar_Kol" r:id="rId285"/>
    <hyperlink xmlns:r="http://schemas.openxmlformats.org/officeDocument/2006/relationships" ref="G150" display="https://www.xiaohongshu.com/user/profile/5edbafff00000000010078bf" r:id="rId286"/>
    <hyperlink xmlns:r="http://schemas.openxmlformats.org/officeDocument/2006/relationships" ref="F151" display="https://pgy.xiaohongshu.com/solar/pre-trade/blogger-detail/5aea846d11be1057a2ee99d6?track_id=kolSimilar_8f850d90b1214d71a43650135a1b56a8&amp;source=Advertiser_Similar_Kol" r:id="rId287"/>
    <hyperlink xmlns:r="http://schemas.openxmlformats.org/officeDocument/2006/relationships" ref="G151" display="https://www.xiaohongshu.com/user/profile/5aea846d11be1057a2ee99d6" r:id="rId288"/>
    <hyperlink xmlns:r="http://schemas.openxmlformats.org/officeDocument/2006/relationships" ref="F152" display="https://pgy.xiaohongshu.com/solar/pre-trade/blogger-detail/5e64df1b0000000001009497?track_id=kolSimilar_bee5fa4fde86446a8b9fb3f9d7cf6dc5&amp;source=Advertiser_Similar_Kol" r:id="rId289"/>
    <hyperlink xmlns:r="http://schemas.openxmlformats.org/officeDocument/2006/relationships" ref="G152" display="https://www.xiaohongshu.com/user/profile/5e64df1b0000000001009497" r:id="rId290"/>
    <hyperlink xmlns:r="http://schemas.openxmlformats.org/officeDocument/2006/relationships" ref="F153" display="https://pgy.xiaohongshu.com/solar/pre-trade/blogger-detail/63ed72130000000027029fae?track_id=kolSimilar_42db9fd3ec084363bb5f4ce55ff58473&amp;source=Advertiser_Similar_Kol" r:id="rId291"/>
    <hyperlink xmlns:r="http://schemas.openxmlformats.org/officeDocument/2006/relationships" ref="G153" display="https://www.xiaohongshu.com/user/profile/63ed72130000000027029fae" r:id="rId292"/>
    <hyperlink xmlns:r="http://schemas.openxmlformats.org/officeDocument/2006/relationships" ref="F154" display="https://pgy.xiaohongshu.com/solar/pre-trade/blogger-detail/583adb4aa9b2ed51aa65191d?track_id=kolSimilar_42db9fd3ec084363bb5f4ce55ff58473&amp;source=Advertiser_Similar_Kol" r:id="rId293"/>
    <hyperlink xmlns:r="http://schemas.openxmlformats.org/officeDocument/2006/relationships" ref="G154" display="https://www.xiaohongshu.com/user/profile/583adb4aa9b2ed51aa65191d" r:id="rId294"/>
    <hyperlink xmlns:r="http://schemas.openxmlformats.org/officeDocument/2006/relationships" ref="F155" display="https://pgy.xiaohongshu.com/solar/pre-trade/blogger-detail/575d35a882ec39517815875a?track_id=kolMatch_0f3148a6a7fa4700a7a27fd91c5278c8&amp;source=Advertiser_Kol" r:id="rId295"/>
    <hyperlink xmlns:r="http://schemas.openxmlformats.org/officeDocument/2006/relationships" ref="G155" display="https://www.xiaohongshu.com/user/profile/575d35a882ec39517815875a" r:id="rId296"/>
    <hyperlink xmlns:r="http://schemas.openxmlformats.org/officeDocument/2006/relationships" ref="F156" display="https://pgy.xiaohongshu.com/solar/pre-trade/blogger-detail/59d8524151783a10751b30bd?track_id=kolMatch_3687438110cb47e394ac6fddd2e15179&amp;source=Advertiser_Kol" r:id="rId297"/>
    <hyperlink xmlns:r="http://schemas.openxmlformats.org/officeDocument/2006/relationships" ref="G156" display="https://www.xiaohongshu.com/user/profile/59d8524151783a10751b30bd" r:id="rId298"/>
    <hyperlink xmlns:r="http://schemas.openxmlformats.org/officeDocument/2006/relationships" ref="F157" display="https://pgy.xiaohongshu.com/solar/pre-trade/blogger-detail/593a2ee150c4b43d1ac386c8?track_id=kolMatch_ae6c2089f61d4cf89a92fb460f95e76a&amp;source=Advertiser_Kol" r:id="rId299"/>
    <hyperlink xmlns:r="http://schemas.openxmlformats.org/officeDocument/2006/relationships" ref="G157" display="https://www.xiaohongshu.com/user/profile/593a2ee150c4b43d1ac386c8" r:id="rId300"/>
    <hyperlink xmlns:r="http://schemas.openxmlformats.org/officeDocument/2006/relationships" ref="F158" display="https://pgy.xiaohongshu.com/solar/pre-trade/blogger-detail/59667ee250c4b41b0f456ffc?track_id=kolSimilar_3800a724e2c64cf8b7e479c58d0e23db&amp;source=Advertiser_Similar_Kol" r:id="rId301"/>
    <hyperlink xmlns:r="http://schemas.openxmlformats.org/officeDocument/2006/relationships" ref="G158" display="https://www.xiaohongshu.com/user/profile/59667ee250c4b41b0f456ffc" r:id="rId302"/>
    <hyperlink xmlns:r="http://schemas.openxmlformats.org/officeDocument/2006/relationships" ref="F159" display="https://pgy.xiaohongshu.com/solar/pre-trade/blogger-detail/575d786a346094605daa58b1?track_id=kolGeneralSearch_054180064e75425cae0e02a54d81d701&amp;source=Advertiser_Kol" r:id="rId303"/>
    <hyperlink xmlns:r="http://schemas.openxmlformats.org/officeDocument/2006/relationships" ref="G159" display=" https://www.xiaohongshu.com/user/profile/575d786a346094605daa58b1" r:id="rId304"/>
    <hyperlink xmlns:r="http://schemas.openxmlformats.org/officeDocument/2006/relationships" ref="F160" display="https://pgy.xiaohongshu.com/solar/pre-trade/blogger-detail/6208c0800000000021025b08?track_id=kolGeneralSearch_60dc0d22790240e69b6f3660c6b18b97&amp;source=Advertiser_Kol" r:id="rId305"/>
    <hyperlink xmlns:r="http://schemas.openxmlformats.org/officeDocument/2006/relationships" ref="G160" display="https://www.xiaohongshu.com/user/profile/6208c0800000000021025b08" r:id="rId306"/>
    <hyperlink xmlns:r="http://schemas.openxmlformats.org/officeDocument/2006/relationships" ref="F162" display="https://pgy.xiaohongshu.com/solar/pre-trade/blogger-detail/5882f5af50c4b428f9d1e013?track_id=kolSimilar_cf3e362e9fb74cdf84d5f3b44d1a4bb8&amp;source=Advertiser_Similar_Kol" r:id="rId307"/>
    <hyperlink xmlns:r="http://schemas.openxmlformats.org/officeDocument/2006/relationships" ref="G162" display="https://www.xiaohongshu.com/user/profile/5882f5af50c4b428f9d1e013" r:id="rId308"/>
    <hyperlink xmlns:r="http://schemas.openxmlformats.org/officeDocument/2006/relationships" ref="F163" display="https://pgy.xiaohongshu.com/solar/pre-trade/blogger-detail/551cc0e0d39ea22190ce8027?track_id=kolSimilar_a99de8c6c1de40d4a013bedc61458a8e&amp;source=Advertiser_Similar_Kol" r:id="rId309"/>
    <hyperlink xmlns:r="http://schemas.openxmlformats.org/officeDocument/2006/relationships" ref="G163" display="https://www.xiaohongshu.com/user/profile/551cc0e0d39ea22190ce8027" r:id="rId310"/>
    <hyperlink xmlns:r="http://schemas.openxmlformats.org/officeDocument/2006/relationships" ref="F164" display="https://pgy.xiaohongshu.com/solar/pre-trade/blogger-detail/639aee9000000000260132ee?track_id=kolSearch_aacd39d4d58f42b4aede6bba9be96f28&amp;source=Advertiser_Kol" r:id="rId311"/>
    <hyperlink xmlns:r="http://schemas.openxmlformats.org/officeDocument/2006/relationships" ref="G164" display="https://www.xiaohongshu.com/user/profile/639aee9000000000260132ee" r:id="rId312"/>
    <hyperlink xmlns:r="http://schemas.openxmlformats.org/officeDocument/2006/relationships" ref="F165" display="https://pgy.xiaohongshu.com/solar/pre-trade/blogger-detail/578893593460945daf7c0a1a?track_id=kolSimilar_87f2fee2583e429e9d590d445475e648&amp;source=Advertiser_Similar_Kol" r:id="rId313"/>
    <hyperlink xmlns:r="http://schemas.openxmlformats.org/officeDocument/2006/relationships" ref="G165" display="https://www.xiaohongshu.com/user/profile/578893593460945daf7c0a1a" r:id="rId314"/>
    <hyperlink xmlns:r="http://schemas.openxmlformats.org/officeDocument/2006/relationships" ref="F166" display="https://pgy.xiaohongshu.com/solar/pre-trade/blogger-detail/5646884c44760813a6f99134?track_id=kolSimilar_87f2fee2583e429e9d590d445475e648&amp;source=Advertiser_Similar_Kol" r:id="rId315"/>
    <hyperlink xmlns:r="http://schemas.openxmlformats.org/officeDocument/2006/relationships" ref="G166" display="https://www.xiaohongshu.com/user/profile/5646884c44760813a6f99134" r:id="rId316"/>
    <hyperlink xmlns:r="http://schemas.openxmlformats.org/officeDocument/2006/relationships" ref="F167" display="https://pgy.xiaohongshu.com/solar/pre-trade/blogger-detail/5b61dc626b58b70a0b11cc6a?track_id=kolSimilar_87f2fee2583e429e9d590d445475e648&amp;source=Advertiser_Similar_Kol" r:id="rId317"/>
    <hyperlink xmlns:r="http://schemas.openxmlformats.org/officeDocument/2006/relationships" ref="G167" display="https://www.xiaohongshu.com/user/profile/5b61dc626b58b70a0b11cc6a" r:id="rId318"/>
    <hyperlink xmlns:r="http://schemas.openxmlformats.org/officeDocument/2006/relationships" ref="F168" display="https://pgy.xiaohongshu.com/solar/pre-trade/blogger-detail/61f5456e000000001000ab46?track_id=kolSimilar_5565f9b7979d4b10a1678f49cc1ad4b6&amp;source=Advertiser_Similar_Kol" r:id="rId319"/>
    <hyperlink xmlns:r="http://schemas.openxmlformats.org/officeDocument/2006/relationships" ref="G168" display="https://www.xiaohongshu.com/user/profile/61f5456e000000001000ab46" r:id="rId320"/>
    <hyperlink xmlns:r="http://schemas.openxmlformats.org/officeDocument/2006/relationships" ref="F169" display="https://pgy.xiaohongshu.com/solar/pre-trade/blogger-detail/65eaece4000000000500e812?track_id=kolSimilar_434b4125cbe241f2bf1936dcb193740a&amp;source=Advertiser_Similar_Kol" r:id="rId321"/>
    <hyperlink xmlns:r="http://schemas.openxmlformats.org/officeDocument/2006/relationships" ref="G169" display="https://www.xiaohongshu.com/user/profile/65eaece4000000000500e812" r:id="rId322"/>
    <hyperlink xmlns:r="http://schemas.openxmlformats.org/officeDocument/2006/relationships" ref="F170" display="https://pgy.xiaohongshu.com/solar/pre-trade/blogger-detail/58c8c39e82ec3929f642c27f?track_id=kolSimilar_434b4125cbe241f2bf1936dcb193740a&amp;source=Advertiser_Similar_Kol" r:id="rId323"/>
    <hyperlink xmlns:r="http://schemas.openxmlformats.org/officeDocument/2006/relationships" ref="G170" display="https://www.xiaohongshu.com/user/profile/65eaece4000000000500e812" r:id="rId324"/>
    <hyperlink xmlns:r="http://schemas.openxmlformats.org/officeDocument/2006/relationships" ref="F171" display="https://pgy.xiaohongshu.com/solar/pre-trade/blogger-detail/5f8f3aa9000000000101f6b5?track_id=kolSimilar_434b4125cbe241f2bf1936dcb193740a&amp;source=Advertiser_Similar_Kol" r:id="rId325"/>
    <hyperlink xmlns:r="http://schemas.openxmlformats.org/officeDocument/2006/relationships" ref="G171" display="https://www.xiaohongshu.com/user/profile/5f8f3aa9000000000101f6b5" r:id="rId326"/>
    <hyperlink xmlns:r="http://schemas.openxmlformats.org/officeDocument/2006/relationships" ref="F172" display="https://pgy.xiaohongshu.com/solar/pre-trade/blogger-detail/59e1f438de5fb4138561df21?track_id=kolSimilar_434b4125cbe241f2bf1936dcb193740a&amp;source=Advertiser_Similar_Kol" r:id="rId327"/>
    <hyperlink xmlns:r="http://schemas.openxmlformats.org/officeDocument/2006/relationships" ref="G172" display="https://www.xiaohongshu.com/user/profile/59e1f438de5fb4138561df21" r:id="rId328"/>
    <hyperlink xmlns:r="http://schemas.openxmlformats.org/officeDocument/2006/relationships" ref="F173" display="https://pgy.xiaohongshu.com/solar/pre-trade/blogger-detail/60061dd10000000001007f48?track_id=kolSimilar_52942df15dae496598c33e622116b455&amp;source=Advertiser_Similar_Kol" r:id="rId329"/>
    <hyperlink xmlns:r="http://schemas.openxmlformats.org/officeDocument/2006/relationships" ref="G173" display="https://www.xiaohongshu.com/user/profile/60061dd10000000001007f48" r:id="rId330"/>
    <hyperlink xmlns:r="http://schemas.openxmlformats.org/officeDocument/2006/relationships" ref="F174" display="https://pgy.xiaohongshu.com/solar/pre-trade/blogger-detail/639d6fe2000000002702bcec?track_id=kolSimilar_52942df15dae496598c33e622116b455&amp;source=Advertiser_Similar_Kol" r:id="rId331"/>
    <hyperlink xmlns:r="http://schemas.openxmlformats.org/officeDocument/2006/relationships" ref="G174" display="https://www.xiaohongshu.com/user/profile/639d6fe2000000002702bcec" r:id="rId332"/>
    <hyperlink xmlns:r="http://schemas.openxmlformats.org/officeDocument/2006/relationships" ref="F175" display="https://pgy.xiaohongshu.com/solar/pre-trade/blogger-detail/5a017a8111be103c490e4c9f?track_id=kolSimilar_2dc4900947d846bfb8ee1f82527c7a0d&amp;source=Advertiser_Similar_Kol" r:id="rId333"/>
    <hyperlink xmlns:r="http://schemas.openxmlformats.org/officeDocument/2006/relationships" ref="G175" display="https://www.xiaohongshu.com/user/profile/5a017a8111be103c490e4c9f" r:id="rId334"/>
    <hyperlink xmlns:r="http://schemas.openxmlformats.org/officeDocument/2006/relationships" ref="F176" display="https://pgy.xiaohongshu.com/solar/pre-trade/blogger-detail/63c0c3640000000026011ff2?track_id=kolSimilar_2dc4900947d846bfb8ee1f82527c7a0d&amp;source=Advertiser_Similar_Kol" r:id="rId335"/>
    <hyperlink xmlns:r="http://schemas.openxmlformats.org/officeDocument/2006/relationships" ref="G176" display="https://www.xiaohongshu.com/user/profile/63c0c3640000000026011ff2" r:id="rId336"/>
    <hyperlink xmlns:r="http://schemas.openxmlformats.org/officeDocument/2006/relationships" ref="F177" display="https://pgy.xiaohongshu.com/solar/pre-trade/blogger-detail/57a4ca7f6a6a6947d6f82023?track_id=kolSimilar_37268d40e03c43f68a6342e8fc04e1ae&amp;source=Advertiser_Similar_Kol" r:id="rId337"/>
    <hyperlink xmlns:r="http://schemas.openxmlformats.org/officeDocument/2006/relationships" ref="G177" display="https://www.xiaohongshu.com/user/profile/57a4ca7f6a6a6947d6f82023" r:id="rId338"/>
    <hyperlink xmlns:r="http://schemas.openxmlformats.org/officeDocument/2006/relationships" ref="F178" display="https://pgy.xiaohongshu.com/solar/pre-trade/blogger-detail/5e78841e000000000100bb84?track_id=kolSimilar_5d6c3909eefd474f8564320314dc9c20&amp;source=Advertiser_Similar_Kol" r:id="rId339"/>
    <hyperlink xmlns:r="http://schemas.openxmlformats.org/officeDocument/2006/relationships" ref="G178" display="https://www.xiaohongshu.com/user/profile/5e78841e000000000100bb84" r:id="rId340"/>
    <hyperlink xmlns:r="http://schemas.openxmlformats.org/officeDocument/2006/relationships" ref="F179" display="https://pgy.xiaohongshu.com/solar/pre-trade/blogger-detail/583bdfc150c4b44e6536218d?track_id=kolSimilar_5d6c3909eefd474f8564320314dc9c20&amp;source=Advertiser_Similar_Kol" r:id="rId341"/>
    <hyperlink xmlns:r="http://schemas.openxmlformats.org/officeDocument/2006/relationships" ref="G179" display="https://www.xiaohongshu.com/user/profile/583bdfc150c4b44e6536218d" r:id="rId342"/>
    <hyperlink xmlns:r="http://schemas.openxmlformats.org/officeDocument/2006/relationships" ref="F180" display="https://pgy.xiaohongshu.com/solar/pre-trade/blogger-detail/5b039e514eacab5c69e75132?track_id=kolSimilar_ee240ed23d6f483c901224db3d45d306&amp;source=Advertiser_Similar_Kol" r:id="rId343"/>
    <hyperlink xmlns:r="http://schemas.openxmlformats.org/officeDocument/2006/relationships" ref="G180" display="https://www.xiaohongshu.com/user/profile/5b039e514eacab5c69e75132" r:id="rId344"/>
    <hyperlink xmlns:r="http://schemas.openxmlformats.org/officeDocument/2006/relationships" ref="F181" display="https://pgy.xiaohongshu.com/solar/pre-trade/blogger-detail/596cbf0482ec396ddbd47926?track_id=kolSimilar_ee240ed23d6f483c901224db3d45d306&amp;source=Advertiser_Similar_Kol" r:id="rId345"/>
    <hyperlink xmlns:r="http://schemas.openxmlformats.org/officeDocument/2006/relationships" ref="G181" display="https://www.xiaohongshu.com/user/profile/596cbf0482ec396ddbd47926" r:id="rId346"/>
    <hyperlink xmlns:r="http://schemas.openxmlformats.org/officeDocument/2006/relationships" ref="F183" display="https://pgy.xiaohongshu.com/solar/pre-trade/blogger-detail/5d3832c9000000001102c6f9?track_id=kolMatch_fdb844e06a244a5c8eeeea54406b4840&amp;source=Advertiser_Kol" r:id="rId347"/>
    <hyperlink xmlns:r="http://schemas.openxmlformats.org/officeDocument/2006/relationships" ref="G183" display="https://www.xiaohongshu.com/user/profile/5d3832c9000000001102c6f9" r:id="rId348"/>
    <hyperlink xmlns:r="http://schemas.openxmlformats.org/officeDocument/2006/relationships" ref="F184" display="https://pgy.xiaohongshu.com/solar/pre-trade/blogger-detail/607544bf000000000100385c?track_id=kolMatch_fdb844e06a244a5c8eeeea54406b4840&amp;source=Advertiser_Kol" r:id="rId349"/>
    <hyperlink xmlns:r="http://schemas.openxmlformats.org/officeDocument/2006/relationships" ref="G184" display="https://www.xiaohongshu.com/user/profile/607544bf000000000100385c" r:id="rId350"/>
    <hyperlink xmlns:r="http://schemas.openxmlformats.org/officeDocument/2006/relationships" ref="F185" display="https://pgy.xiaohongshu.com/solar/pre-trade/blogger-detail/60053a66000000000100b146?track_id=kolMatch_fdb844e06a244a5c8eeeea54406b4840&amp;source=Advertiser_Kol" r:id="rId351"/>
    <hyperlink xmlns:r="http://schemas.openxmlformats.org/officeDocument/2006/relationships" ref="G185" display="https://www.xiaohongshu.com/user/profile/60053a66000000000100b146" r:id="rId352"/>
    <hyperlink xmlns:r="http://schemas.openxmlformats.org/officeDocument/2006/relationships" ref="F186" display="https://pgy.xiaohongshu.com/solar/pre-trade/blogger-detail/651fede3000000002302512b?track_id=kolMatch_fdb844e06a244a5c8eeeea54406b4840&amp;source=Advertiser_Kol" r:id="rId353"/>
    <hyperlink xmlns:r="http://schemas.openxmlformats.org/officeDocument/2006/relationships" ref="G186" display="https://www.xiaohongshu.com/user/profile/651fede3000000002302512b" r:id="rId354"/>
    <hyperlink xmlns:r="http://schemas.openxmlformats.org/officeDocument/2006/relationships" ref="F187" display="https://pgy.xiaohongshu.com/solar/pre-trade/blogger-detail/5a78f60f11be1036f49b3a9c?track_id=kolMatch_a9479604e4ea49289dbb68450c585a5d&amp;source=Advertiser_Kol" r:id="rId355"/>
    <hyperlink xmlns:r="http://schemas.openxmlformats.org/officeDocument/2006/relationships" ref="G187" display="https://www.xiaohongshu.com/user/profile/5a78f60f11be1036f49b3a9c" r:id="rId356"/>
    <hyperlink xmlns:r="http://schemas.openxmlformats.org/officeDocument/2006/relationships" ref="F188" display="https://pgy.xiaohongshu.com/solar/pre-trade/blogger-detail/5ab9d78211be104a5b479602?track_id=kolMatch_a9479604e4ea49289dbb68450c585a5d&amp;source=Advertiser_Kol" r:id="rId357"/>
    <hyperlink xmlns:r="http://schemas.openxmlformats.org/officeDocument/2006/relationships" ref="G188" display="https://www.xiaohongshu.com/user/profile/5ab9d78211be104a5b479602" r:id="rId358"/>
    <hyperlink xmlns:r="http://schemas.openxmlformats.org/officeDocument/2006/relationships" ref="F189" display="https://pgy.xiaohongshu.com/solar/pre-trade/blogger-detail/5efded3000000000010008e4?track_id=kolMatch_a9479604e4ea49289dbb68450c585a5d&amp;source=Advertiser_Kol" r:id="rId359"/>
    <hyperlink xmlns:r="http://schemas.openxmlformats.org/officeDocument/2006/relationships" ref="G189" display="https://www.xiaohongshu.com/user/profile/5efded3000000000010008e4" r:id="rId360"/>
    <hyperlink xmlns:r="http://schemas.openxmlformats.org/officeDocument/2006/relationships" ref="F190" display="https://pgy.xiaohongshu.com/solar/pre-trade/blogger-detail/5c530a34000000001b016497?track_id=kolMatch_40cd66ad6c4b4d1b97e0d14dfd9f237d&amp;source=Advertiser_Kol" r:id="rId361"/>
    <hyperlink xmlns:r="http://schemas.openxmlformats.org/officeDocument/2006/relationships" ref="G190" display="https://www.xiaohongshu.com/user/profile/5c530a34000000001b016497" r:id="rId362"/>
    <hyperlink xmlns:r="http://schemas.openxmlformats.org/officeDocument/2006/relationships" ref="F191" display="https://pgy.xiaohongshu.com/solar/pre-trade/blogger-detail/5a728a8b4eacab55f4389435?track_id=kolMatch_3379071a18274cdc8b2870e8c9afb12f&amp;source=Advertiser_Kol" r:id="rId363"/>
    <hyperlink xmlns:r="http://schemas.openxmlformats.org/officeDocument/2006/relationships" ref="G191" display="https://www.xiaohongshu.com/user/profile/5a728a8b4eacab55f4389435" r:id="rId364"/>
    <hyperlink xmlns:r="http://schemas.openxmlformats.org/officeDocument/2006/relationships" ref="F192" display="https://pgy.xiaohongshu.com/solar/pre-trade/blogger-detail/6633818a0000000003033423?track_id=kolMatch_46fe864742064ddbb1a659210da654ae&amp;source=Advertiser_Kol" r:id="rId365"/>
    <hyperlink xmlns:r="http://schemas.openxmlformats.org/officeDocument/2006/relationships" ref="G192" display="https://www.xiaohongshu.com/user/profile/6633818a0000000003033423" r:id="rId366"/>
    <hyperlink xmlns:r="http://schemas.openxmlformats.org/officeDocument/2006/relationships" ref="F193" display="https://pgy.xiaohongshu.com/solar/pre-trade/blogger-detail/59e027976eea881c2e59e726?track_id=kolMatch_46fe864742064ddbb1a659210da654ae&amp;source=Advertiser_Kol" r:id="rId367"/>
    <hyperlink xmlns:r="http://schemas.openxmlformats.org/officeDocument/2006/relationships" ref="G193" display="https://www.xiaohongshu.com/user/profile/59e027976eea881c2e59e726" r:id="rId368"/>
    <hyperlink xmlns:r="http://schemas.openxmlformats.org/officeDocument/2006/relationships" ref="F194" display="https://pgy.xiaohongshu.com/solar/pre-trade/blogger-detail/591b383982ec392dc12df06a?track_id=kolMatch_46fe864742064ddbb1a659210da654ae&amp;source=Advertiser_Kol" r:id="rId369"/>
    <hyperlink xmlns:r="http://schemas.openxmlformats.org/officeDocument/2006/relationships" ref="G194" display="https://www.xiaohongshu.com/user/profile/591b383982ec392dc12df06a" r:id="rId370"/>
    <hyperlink xmlns:r="http://schemas.openxmlformats.org/officeDocument/2006/relationships" ref="F195" display="https://pgy.xiaohongshu.com/solar/pre-trade/blogger-detail/5c73e09c000000001000f675?track_id=kolMatch_46fe864742064ddbb1a659210da654ae&amp;source=Advertiser_Kol" r:id="rId371"/>
    <hyperlink xmlns:r="http://schemas.openxmlformats.org/officeDocument/2006/relationships" ref="G195" display="https://www.xiaohongshu.com/user/profile/5c73e09c000000001000f675" r:id="rId372"/>
    <hyperlink xmlns:r="http://schemas.openxmlformats.org/officeDocument/2006/relationships" ref="F196" display="https://pgy.xiaohongshu.com/solar/pre-trade/blogger-detail/672b1c1f000000001d02f480?track_id=kolMatch_bb78f6a8c2f84a72afebd917afab609b&amp;source=Advertiser_Kol" r:id="rId373"/>
    <hyperlink xmlns:r="http://schemas.openxmlformats.org/officeDocument/2006/relationships" ref="G196" display="https://www.xiaohongshu.com/user/profile/672b1c1f000000001d02f480" r:id="rId374"/>
    <hyperlink xmlns:r="http://schemas.openxmlformats.org/officeDocument/2006/relationships" ref="F197" display="https://pgy.xiaohongshu.com/solar/pre-trade/blogger-detail/5f92de7e000000000101e7fe?track_id=kolMatch_bb78f6a8c2f84a72afebd917afab609b&amp;source=Advertiser_Kol" r:id="rId375"/>
    <hyperlink xmlns:r="http://schemas.openxmlformats.org/officeDocument/2006/relationships" ref="G197" display="https://www.xiaohongshu.com/user/profile/5f92de7e000000000101e7fe" r:id="rId376"/>
    <hyperlink xmlns:r="http://schemas.openxmlformats.org/officeDocument/2006/relationships" ref="F198" display="https://pgy.xiaohongshu.com/solar/pre-trade/blogger-detail/5ade03f34eacab2ecdbedb82?track_id=kolMatch_abc92dfd537549259c52ff8cd9edfb4b&amp;source=Advertiser_Kol" r:id="rId377"/>
    <hyperlink xmlns:r="http://schemas.openxmlformats.org/officeDocument/2006/relationships" ref="G198" display="https://www.xiaohongshu.com/user/profile/5ade03f34eacab2ecdbedb82" r:id="rId378"/>
    <hyperlink xmlns:r="http://schemas.openxmlformats.org/officeDocument/2006/relationships" ref="F199" display="https://pgy.xiaohongshu.com/solar/pre-trade/blogger-detail/5b324990e8ac2b476dc5f459?track_id=kolMatch_abc92dfd537549259c52ff8cd9edfb4b&amp;source=Advertiser_Kol" r:id="rId379"/>
    <hyperlink xmlns:r="http://schemas.openxmlformats.org/officeDocument/2006/relationships" ref="G199" display="https://www.xiaohongshu.com/user/profile/5b324990e8ac2b476dc5f459" r:id="rId380"/>
    <hyperlink xmlns:r="http://schemas.openxmlformats.org/officeDocument/2006/relationships" ref="F200" display="https://pgy.xiaohongshu.com/solar/pre-trade/blogger-detail/5fae8b090000000001003092?track_id=kolMatch_1bf7af07d3cc4d45b6e9959981f2ccf8&amp;source=Advertiser_Kol" r:id="rId381"/>
    <hyperlink xmlns:r="http://schemas.openxmlformats.org/officeDocument/2006/relationships" ref="G200" display="https://www.xiaohongshu.com/user/profile/5fae8b090000000001003092" r:id="rId382"/>
    <hyperlink xmlns:r="http://schemas.openxmlformats.org/officeDocument/2006/relationships" ref="F201" display="https://pgy.xiaohongshu.com/solar/pre-trade/blogger-detail/5b86542a331e3000017cd7e1?track_id=kolMatch_fd5dc0b254194ddf9981ca4308ccea75&amp;source=Advertiser_Kol" r:id="rId383"/>
    <hyperlink xmlns:r="http://schemas.openxmlformats.org/officeDocument/2006/relationships" ref="G201" display="https://www.xiaohongshu.com/user/profile/5b86542a331e3000017cd7e1" r:id="rId384"/>
    <hyperlink xmlns:r="http://schemas.openxmlformats.org/officeDocument/2006/relationships" ref="F202" display="https://pgy.xiaohongshu.com/solar/pre-trade/blogger-detail/564e8034a40e18356b5bcf61?track_id=kolMatch_fe3e470d0e4a4b6a98af341fddff6c66&amp;source=Advertiser_Kol" r:id="rId385"/>
    <hyperlink xmlns:r="http://schemas.openxmlformats.org/officeDocument/2006/relationships" ref="G202" display="https://www.xiaohongshu.com/user/profile/564e8034a40e18356b5bcf61" r:id="rId386"/>
    <hyperlink xmlns:r="http://schemas.openxmlformats.org/officeDocument/2006/relationships" ref="F204" display="https://pgy.xiaohongshu.com/solar/pre-trade/blogger-detail/5c08b651000000000700f4e0?track_id=kolMatch_eec1ca0761ff446ab53583a2fdb0e4b0&amp;source=Advertiser_Kol" r:id="rId387"/>
    <hyperlink xmlns:r="http://schemas.openxmlformats.org/officeDocument/2006/relationships" ref="G204" display="https://www.xiaohongshu.com/user/profile/5c08b651000000000700f4e0" r:id="rId388"/>
    <hyperlink xmlns:r="http://schemas.openxmlformats.org/officeDocument/2006/relationships" ref="F205" display="https://pgy.xiaohongshu.com/solar/pre-trade/blogger-detail/590043de50c4b428effa91e0?track_id=kolMatch_7b7c2b3b4757440c87675823077c032c&amp;source=Advertiser_Kol" r:id="rId389"/>
    <hyperlink xmlns:r="http://schemas.openxmlformats.org/officeDocument/2006/relationships" ref="G205" display="https://www.xiaohongshu.com/user/profile/590043de50c4b428effa91e0" r:id="rId390"/>
    <hyperlink xmlns:r="http://schemas.openxmlformats.org/officeDocument/2006/relationships" ref="F206" display="https://pgy.xiaohongshu.com/solar/pre-trade/blogger-detail/56a4b5f61c07df3347b9fb83?track_id=kolSimilar_ac63ea3e75e040bf9bb3d28ef1decef5&amp;source=Advertiser_Similar_Kol" r:id="rId391"/>
    <hyperlink xmlns:r="http://schemas.openxmlformats.org/officeDocument/2006/relationships" ref="G206" display="https://www.xiaohongshu.com/user/profile/56a4b5f61c07df3347b9fb83" r:id="rId392"/>
    <hyperlink xmlns:r="http://schemas.openxmlformats.org/officeDocument/2006/relationships" ref="F207" display="https://pgy.xiaohongshu.com/solar/pre-trade/blogger-detail/647c3958000000000f0061aa?track_id=kolSimilar_3f22f5cf5ff1495cbda860b05232bf56&amp;source=Advertiser_Similar_Kol" r:id="rId393"/>
    <hyperlink xmlns:r="http://schemas.openxmlformats.org/officeDocument/2006/relationships" ref="G207" display="https://www.xiaohongshu.com/user/profile/647c3958000000000f0061aa" r:id="rId394"/>
    <hyperlink xmlns:r="http://schemas.openxmlformats.org/officeDocument/2006/relationships" ref="F208" display="https://pgy.xiaohongshu.com/solar/pre-trade/blogger-detail/552a0b759c5a6e4dc7df52a2?track_id=kolGeneralSearch_00c311a775f94615b3fbfb609028c7b3&amp;source=Advertiser_Kol" r:id="rId395"/>
    <hyperlink xmlns:r="http://schemas.openxmlformats.org/officeDocument/2006/relationships" ref="G208" display=" https://www.xiaohongshu.com/user/profile/552a0b759c5a6e4dc7df52a2" r:id="rId396"/>
    <hyperlink xmlns:r="http://schemas.openxmlformats.org/officeDocument/2006/relationships" ref="F209" display="https://pgy.xiaohongshu.com/solar/pre-trade/blogger-detail/5d0da42c000000001200fce3?track_id=kolGeneralSearch_898220e5882741b39b65225f7342af41&amp;source=Advertiser_Kol" r:id="rId397"/>
    <hyperlink xmlns:r="http://schemas.openxmlformats.org/officeDocument/2006/relationships" ref="G209" display=" https://www.xiaohongshu.com/user/profile/5d0da42c000000001200fce3" r:id="rId398"/>
    <hyperlink xmlns:r="http://schemas.openxmlformats.org/officeDocument/2006/relationships" ref="F210" display="https://pgy.xiaohongshu.com/solar/pre-trade/blogger-detail/5e6c432b0000000001008fd0?track_id=kolMatch_7b7c2b3b4757440c87675823077c032c&amp;source=Advertiser_Kol" r:id="rId399"/>
    <hyperlink xmlns:r="http://schemas.openxmlformats.org/officeDocument/2006/relationships" ref="G210" display="https://www.xiaohongshu.com/user/profile/5e6c432b0000000001008fd0" r:id="rId400"/>
    <hyperlink xmlns:r="http://schemas.openxmlformats.org/officeDocument/2006/relationships" ref="F211" display="https://pgy.xiaohongshu.com/solar/pre-trade/blogger-detail/5ac03db2e8ac2b74a11fa261?track_id=kolMatch_7b7c2b3b4757440c87675823077c032c&amp;source=Advertiser_Kol" r:id="rId401"/>
    <hyperlink xmlns:r="http://schemas.openxmlformats.org/officeDocument/2006/relationships" ref="G211" display="https://www.xiaohongshu.com/user/profile/5ac03db2e8ac2b74a11fa261" r:id="rId402"/>
    <hyperlink xmlns:r="http://schemas.openxmlformats.org/officeDocument/2006/relationships" ref="F212" display="https://pgy.xiaohongshu.com/solar/pre-trade/blogger-detail/5c87b12a0000000011017ca9?track_id=kolMatch_5782abd733964a39adc92ed29b79704b&amp;source=Advertiser_Kol" r:id="rId403"/>
    <hyperlink xmlns:r="http://schemas.openxmlformats.org/officeDocument/2006/relationships" ref="G212" display="https://www.xiaohongshu.com/user/profile/5c87b12a0000000011017ca9" r:id="rId404"/>
    <hyperlink xmlns:r="http://schemas.openxmlformats.org/officeDocument/2006/relationships" ref="F213" display="https://pgy.xiaohongshu.com/solar/pre-trade/blogger-detail/5f07169800000000010045aa?track_id=kolMatch_0b41447102ef437a939ae61516ce945b&amp;source=Advertiser_Kol" r:id="rId405"/>
    <hyperlink xmlns:r="http://schemas.openxmlformats.org/officeDocument/2006/relationships" ref="G213" display="https://www.xiaohongshu.com/user/profile/5f07169800000000010045aa" r:id="rId406"/>
    <hyperlink xmlns:r="http://schemas.openxmlformats.org/officeDocument/2006/relationships" ref="F215" display="https://pgy.xiaohongshu.com/solar/pre-trade/blogger-detail/66265f6900000000070053c4?track_id=kolMatch_457d6baf52a4441bb734b73a6c5855e5&amp;source=Advertiser_Kol" r:id="rId407"/>
    <hyperlink xmlns:r="http://schemas.openxmlformats.org/officeDocument/2006/relationships" ref="G215" display="https://www.xiaohongshu.com/user/profile/66265f6900000000070053c4" r:id="rId408"/>
    <hyperlink xmlns:r="http://schemas.openxmlformats.org/officeDocument/2006/relationships" ref="F216" display="https://pgy.xiaohongshu.com/solar/pre-trade/blogger-detail/5861c9ef5e87e72566ed50c8?track_id=kolMatch_4c05e5ef58964c39a6418794f6a5d4d7&amp;source=Advertiser_Kol" r:id="rId409"/>
    <hyperlink xmlns:r="http://schemas.openxmlformats.org/officeDocument/2006/relationships" ref="G216" display="https://www.xiaohongshu.com/user/profile/5861c9ef5e87e72566ed50c8" r:id="rId410"/>
    <hyperlink xmlns:r="http://schemas.openxmlformats.org/officeDocument/2006/relationships" ref="F217" display="https://pgy.xiaohongshu.com/solar/pre-trade/blogger-detail/5c74ac850000000010030988?track_id=kolMatch_edea3bb4b6fd4ad099d2877bdff991cf&amp;source=Advertiser_Kol" r:id="rId411"/>
    <hyperlink xmlns:r="http://schemas.openxmlformats.org/officeDocument/2006/relationships" ref="G217" display="https://www.xiaohongshu.com/user/profile/5c74ac850000000010030988" r:id="rId412"/>
    <hyperlink xmlns:r="http://schemas.openxmlformats.org/officeDocument/2006/relationships" ref="F218" display="https://pgy.xiaohongshu.com/solar/pre-trade/blogger-detail/599a4a805e87e761d13cf2ba?track_id=kolMatch_7794a23a4b764c948cf43c5fc29e5d22&amp;source=Advertiser_Kol" r:id="rId413"/>
    <hyperlink xmlns:r="http://schemas.openxmlformats.org/officeDocument/2006/relationships" ref="G218" display="https://www.xiaohongshu.com/user/profile/599a4a805e87e761d13cf2ba" r:id="rId414"/>
    <hyperlink xmlns:r="http://schemas.openxmlformats.org/officeDocument/2006/relationships" ref="F219" display="https://pgy.xiaohongshu.com/solar/pre-trade/blogger-detail/685e6c7b000000001b023509?track_id=kolMatch_457d6baf52a4441bb734b73a6c5855e5&amp;source=Advertiser_Kol" r:id="rId415"/>
    <hyperlink xmlns:r="http://schemas.openxmlformats.org/officeDocument/2006/relationships" ref="G219" display="https://www.xiaohongshu.com/user/profile/685e6c7b000000001b023509" r:id="rId416"/>
    <hyperlink xmlns:r="http://schemas.openxmlformats.org/officeDocument/2006/relationships" ref="F220" display="https://pgy.xiaohongshu.com/solar/pre-trade/blogger-detail/66f4c025000000001d0228f8?track_id=kolMatch_edea3bb4b6fd4ad099d2877bdff991cf&amp;source=Advertiser_Kol" r:id="rId417"/>
    <hyperlink xmlns:r="http://schemas.openxmlformats.org/officeDocument/2006/relationships" ref="G220" display="https://www.xiaohongshu.com/user/profile/66f4c025000000001d0228f8" r:id="rId418"/>
    <hyperlink xmlns:r="http://schemas.openxmlformats.org/officeDocument/2006/relationships" ref="F221" display="https://pgy.xiaohongshu.com/solar/pre-trade/blogger-detail/5f89b527000000000101d549?track_id=kolMatch_a949334da5764b26aef731fec9acaa55&amp;source=Advertiser_Kol" r:id="rId419"/>
    <hyperlink xmlns:r="http://schemas.openxmlformats.org/officeDocument/2006/relationships" ref="G221" display="https://www.xiaohongshu.com/user/profile/5f89b527000000000101d549" r:id="rId420"/>
    <hyperlink xmlns:r="http://schemas.openxmlformats.org/officeDocument/2006/relationships" ref="F222" display="https://pgy.xiaohongshu.com/solar/pre-trade/blogger-detail/5eb6bf7d0000000001002541?track_id=kolSearch_7b44090721e346d3b949d6978bdc634e&amp;source=Advertiser_Kol" r:id="rId421"/>
    <hyperlink xmlns:r="http://schemas.openxmlformats.org/officeDocument/2006/relationships" ref="G222" display="https://www.xiaohongshu.com/user/profile/5eb6bf7d0000000001002541" r:id="rId422"/>
    <hyperlink xmlns:r="http://schemas.openxmlformats.org/officeDocument/2006/relationships" ref="F223" display="https://pgy.xiaohongshu.com/solar/pre-trade/blogger-detail/58d525d16a6a69726f126f21?track_id=kolSimilar_5d190bf56ad5467396c3ea3be025631c&amp;source=Advertiser_Similar_Kol" r:id="rId423"/>
    <hyperlink xmlns:r="http://schemas.openxmlformats.org/officeDocument/2006/relationships" ref="G223" display="https://www.xiaohongshu.com/user/profile/58d525d16a6a69726f126f21" r:id="rId424"/>
    <hyperlink xmlns:r="http://schemas.openxmlformats.org/officeDocument/2006/relationships" ref="F224" display="https://pgy.xiaohongshu.com/solar/pre-trade/blogger-detail/5cd43cf70000000017001b7c?track_id=kolMatch_4a14a0c60b4d4048bee7746d57d4b02f&amp;source=Advertiser_Kol" r:id="rId425"/>
    <hyperlink xmlns:r="http://schemas.openxmlformats.org/officeDocument/2006/relationships" ref="G224" display="https://www.xiaohongshu.com/user/profile/5cd43cf70000000017001b7c" r:id="rId426"/>
    <hyperlink xmlns:r="http://schemas.openxmlformats.org/officeDocument/2006/relationships" ref="F225" display="https://pgy.xiaohongshu.com/solar/pre-trade/blogger-detail/583cea8482ec3903834d1155?track_id=kolSimilar_35c093b598a244f48ec5156a972b031f&amp;source=Advertiser_Similar_Kol" r:id="rId427"/>
    <hyperlink xmlns:r="http://schemas.openxmlformats.org/officeDocument/2006/relationships" ref="G225" display="https://www.xiaohongshu.com/user/profile/583cea8482ec3903834d1155" r:id="rId428"/>
    <hyperlink xmlns:r="http://schemas.openxmlformats.org/officeDocument/2006/relationships" ref="F226" display="https://pgy.xiaohongshu.com/solar/pre-trade/blogger-detail/5bafaa483b41e50001d46a45?track_id=kolMatch_a31986b59d20486ca8aec09a079f6173&amp;source=Advertiser_Kol" r:id="rId429"/>
    <hyperlink xmlns:r="http://schemas.openxmlformats.org/officeDocument/2006/relationships" ref="G226" display="https://www.xiaohongshu.com/user/profile/5bafaa483b41e50001d46a45" r:id="rId430"/>
    <hyperlink xmlns:r="http://schemas.openxmlformats.org/officeDocument/2006/relationships" ref="F227" display="https://pgy.xiaohongshu.com/solar/pre-trade/blogger-detail/609e2264000000000101fc64?track_id=kolMatch_ee700f1397bf4b59b5de209dad8c032a&amp;source=Advertiser_Kol" r:id="rId431"/>
    <hyperlink xmlns:r="http://schemas.openxmlformats.org/officeDocument/2006/relationships" ref="G227" display="https://www.xiaohongshu.com/user/profile/609e2264000000000101fc64" r:id="rId432"/>
    <hyperlink xmlns:r="http://schemas.openxmlformats.org/officeDocument/2006/relationships" ref="F228" display="https://pgy.xiaohongshu.com/solar/pre-trade/blogger-detail/575df9de50c4b413a713745e?track_id=kolMatch_ee700f1397bf4b59b5de209dad8c032a&amp;source=Advertiser_Kol" r:id="rId433"/>
    <hyperlink xmlns:r="http://schemas.openxmlformats.org/officeDocument/2006/relationships" ref="G228" display="https://www.xiaohongshu.com/user/profile/575df9de50c4b413a713745e" r:id="rId434"/>
    <hyperlink xmlns:r="http://schemas.openxmlformats.org/officeDocument/2006/relationships" ref="F229" display="https://pgy.xiaohongshu.com/solar/pre-trade/blogger-detail/5faaaa090000000001001b6d?track_id=kolMatch_ee700f1397bf4b59b5de209dad8c032a&amp;source=Advertiser_Kol" r:id="rId435"/>
    <hyperlink xmlns:r="http://schemas.openxmlformats.org/officeDocument/2006/relationships" ref="G229" display="https://www.xiaohongshu.com/user/profile/5faaaa090000000001001b6d" r:id="rId436"/>
    <hyperlink xmlns:r="http://schemas.openxmlformats.org/officeDocument/2006/relationships" ref="F230" display="https://pgy.xiaohongshu.com/solar/pre-trade/blogger-detail/5bab065edffe0d0001a261d1?track_id=kolMatch_ee700f1397bf4b59b5de209dad8c032a&amp;source=Advertiser_Kol" r:id="rId437"/>
    <hyperlink xmlns:r="http://schemas.openxmlformats.org/officeDocument/2006/relationships" ref="G230" display="https://www.xiaohongshu.com/user/profile/5bab065edffe0d0001a261d1" r:id="rId438"/>
    <hyperlink xmlns:r="http://schemas.openxmlformats.org/officeDocument/2006/relationships" ref="F231" display="https://pgy.xiaohongshu.com/solar/pre-trade/blogger-detail/65991a2e000000002001d517?track_id=kolSearch_cb79df2bfde94042bc3c04de1d561667&amp;source=Advertiser_Kol" r:id="rId439"/>
    <hyperlink xmlns:r="http://schemas.openxmlformats.org/officeDocument/2006/relationships" ref="G231" display="https://www.xiaohongshu.com/user/profile/65991a2e000000002001d517" r:id="rId440"/>
    <hyperlink xmlns:r="http://schemas.openxmlformats.org/officeDocument/2006/relationships" ref="F232" display="https://pgy.xiaohongshu.com/solar/pre-trade/blogger-detail/555148acaf81470f28e94cfc?track_id=kolSimilar_074250501ec041a685fab27019a6be70&amp;source=Advertiser_Similar_Kol" r:id="rId441"/>
    <hyperlink xmlns:r="http://schemas.openxmlformats.org/officeDocument/2006/relationships" ref="G232" display="https://www.xiaohongshu.com/user/profile/555148acaf81470f28e94cfc" r:id="rId442"/>
    <hyperlink xmlns:r="http://schemas.openxmlformats.org/officeDocument/2006/relationships" ref="F233" display="https://pgy.xiaohongshu.com/solar/pre-trade/blogger-detail/5eb150a900000000010014c3?track_id=kolMatch_fef396a6860041b3857c27d7aca547f6&amp;source=Advertiser_Kol" r:id="rId443"/>
    <hyperlink xmlns:r="http://schemas.openxmlformats.org/officeDocument/2006/relationships" ref="G233" display="https://www.xiaohongshu.com/user/profile/5eb150a900000000010014c3" r:id="rId444"/>
    <hyperlink xmlns:r="http://schemas.openxmlformats.org/officeDocument/2006/relationships" ref="F234" display="https://pgy.xiaohongshu.com/solar/pre-trade/blogger-detail/5d6e1df100000000010090d8?track_id=kolMatch_d2e79d9186d3453e91c14e722548149d&amp;source=Advertiser_Kol" r:id="rId445"/>
    <hyperlink xmlns:r="http://schemas.openxmlformats.org/officeDocument/2006/relationships" ref="G234" display="https://www.xiaohongshu.com/user/profile/5d6e1df100000000010090d8" r:id="rId446"/>
    <hyperlink xmlns:r="http://schemas.openxmlformats.org/officeDocument/2006/relationships" ref="F236" display="https://pgy.xiaohongshu.com/solar/pre-trade/blogger-detail/6042f930000000000100253e?track_id=kolSimilar_a93b327146334007b66fa5d0ee6b6b59&amp;source=Advertiser_Similar_Kol" r:id="rId447"/>
    <hyperlink xmlns:r="http://schemas.openxmlformats.org/officeDocument/2006/relationships" ref="G236" display="https://www.xiaohongshu.com/user/profile/6042f930000000000100253e" r:id="rId448"/>
    <hyperlink xmlns:r="http://schemas.openxmlformats.org/officeDocument/2006/relationships" ref="F237" display="https://pgy.xiaohongshu.com/solar/pre-trade/blogger-detail/5e857ccc000000000100bea8?track_id=kolSimilar_97e5c0938dfd461180454a0152e9f136&amp;source=Advertiser_Similar_Kol" r:id="rId449"/>
    <hyperlink xmlns:r="http://schemas.openxmlformats.org/officeDocument/2006/relationships" ref="G237" display="https://www.xiaohongshu.com/user/profile/5e857ccc000000000100bea8" r:id="rId450"/>
    <hyperlink xmlns:r="http://schemas.openxmlformats.org/officeDocument/2006/relationships" ref="F238" display="https://pgy.xiaohongshu.com/solar/pre-trade/blogger-detail/6533eae10000000006004c8a?track_id=kolSimilar_9d1e24782ccf4cc593cb6bc3ce2c1ebb&amp;source=Advertiser_Similar_Kol" r:id="rId451"/>
    <hyperlink xmlns:r="http://schemas.openxmlformats.org/officeDocument/2006/relationships" ref="G238" display="https://www.xiaohongshu.com/user/profile/6533eae10000000006004c8a" r:id="rId452"/>
    <hyperlink xmlns:r="http://schemas.openxmlformats.org/officeDocument/2006/relationships" ref="F239" display="https://pgy.xiaohongshu.com/solar/pre-trade/blogger-detail/5ab7510d4eacab45e190fdb7?track_id=kolSimilar_136422d8e85b43c0ab0a3c2e37a11918&amp;source=Advertiser_Similar_Kol" r:id="rId453"/>
    <hyperlink xmlns:r="http://schemas.openxmlformats.org/officeDocument/2006/relationships" ref="G239" display="https://www.xiaohongshu.com/user/profile/5ab7510d4eacab45e190fdb7" r:id="rId454"/>
    <hyperlink xmlns:r="http://schemas.openxmlformats.org/officeDocument/2006/relationships" ref="F240" display="https://pgy.xiaohongshu.com/solar/pre-trade/blogger-detail/5e762da20000000001001eea?track_id=kolSimilar_c397fbfd516c4c98bd1d11e120d19146&amp;source=Advertiser_Similar_Kol" r:id="rId455"/>
    <hyperlink xmlns:r="http://schemas.openxmlformats.org/officeDocument/2006/relationships" ref="G240" display="https://www.xiaohongshu.com/user/profile/5e762da20000000001001eea" r:id="rId456"/>
    <hyperlink xmlns:r="http://schemas.openxmlformats.org/officeDocument/2006/relationships" ref="F241" display="https://pgy.xiaohongshu.com/solar/pre-trade/blogger-detail/669f8435000000002401d5d7?track_id=kolMatch_2f2985a15fe94142897124decaed1ddb&amp;source=Advertiser_Kol" r:id="rId457"/>
    <hyperlink xmlns:r="http://schemas.openxmlformats.org/officeDocument/2006/relationships" ref="G241" display="https://www.xiaohongshu.com/user/profile/669f8435000000002401d5d7" r:id="rId458"/>
    <hyperlink xmlns:r="http://schemas.openxmlformats.org/officeDocument/2006/relationships" ref="F242" display="https://pgy.xiaohongshu.com/solar/pre-trade/blogger-detail/5be66dea0c8b3600019878ca?track_id=kolMatch_0f8dbf46b3f5463da17b109b7f2f5253&amp;source=Advertiser_Kol" r:id="rId459"/>
    <hyperlink xmlns:r="http://schemas.openxmlformats.org/officeDocument/2006/relationships" ref="G242" display="https://www.xiaohongshu.com/user/profile/5be66dea0c8b3600019878ca" r:id="rId460"/>
    <hyperlink xmlns:r="http://schemas.openxmlformats.org/officeDocument/2006/relationships" ref="F243" display="https://pgy.xiaohongshu.com/solar/pre-trade/blogger-detail/5d2c8a8c000000001002890b?track_id=kolSimilar_5d190bf56ad5467396c3ea3be025631c&amp;source=Advertiser_Similar_Kol" r:id="rId461"/>
    <hyperlink xmlns:r="http://schemas.openxmlformats.org/officeDocument/2006/relationships" ref="G243" display="https://www.xiaohongshu.com/user/profile/5d2c8a8c000000001002890b" r:id="rId462"/>
    <hyperlink xmlns:r="http://schemas.openxmlformats.org/officeDocument/2006/relationships" ref="F244" display="https://pgy.xiaohongshu.com/solar/pre-trade/blogger-detail/615d65760000000002018dc4?track_id=kolMatch_0e79be37b3b94b5d9f6098323fd6714f&amp;source=Advertiser_Kol" r:id="rId463"/>
    <hyperlink xmlns:r="http://schemas.openxmlformats.org/officeDocument/2006/relationships" ref="G244" display="https://www.xiaohongshu.com/user/profile/615d65760000000002018dc4" r:id="rId464"/>
    <hyperlink xmlns:r="http://schemas.openxmlformats.org/officeDocument/2006/relationships" ref="F245" display="https://pgy.xiaohongshu.com/solar/pre-trade/blogger-detail/6040e2ef0000000001002f7a?track_id=kolSimilar_5d190bf56ad5467396c3ea3be025631c&amp;source=Advertiser_Similar_Kol" r:id="rId465"/>
    <hyperlink xmlns:r="http://schemas.openxmlformats.org/officeDocument/2006/relationships" ref="G245" display="https://www.xiaohongshu.com/user/profile/6040e2ef0000000001002f7a" r:id="rId466"/>
    <hyperlink xmlns:r="http://schemas.openxmlformats.org/officeDocument/2006/relationships" ref="F246" display="https://pgy.xiaohongshu.com/solar/pre-trade/blogger-detail/54b4f08fe77989182ab592d9?track_id=kolSimilar_82279018916443299579964c26e9d272&amp;source=Advertiser_Similar_Kol" r:id="rId467"/>
    <hyperlink xmlns:r="http://schemas.openxmlformats.org/officeDocument/2006/relationships" ref="G246" display="https://www.xiaohongshu.com/user/profile/54b4f08fe77989182ab592d9" r:id="rId468"/>
    <hyperlink xmlns:r="http://schemas.openxmlformats.org/officeDocument/2006/relationships" ref="F247" display="https://pgy.xiaohongshu.com/solar/pre-trade/blogger-detail/64d4b8cf0000000001029955?track_id=kolSimilar_c51930e89c1244cfb9a89441badc35ce&amp;source=Advertiser_Similar_Kol" r:id="rId469"/>
    <hyperlink xmlns:r="http://schemas.openxmlformats.org/officeDocument/2006/relationships" ref="G247" display="https://www.xiaohongshu.com/user/profile/64d4b8cf0000000001029955" r:id="rId470"/>
    <hyperlink xmlns:r="http://schemas.openxmlformats.org/officeDocument/2006/relationships" ref="F248" display="https://pgy.xiaohongshu.com/solar/pre-trade/blogger-detail/5b1ba5326b58b728c0235cb4?track_id=kolSimilar_82279018916443299579964c26e9d272&amp;source=Advertiser_Similar_Kol" r:id="rId471"/>
    <hyperlink xmlns:r="http://schemas.openxmlformats.org/officeDocument/2006/relationships" ref="G248" display="https://www.xiaohongshu.com/user/profile/5b1ba5326b58b728c0235cb4" r:id="rId472"/>
    <hyperlink xmlns:r="http://schemas.openxmlformats.org/officeDocument/2006/relationships" ref="F249" display="https://pgy.xiaohongshu.com/solar/pre-trade/blogger-detail/5a995da811be1053efef450c?track_id=kolSimilar_82279018916443299579964c26e9d272&amp;source=Advertiser_Similar_Kol" r:id="rId473"/>
    <hyperlink xmlns:r="http://schemas.openxmlformats.org/officeDocument/2006/relationships" ref="G249" display="https://www.xiaohongshu.com/user/profile/5a995da811be1053efef450c" r:id="rId474"/>
    <hyperlink xmlns:r="http://schemas.openxmlformats.org/officeDocument/2006/relationships" ref="F250" display="https://pgy.xiaohongshu.com/solar/pre-trade/blogger-detail/63116180000000000f005d2d?track_id=kolSimilar_c51930e89c1244cfb9a89441badc35ce&amp;source=Advertiser_Similar_Kol" r:id="rId475"/>
    <hyperlink xmlns:r="http://schemas.openxmlformats.org/officeDocument/2006/relationships" ref="G250" display="https://www.xiaohongshu.com/user/profile/63116180000000000f005d2d" r:id="rId476"/>
    <hyperlink xmlns:r="http://schemas.openxmlformats.org/officeDocument/2006/relationships" ref="F251" display="https://pgy.xiaohongshu.com/solar/pre-trade/blogger-detail/6213ab75000000001000b85d?track_id=kolSimilar_82279018916443299579964c26e9d272&amp;source=Advertiser_Similar_Kol" r:id="rId477"/>
    <hyperlink xmlns:r="http://schemas.openxmlformats.org/officeDocument/2006/relationships" ref="G251" display="https://www.xiaohongshu.com/user/profile/6213ab75000000001000b85d" r:id="rId478"/>
    <hyperlink xmlns:r="http://schemas.openxmlformats.org/officeDocument/2006/relationships" ref="F252" display="https://pgy.xiaohongshu.com/solar/pre-trade/blogger-detail/6539c674000000000200e42f?track_id=kolSimilar_82279018916443299579964c26e9d272&amp;source=Advertiser_Similar_Kol" r:id="rId479"/>
    <hyperlink xmlns:r="http://schemas.openxmlformats.org/officeDocument/2006/relationships" ref="G252" display="https://www.xiaohongshu.com/user/profile/6539c674000000000200e42f" r:id="rId480"/>
    <hyperlink xmlns:r="http://schemas.openxmlformats.org/officeDocument/2006/relationships" ref="F253" display="https://pgy.xiaohongshu.com/solar/pre-trade/blogger-detail/5e31a3bc0000000001001850?track_id=kolSimilar_975e45a9e86249dcb4cc75bb3b755aca&amp;source=Advertiser_Similar_Kol" r:id="rId481"/>
    <hyperlink xmlns:r="http://schemas.openxmlformats.org/officeDocument/2006/relationships" ref="G253" display="https://www.xiaohongshu.com/user/profile/5e31a3bc0000000001001850" r:id="rId482"/>
    <hyperlink xmlns:r="http://schemas.openxmlformats.org/officeDocument/2006/relationships" ref="F254" display="https://pgy.xiaohongshu.com/solar/pre-trade/blogger-detail/645ce6a1000000001f0302d9?track_id=kolSimilar_975e45a9e86249dcb4cc75bb3b755aca&amp;source=Advertiser_Similar_Kol" r:id="rId483"/>
    <hyperlink xmlns:r="http://schemas.openxmlformats.org/officeDocument/2006/relationships" ref="G254" display="https://www.xiaohongshu.com/user/profile/645ce6a1000000001f0302d9" r:id="rId484"/>
    <hyperlink xmlns:r="http://schemas.openxmlformats.org/officeDocument/2006/relationships" ref="F255" display="https://pgy.xiaohongshu.com/solar/pre-trade/blogger-detail/60632ffe00000000010021b4?track_id=kolMatch_7c5baa0d131247c886a5c50d970a80af&amp;source=Advertiser_Kol" r:id="rId485"/>
    <hyperlink xmlns:r="http://schemas.openxmlformats.org/officeDocument/2006/relationships" ref="G255" display="https://www.xiaohongshu.com/user/profile/60632ffe00000000010021b4" r:id="rId486"/>
    <hyperlink xmlns:r="http://schemas.openxmlformats.org/officeDocument/2006/relationships" ref="F257" display="https://pgy.xiaohongshu.com/solar/pre-trade/blogger-detail/5ab7110611be10177aacc8af?track_id=kolSimilar_5d190bf56ad5467396c3ea3be025631c&amp;source=Advertiser_Similar_Kol" r:id="rId487"/>
    <hyperlink xmlns:r="http://schemas.openxmlformats.org/officeDocument/2006/relationships" ref="G257" display="https://www.xiaohongshu.com/user/profile/5ab7110611be10177aacc8af" r:id="rId488"/>
    <hyperlink xmlns:r="http://schemas.openxmlformats.org/officeDocument/2006/relationships" ref="F258" display="https://pgy.xiaohongshu.com/solar/pre-trade/blogger-detail/5cf90b4d0000000006014bd9?track_id=kolSimilar_5d190bf56ad5467396c3ea3be025631c&amp;source=Advertiser_Similar_Kol" r:id="rId489"/>
    <hyperlink xmlns:r="http://schemas.openxmlformats.org/officeDocument/2006/relationships" ref="G258" display="https://www.xiaohongshu.com/user/profile/5cf90b4d0000000006014bd9" r:id="rId490"/>
    <hyperlink xmlns:r="http://schemas.openxmlformats.org/officeDocument/2006/relationships" ref="F259" display="https://pgy.xiaohongshu.com/solar/pre-trade/blogger-detail/590ad50e82ec394188cec513?track_id=kolSimilar_345da337c4b94c33a6eb3a8d76e80a06&amp;source=Advertiser_Similar_Kol" r:id="rId491"/>
    <hyperlink xmlns:r="http://schemas.openxmlformats.org/officeDocument/2006/relationships" ref="G259" display="https://www.xiaohongshu.com/user/profile/590ad50e82ec394188cec513" r:id="rId492"/>
    <hyperlink xmlns:r="http://schemas.openxmlformats.org/officeDocument/2006/relationships" ref="F260" display="https://pgy.xiaohongshu.com/solar/pre-trade/blogger-detail/651e3f660000000002012fc8?track_id=kolSimilar_6d63581172814e19ad117e811acf255f&amp;source=Advertiser_Similar_Kol" r:id="rId493"/>
    <hyperlink xmlns:r="http://schemas.openxmlformats.org/officeDocument/2006/relationships" ref="G260" display="https://www.xiaohongshu.com/user/profile/651e3f660000000002012fc8" r:id="rId494"/>
    <hyperlink xmlns:r="http://schemas.openxmlformats.org/officeDocument/2006/relationships" ref="F261" display="https://pgy.xiaohongshu.com/solar/pre-trade/blogger-detail/5c651f88000000001203f988?track_id=kolSimilar_6d63581172814e19ad117e811acf255f&amp;source=Advertiser_Similar_Kol" r:id="rId495"/>
    <hyperlink xmlns:r="http://schemas.openxmlformats.org/officeDocument/2006/relationships" ref="G261" display="https://www.xiaohongshu.com/user/profile/5c651f88000000001203f988" r:id="rId496"/>
    <hyperlink xmlns:r="http://schemas.openxmlformats.org/officeDocument/2006/relationships" ref="F262" display="https://pgy.xiaohongshu.com/solar/pre-trade/blogger-detail/58662c8e6a6a691e3f9847d8?track_id=kolSimilar_b331772232da4749b28845c9b948aa89&amp;source=Advertiser_Similar_Kol" r:id="rId497"/>
    <hyperlink xmlns:r="http://schemas.openxmlformats.org/officeDocument/2006/relationships" ref="G262" display="https://www.xiaohongshu.com/user/profile/58662c8e6a6a691e3f9847d8" r:id="rId498"/>
    <hyperlink xmlns:r="http://schemas.openxmlformats.org/officeDocument/2006/relationships" ref="F263" display="https://pgy.xiaohongshu.com/solar/pre-trade/blogger-detail/5e7193af000000000100499c?track_id=kolSimilar_6d63581172814e19ad117e811acf255f&amp;source=Advertiser_Similar_Kol" r:id="rId499"/>
    <hyperlink xmlns:r="http://schemas.openxmlformats.org/officeDocument/2006/relationships" ref="G263" display="https://www.xiaohongshu.com/user/profile/5e7193af000000000100499c" r:id="rId500"/>
    <hyperlink xmlns:r="http://schemas.openxmlformats.org/officeDocument/2006/relationships" ref="F264" display="https://pgy.xiaohongshu.com/solar/pre-trade/blogger-detail/5bd18752618f630001e5553a?track_id=kolSimilar_87da080d850d49a3b7ea73d5c3342718&amp;source=Advertiser_Similar_Kol" r:id="rId501"/>
    <hyperlink xmlns:r="http://schemas.openxmlformats.org/officeDocument/2006/relationships" ref="G264" display="https://www.xiaohongshu.com/user/profile/5bd18752618f630001e5553a" r:id="rId502"/>
    <hyperlink xmlns:r="http://schemas.openxmlformats.org/officeDocument/2006/relationships" ref="F265" display="https://pgy.xiaohongshu.com/solar/pre-trade/blogger-detail/65f3c541000000000500f81f?track_id=kolSimilar_72c5b784cd264feb8af751992680322d&amp;source=Advertiser_Similar_Kol" r:id="rId503"/>
    <hyperlink xmlns:r="http://schemas.openxmlformats.org/officeDocument/2006/relationships" ref="G265" display="https://www.xiaohongshu.com/user/profile/65f3c541000000000500f81f" r:id="rId504"/>
    <hyperlink xmlns:r="http://schemas.openxmlformats.org/officeDocument/2006/relationships" ref="F266" display="https://pgy.xiaohongshu.com/solar/pre-trade/blogger-detail/637508de000000001f01b909?track_id=kolSimilar_c2fae1fc41a34bf09b36ced8d7925d9d&amp;source=Advertiser_Similar_Kol" r:id="rId505"/>
    <hyperlink xmlns:r="http://schemas.openxmlformats.org/officeDocument/2006/relationships" ref="G266" display="https://www.xiaohongshu.com/user/profile/637508de000000001f01b909" r:id="rId506"/>
    <hyperlink xmlns:r="http://schemas.openxmlformats.org/officeDocument/2006/relationships" ref="F267" display="https://pgy.xiaohongshu.com/solar/pre-trade/blogger-detail/5d2303fa000000001003c77a?track_id=kolSimilar_c2fae1fc41a34bf09b36ced8d7925d9d&amp;source=Advertiser_Similar_Kol" r:id="rId507"/>
    <hyperlink xmlns:r="http://schemas.openxmlformats.org/officeDocument/2006/relationships" ref="G267" display="https://www.xiaohongshu.com/user/profile/5d2303fa000000001003c77a" r:id="rId508"/>
    <hyperlink xmlns:r="http://schemas.openxmlformats.org/officeDocument/2006/relationships" ref="F268" display="https://pgy.xiaohongshu.com/solar/pre-trade/blogger-detail/627cc60b000000002102320a?track_id=kolSimilar_c2fae1fc41a34bf09b36ced8d7925d9d&amp;source=Advertiser_Similar_Kol" r:id="rId509"/>
    <hyperlink xmlns:r="http://schemas.openxmlformats.org/officeDocument/2006/relationships" ref="G268" display="https://www.xiaohongshu.com/user/profile/627cc60b000000002102320a" r:id="rId510"/>
    <hyperlink xmlns:r="http://schemas.openxmlformats.org/officeDocument/2006/relationships" ref="F269" display="https://pgy.xiaohongshu.com/solar/pre-trade/blogger-detail/6076613f0000000001007992?track_id=kolSearch_f61a3276177b4f17b645f05ef6a29f89&amp;source=Advertiser_Kol" r:id="rId511"/>
    <hyperlink xmlns:r="http://schemas.openxmlformats.org/officeDocument/2006/relationships" ref="G269" display="https://www.xiaohongshu.com/user/profile/6076613f0000000001007992" r:id="rId512"/>
    <hyperlink xmlns:r="http://schemas.openxmlformats.org/officeDocument/2006/relationships" ref="F270" display="https://pgy.xiaohongshu.com/solar/pre-trade/blogger-detail/58c287f55e87e76ec5baf8f3?track_id=kolSimilar_c2fae1fc41a34bf09b36ced8d7925d9d&amp;source=Advertiser_Similar_Kol" r:id="rId513"/>
    <hyperlink xmlns:r="http://schemas.openxmlformats.org/officeDocument/2006/relationships" ref="G270" display="https://www.xiaohongshu.com/user/profile/58c287f55e87e76ec5baf8f3" r:id="rId514"/>
    <hyperlink xmlns:r="http://schemas.openxmlformats.org/officeDocument/2006/relationships" ref="F271" display="https://pgy.xiaohongshu.com/solar/pre-trade/blogger-detail/5a3d10bd11be105c884b529f?track_id=kolSimilar_739b5d9c34e34a68aa78e0d7e1e85e59&amp;source=Advertiser_Similar_Kol" r:id="rId515"/>
    <hyperlink xmlns:r="http://schemas.openxmlformats.org/officeDocument/2006/relationships" ref="G271" display="https://www.xiaohongshu.com/user/profile/5a3d10bd11be105c884b529f" r:id="rId516"/>
    <hyperlink xmlns:r="http://schemas.openxmlformats.org/officeDocument/2006/relationships" ref="F272" display="https://pgy.xiaohongshu.com/solar/pre-trade/blogger-detail/62a06e0c000000001501c232?track_id=kolSimilar_739b5d9c34e34a68aa78e0d7e1e85e59&amp;source=Advertiser_Similar_Kol" r:id="rId517"/>
    <hyperlink xmlns:r="http://schemas.openxmlformats.org/officeDocument/2006/relationships" ref="G272" display="https://www.xiaohongshu.com/user/profile/62a06e0c000000001501c232" r:id="rId518"/>
    <hyperlink xmlns:r="http://schemas.openxmlformats.org/officeDocument/2006/relationships" ref="F273" display="https://pgy.xiaohongshu.com/solar/pre-trade/blogger-detail/5f3caef90000000001000d2d?track_id=kolSearch_9e19ad19580d4d7787b4d9e3ce5e6c73&amp;source=Advertiser_Kol" r:id="rId519"/>
    <hyperlink xmlns:r="http://schemas.openxmlformats.org/officeDocument/2006/relationships" ref="G273" display="https://www.xiaohongshu.com/user/profile/5f3caef90000000001000d2d" r:id="rId520"/>
    <hyperlink xmlns:r="http://schemas.openxmlformats.org/officeDocument/2006/relationships" ref="F274" display="https://pgy.xiaohongshu.com/solar/pre-trade/blogger-detail/5d8db657000000000100108d?track_id=kolSearch_cef2ff08171b4043902d5e59c09b7b25&amp;source=Advertiser_Kol" r:id="rId521"/>
    <hyperlink xmlns:r="http://schemas.openxmlformats.org/officeDocument/2006/relationships" ref="G274" display="https://www.xiaohongshu.com/user/profile/5d8db657000000000100108d" r:id="rId522"/>
    <hyperlink xmlns:r="http://schemas.openxmlformats.org/officeDocument/2006/relationships" ref="F275" display="https://pgy.xiaohongshu.com/solar/pre-trade/blogger-detail/5f4b96100000000001006aad?track_id=kolSearch_d6af8b34d1544f6b8d1d979f23d882b8&amp;source=Advertiser_Kol" r:id="rId523"/>
    <hyperlink xmlns:r="http://schemas.openxmlformats.org/officeDocument/2006/relationships" ref="G275" display="https://www.xiaohongshu.com/user/profile/5f4b96100000000001006aad" r:id="rId524"/>
    <hyperlink xmlns:r="http://schemas.openxmlformats.org/officeDocument/2006/relationships" ref="F276" display="https://pgy.xiaohongshu.com/solar/pre-trade/blogger-detail/60cb42130000000001001e47?track_id=kolSearch_be042ff0d1ef44b2b20a225ff74593c2&amp;source=Advertiser_Kol" r:id="rId525"/>
    <hyperlink xmlns:r="http://schemas.openxmlformats.org/officeDocument/2006/relationships" ref="G276" display="https://www.xiaohongshu.com/user/profile/60cb42130000000001001e47" r:id="rId526"/>
    <hyperlink xmlns:r="http://schemas.openxmlformats.org/officeDocument/2006/relationships" ref="F278" display="https://pgy.xiaohongshu.com/solar/pre-trade/blogger-detail/5dcebff60000000001007994?track_id=kolMatch_d9a430ccbeb14863b75ec0e4d9a743a5&amp;source=Advertiser_Kol" r:id="rId527"/>
    <hyperlink xmlns:r="http://schemas.openxmlformats.org/officeDocument/2006/relationships" ref="G278" display="https://www.xiaohongshu.com/user/profile/5dcebff60000000001007994" r:id="rId528"/>
    <hyperlink xmlns:r="http://schemas.openxmlformats.org/officeDocument/2006/relationships" ref="F279" display="https://pgy.xiaohongshu.com/solar/pre-trade/blogger-detail/63caca4b0000000026010774?track_id=kolSimilar_5c736f366a25480ead39805f849785ab&amp;source=Advertiser_Similar_Kol" r:id="rId529"/>
    <hyperlink xmlns:r="http://schemas.openxmlformats.org/officeDocument/2006/relationships" ref="G279" display="https://www.xiaohongshu.com/user/profile/63caca4b0000000026010774" r:id="rId530"/>
    <hyperlink xmlns:r="http://schemas.openxmlformats.org/officeDocument/2006/relationships" ref="F280" display="https://pgy.xiaohongshu.com/solar/pre-trade/blogger-detail/5936da3182ec39441a4dbf21?track_id=kolSimilar_ef10f70c068c4aa3ad458393fa3ef797&amp;source=Advertiser_Similar_Kol" r:id="rId531"/>
    <hyperlink xmlns:r="http://schemas.openxmlformats.org/officeDocument/2006/relationships" ref="G280" display="https://www.xiaohongshu.com/user/profile/5936da3182ec39441a4dbf21" r:id="rId532"/>
    <hyperlink xmlns:r="http://schemas.openxmlformats.org/officeDocument/2006/relationships" ref="F281" display="https://pgy.xiaohongshu.com/solar/pre-trade/blogger-detail/5a159d424eacab1d91f5e1f0?track_id=kolSimilar_ef10f70c068c4aa3ad458393fa3ef797&amp;source=Advertiser_Similar_Kol" r:id="rId533"/>
    <hyperlink xmlns:r="http://schemas.openxmlformats.org/officeDocument/2006/relationships" ref="G281" display="https://www.xiaohongshu.com/user/profile/5a159d424eacab1d91f5e1f0" r:id="rId534"/>
    <hyperlink xmlns:r="http://schemas.openxmlformats.org/officeDocument/2006/relationships" ref="F282" display="https://pgy.xiaohongshu.com/solar/pre-trade/blogger-detail/5b8b489cd081470001fc11d0?track_id=kolSimilar_70e34f12eba642109ba6977a96c6b2ca&amp;source=Advertiser_Similar_Kol" r:id="rId535"/>
    <hyperlink xmlns:r="http://schemas.openxmlformats.org/officeDocument/2006/relationships" ref="G282" display="https://www.xiaohongshu.com/user/profile/5b8b489cd081470001fc11d0" r:id="rId536"/>
    <hyperlink xmlns:r="http://schemas.openxmlformats.org/officeDocument/2006/relationships" ref="F283" display="https://pgy.xiaohongshu.com/solar/pre-trade/blogger-detail/67ed6598000000000d00a691?track_id=kolMatch_d9a430ccbeb14863b75ec0e4d9a743a5&amp;source=Advertiser_Kol" r:id="rId537"/>
    <hyperlink xmlns:r="http://schemas.openxmlformats.org/officeDocument/2006/relationships" ref="G283" display="https://www.xiaohongshu.com/user/profile/67ed6598000000000d00a691" r:id="rId538"/>
    <hyperlink xmlns:r="http://schemas.openxmlformats.org/officeDocument/2006/relationships" ref="F284" display="https://pgy.xiaohongshu.com/solar/pre-trade/blogger-detail/565890e3b8c8b44df939bb39?track_id=kolSimilar_4d8bed45e4444f76bcd5346e4ed70437&amp;source=Advertiser_Similar_Kol" r:id="rId539"/>
    <hyperlink xmlns:r="http://schemas.openxmlformats.org/officeDocument/2006/relationships" ref="G284" display="https://www.xiaohongshu.com/user/profile/565890e3b8c8b44df939bb39" r:id="rId540"/>
    <hyperlink xmlns:r="http://schemas.openxmlformats.org/officeDocument/2006/relationships" ref="F285" display="https://pgy.xiaohongshu.com/solar/pre-trade/blogger-detail/614961b2000000000202622b?track_id=kolSimilar_4d8bed45e4444f76bcd5346e4ed70437&amp;source=Advertiser_Similar_Kol" r:id="rId541"/>
    <hyperlink xmlns:r="http://schemas.openxmlformats.org/officeDocument/2006/relationships" ref="G285" display="https://www.xiaohongshu.com/user/profile/614961b2000000000202622b" r:id="rId542"/>
    <hyperlink xmlns:r="http://schemas.openxmlformats.org/officeDocument/2006/relationships" ref="F286" display="https://pgy.xiaohongshu.com/solar/pre-trade/blogger-detail/637cdcf5000000001f0162a4?track_id=kolSimilar_b77b2aa814d241eaa5acba08b309444c&amp;source=Advertiser_Similar_Kol" r:id="rId543"/>
    <hyperlink xmlns:r="http://schemas.openxmlformats.org/officeDocument/2006/relationships" ref="G286" display="https://www.xiaohongshu.com/user/profile/637cdcf5000000001f0162a4" r:id="rId544"/>
    <hyperlink xmlns:r="http://schemas.openxmlformats.org/officeDocument/2006/relationships" ref="F287" display="https://pgy.xiaohongshu.com/solar/pre-trade/blogger-detail/661ccab40000000007006cd4?track_id=kolSimilar_ef3d4d30b7d14eca8cfed2890ead0602&amp;source=Advertiser_Similar_Kol" r:id="rId545"/>
    <hyperlink xmlns:r="http://schemas.openxmlformats.org/officeDocument/2006/relationships" ref="G287" display="https://www.xiaohongshu.com/user/profile/661ccab40000000007006cd4" r:id="rId546"/>
    <hyperlink xmlns:r="http://schemas.openxmlformats.org/officeDocument/2006/relationships" ref="F288" display="https://pgy.xiaohongshu.com/solar/pre-trade/blogger-detail/65f80cd7000000000600ceb2?track_id=kolSimilar_b77b2aa814d241eaa5acba08b309444c&amp;source=Advertiser_Similar_Kol" r:id="rId547"/>
    <hyperlink xmlns:r="http://schemas.openxmlformats.org/officeDocument/2006/relationships" ref="G288" display="https://www.xiaohongshu.com/user/profile/65f80cd7000000000600ceb2" r:id="rId548"/>
    <hyperlink xmlns:r="http://schemas.openxmlformats.org/officeDocument/2006/relationships" ref="F289" display="https://pgy.xiaohongshu.com/solar/pre-trade/blogger-detail/5ed36686000000000101ce68?track_id=kolSimilar_5c736f366a25480ead39805f849785ab&amp;source=Advertiser_Similar_Kol" r:id="rId549"/>
    <hyperlink xmlns:r="http://schemas.openxmlformats.org/officeDocument/2006/relationships" ref="G289" display="https://www.xiaohongshu.com/user/profile/5ed36686000000000101ce68" r:id="rId550"/>
    <hyperlink xmlns:r="http://schemas.openxmlformats.org/officeDocument/2006/relationships" ref="F290" display="https://pgy.xiaohongshu.com/solar/pre-trade/blogger-detail/57304c9aaed7582cd5444121" r:id="rId551"/>
    <hyperlink xmlns:r="http://schemas.openxmlformats.org/officeDocument/2006/relationships" ref="G290" display="https://www.xiaohongshu.com/user/profile/57304c9aaed7582cd5444121" r:id="rId552"/>
    <hyperlink xmlns:r="http://schemas.openxmlformats.org/officeDocument/2006/relationships" ref="F291" display="https://pgy.xiaohongshu.com/solar/pre-trade/blogger-detail/682d7893000000000a03e333?track_id=kolSimilar_c7fec81938b047ddb2ce37d843ef6403&amp;source=Advertiser_Similar_Kol" r:id="rId553"/>
    <hyperlink xmlns:r="http://schemas.openxmlformats.org/officeDocument/2006/relationships" ref="G291" display="https://www.xiaohongshu.com/user/profile/682d7893000000000a03e333" r:id="rId554"/>
    <hyperlink xmlns:r="http://schemas.openxmlformats.org/officeDocument/2006/relationships" ref="F292" display="https://pgy.xiaohongshu.com/solar/pre-trade/blogger-detail/62194221000000002102a5b3?track_id=kolSimilar_0d1b58ce720847b583bbf496226450ae&amp;source=Advertiser_Similar_Kol" r:id="rId555"/>
    <hyperlink xmlns:r="http://schemas.openxmlformats.org/officeDocument/2006/relationships" ref="G292" display="https://www.xiaohongshu.com/user/profile/62194221000000002102a5b3" r:id="rId556"/>
    <hyperlink xmlns:r="http://schemas.openxmlformats.org/officeDocument/2006/relationships" ref="F293" display="https://pgy.xiaohongshu.com/solar/pre-trade/blogger-detail/5b683447c5abfc0001e56361?track_id=kolSimilar_c7fec81938b047ddb2ce37d843ef6403&amp;source=Advertiser_Similar_Kol" r:id="rId557"/>
    <hyperlink xmlns:r="http://schemas.openxmlformats.org/officeDocument/2006/relationships" ref="G293" display="https://www.xiaohongshu.com/user/profile/5b683447c5abfc0001e56361" r:id="rId558"/>
    <hyperlink xmlns:r="http://schemas.openxmlformats.org/officeDocument/2006/relationships" ref="F294" display="https://pgy.xiaohongshu.com/solar/pre-trade/blogger-detail/5622f41082718c13a27491ce?track_id=kolSimilar_c7fec81938b047ddb2ce37d843ef6403&amp;source=Advertiser_Similar_Kol" r:id="rId559"/>
    <hyperlink xmlns:r="http://schemas.openxmlformats.org/officeDocument/2006/relationships" ref="G294" display="https://www.xiaohongshu.com/user/profile/5622f41082718c13a27491ce" r:id="rId560"/>
    <hyperlink xmlns:r="http://schemas.openxmlformats.org/officeDocument/2006/relationships" ref="F295" display="https://pgy.xiaohongshu.com/solar/pre-trade/blogger-detail/57825c1b6a6a692bc38e325b?track_id=kolSimilar_ebf36afe2d864c1fb1fed00eb374202b&amp;source=Advertiser_Similar_Kol" r:id="rId561"/>
    <hyperlink xmlns:r="http://schemas.openxmlformats.org/officeDocument/2006/relationships" ref="G295" display="https://www.xiaohongshu.com/user/profile/57825c1b6a6a692bc38e325b" r:id="rId562"/>
    <hyperlink xmlns:r="http://schemas.openxmlformats.org/officeDocument/2006/relationships" ref="F296" display="https://pgy.xiaohongshu.com/solar/pre-trade/blogger-detail/5bebee905b27940001823545?track_id=kolSimilar_ebf36afe2d864c1fb1fed00eb374202b&amp;source=Advertiser_Similar_Kol" r:id="rId563"/>
    <hyperlink xmlns:r="http://schemas.openxmlformats.org/officeDocument/2006/relationships" ref="G296" display="https://www.xiaohongshu.com/user/profile/5bebee905b27940001823545" r:id="rId564"/>
    <hyperlink xmlns:r="http://schemas.openxmlformats.org/officeDocument/2006/relationships" ref="F297" display="https://pgy.xiaohongshu.com/solar/pre-trade/blogger-detail/6683906a000000000b030c3d?track_id=kolSimilar_0d1b58ce720847b583bbf496226450ae&amp;source=Advertiser_Similar_Kol" r:id="rId565"/>
    <hyperlink xmlns:r="http://schemas.openxmlformats.org/officeDocument/2006/relationships" ref="G297" display="https://www.xiaohongshu.com/user/profile/6683906a000000000b030c3d" r:id="rId566"/>
    <hyperlink xmlns:r="http://schemas.openxmlformats.org/officeDocument/2006/relationships" ref="F298" display="https://pgy.xiaohongshu.com/solar/pre-trade/blogger-detail/5e5ce9a60000000001009905?track_id=kolSimilar_ebf36afe2d864c1fb1fed00eb374202b&amp;source=Advertiser_Similar_Kol" r:id="rId567"/>
    <hyperlink xmlns:r="http://schemas.openxmlformats.org/officeDocument/2006/relationships" ref="G298" display="https://www.xiaohongshu.com/user/profile/5e5ce9a60000000001009905" r:id="rId568"/>
    <hyperlink xmlns:r="http://schemas.openxmlformats.org/officeDocument/2006/relationships" ref="F299" display="https://pgy.xiaohongshu.com/solar/pre-trade/blogger-detail/5b07a0a211be102b2b759500?track_id=kolSimilar_070ec85889024adf8a796595295e28eb&amp;source=Advertiser_Similar_Kol" r:id="rId569"/>
    <hyperlink xmlns:r="http://schemas.openxmlformats.org/officeDocument/2006/relationships" ref="G299" display="https://www.xiaohongshu.com/user/profile/5b07a0a211be102b2b759500" r:id="rId570"/>
    <hyperlink xmlns:r="http://schemas.openxmlformats.org/officeDocument/2006/relationships" ref="F300" display="https://pgy.xiaohongshu.com/solar/pre-trade/blogger-detail/603073e5000000000100434c?track_id=kolSimilar_bc8e8121ec084e3c97b3f06b6c0de663&amp;source=Advertiser_Similar_Kol" r:id="rId571"/>
    <hyperlink xmlns:r="http://schemas.openxmlformats.org/officeDocument/2006/relationships" ref="G300" display="https://www.xiaohongshu.com/user/profile/603073e5000000000100434c" r:id="rId572"/>
    <hyperlink xmlns:r="http://schemas.openxmlformats.org/officeDocument/2006/relationships" ref="F302" display="https://pgy.xiaohongshu.com/solar/pre-trade/blogger-detail/623fa90c000000002102b6b2?track_id=kolSimilar_c397fbfd516c4c98bd1d11e120d19146&amp;source=Advertiser_Similar_Kol" r:id="rId573"/>
    <hyperlink xmlns:r="http://schemas.openxmlformats.org/officeDocument/2006/relationships" ref="G302" display="https://www.xiaohongshu.com/user/profile/623fa90c000000002102b6b2" r:id="rId574"/>
    <hyperlink xmlns:r="http://schemas.openxmlformats.org/officeDocument/2006/relationships" ref="F303" display="https://pgy.xiaohongshu.com/solar/pre-trade/blogger-detail/5a8c16b94eacab718b4efec1?track_id=kolSearch_dd97aa6a9e4140818d6885eb41cc49df&amp;source=Advertiser_Kol" r:id="rId575"/>
    <hyperlink xmlns:r="http://schemas.openxmlformats.org/officeDocument/2006/relationships" ref="G303" display="https://www.xiaohongshu.com/user/profile/5a8c16b94eacab718b4efec1" r:id="rId576"/>
    <hyperlink xmlns:r="http://schemas.openxmlformats.org/officeDocument/2006/relationships" ref="F304" display="https://pgy.xiaohongshu.com/solar/pre-trade/blogger-detail/5c7ea1aa000000001602a180?track_id=kolSimilar_b9d75b67b52f40eeb5bca2c8a3f09093&amp;source=Advertiser_Similar_Kol" r:id="rId577"/>
    <hyperlink xmlns:r="http://schemas.openxmlformats.org/officeDocument/2006/relationships" ref="G304" display="https://www.xiaohongshu.com/user/profile/5c7ea1aa000000001602a180" r:id="rId578"/>
    <hyperlink xmlns:r="http://schemas.openxmlformats.org/officeDocument/2006/relationships" ref="F305" display="https://pgy.xiaohongshu.com/solar/pre-trade/blogger-detail/650a7a41000000000200f029?track_id=kolSimilar_b9d75b67b52f40eeb5bca2c8a3f09093&amp;source=Advertiser_Similar_Kol" r:id="rId579"/>
    <hyperlink xmlns:r="http://schemas.openxmlformats.org/officeDocument/2006/relationships" ref="G305" display="https://www.xiaohongshu.com/user/profile/650a7a41000000000200f029" r:id="rId580"/>
    <hyperlink xmlns:r="http://schemas.openxmlformats.org/officeDocument/2006/relationships" ref="F306" display="https://pgy.xiaohongshu.com/solar/pre-trade/blogger-detail/58ebdd8a6a6a696bff3e7836?track_id=kolMatch_9ab907c8fa474419b6b42ea44a7ef03b&amp;source=Advertiser_Kol" r:id="rId581"/>
    <hyperlink xmlns:r="http://schemas.openxmlformats.org/officeDocument/2006/relationships" ref="G306" display="https://www.xiaohongshu.com/user/profile/58ebdd8a6a6a696bff3e7836" r:id="rId582"/>
    <hyperlink xmlns:r="http://schemas.openxmlformats.org/officeDocument/2006/relationships" ref="F307" display="https://pgy.xiaohongshu.com/solar/pre-trade/blogger-detail/58bbb4c05e87e73fcfe47ae8?track_id=kolMatch_665beeb609e34ef3b4191997af19c313&amp;source=Advertiser_Kol" r:id="rId583"/>
    <hyperlink xmlns:r="http://schemas.openxmlformats.org/officeDocument/2006/relationships" ref="G307" display="https://www.xiaohongshu.com/user/profile/58bbb4c05e87e73fcfe47ae8" r:id="rId584"/>
    <hyperlink xmlns:r="http://schemas.openxmlformats.org/officeDocument/2006/relationships" ref="F308" display="https://pgy.xiaohongshu.com/solar/pre-trade/blogger-detail/67e681cb000000000a03c126?track_id=kolMatch_3687438110cb47e394ac6fddd2e15179&amp;source=Advertiser_Kol" r:id="rId585"/>
    <hyperlink xmlns:r="http://schemas.openxmlformats.org/officeDocument/2006/relationships" ref="G308" display="https://www.xiaohongshu.com/user/profile/67e681cb000000000a03c126" r:id="rId586"/>
    <hyperlink xmlns:r="http://schemas.openxmlformats.org/officeDocument/2006/relationships" ref="F309" display="https://pgy.xiaohongshu.com/solar/pre-trade/blogger-detail/6565825b000000003c01e9e2?track_id=kolMatch_e60d689fa57840d69eb5287816e5a318&amp;source=Advertiser_Kol" r:id="rId587"/>
    <hyperlink xmlns:r="http://schemas.openxmlformats.org/officeDocument/2006/relationships" ref="G309" display="https://www.xiaohongshu.com/user/profile/6565825b000000003c01e9e2" r:id="rId588"/>
    <hyperlink xmlns:r="http://schemas.openxmlformats.org/officeDocument/2006/relationships" ref="F310" display="https://pgy.xiaohongshu.com/solar/pre-trade/blogger-detail/55d1d96de4b1cf26b61d65a5?track_id=kolMatch_4b52f038803f4a02be23dc8211d4b654&amp;source=Advertiser_Kol" r:id="rId589"/>
    <hyperlink xmlns:r="http://schemas.openxmlformats.org/officeDocument/2006/relationships" ref="G310" display="https://www.xiaohongshu.com/user/profile/55d1d96de4b1cf26b61d65a5" r:id="rId590"/>
    <hyperlink xmlns:r="http://schemas.openxmlformats.org/officeDocument/2006/relationships" ref="F311" display="https://pgy.xiaohongshu.com/solar/pre-trade/blogger-detail/6062e7fc0000000001002502?track_id=kolSearch_40a9719a6f304e15b1a3030835f06ba5&amp;source=Advertiser_Kol" r:id="rId591"/>
    <hyperlink xmlns:r="http://schemas.openxmlformats.org/officeDocument/2006/relationships" ref="G311" display="https://www.xiaohongshu.com/user/profile/6062e7fc0000000001002502" r:id="rId592"/>
    <hyperlink xmlns:r="http://schemas.openxmlformats.org/officeDocument/2006/relationships" ref="F312" display="https://pgy.xiaohongshu.com/solar/pre-trade/blogger-detail/566e6e85b8ce1a6858474bf9?track_id=kolMatch_561d44a7a4d04465b9ce2a35cf09d095&amp;source=Advertiser_Kol" r:id="rId593"/>
    <hyperlink xmlns:r="http://schemas.openxmlformats.org/officeDocument/2006/relationships" ref="G312" display="https://www.xiaohongshu.com/user/profile/566e6e85b8ce1a6858474bf9" r:id="rId594"/>
    <hyperlink xmlns:r="http://schemas.openxmlformats.org/officeDocument/2006/relationships" ref="F313" display="https://pgy.xiaohongshu.com/solar/pre-trade/blogger-detail/60bf99fc0000000001000029?track_id=kolMatch_e60d689fa57840d69eb5287816e5a318&amp;source=Advertiser_Kol" r:id="rId595"/>
    <hyperlink xmlns:r="http://schemas.openxmlformats.org/officeDocument/2006/relationships" ref="G313" display="https://www.xiaohongshu.com/user/profile/60bf99fc0000000001000029" r:id="rId596"/>
    <hyperlink xmlns:r="http://schemas.openxmlformats.org/officeDocument/2006/relationships" ref="F314" display="https://pgy.xiaohongshu.com/solar/pre-trade/blogger-detail/5eb7ee6f0000000001007511?track_id=kolMatch_1a11f3efb5774eb1b9b83dc13e830a48&amp;source=Advertiser_Kol" r:id="rId597"/>
    <hyperlink xmlns:r="http://schemas.openxmlformats.org/officeDocument/2006/relationships" ref="G314" display="https://www.xiaohongshu.com/user/profile/5eb7ee6f0000000001007511" r:id="rId598"/>
    <hyperlink xmlns:r="http://schemas.openxmlformats.org/officeDocument/2006/relationships" ref="F315" display="https://pgy.xiaohongshu.com/solar/pre-trade/blogger-detail/5ed9bb28000000000101f1b9?track_id=kolSimilar_cca0c4108bb14333a2a379e15ea390fa&amp;source=Advertiser_Similar_Kol" r:id="rId599"/>
    <hyperlink xmlns:r="http://schemas.openxmlformats.org/officeDocument/2006/relationships" ref="G315" display="https://www.xiaohongshu.com/user/profile/5ed9bb28000000000101f1b9" r:id="rId600"/>
    <hyperlink xmlns:r="http://schemas.openxmlformats.org/officeDocument/2006/relationships" ref="F316" display="https://pgy.xiaohongshu.com/solar/pre-trade/blogger-detail/5657ed837c5bb8258f1dbb45?track_id=kolSimilar_645af52923a64011b6e7e94caf85bb98&amp;source=Advertiser_Similar_Kol" r:id="rId601"/>
    <hyperlink xmlns:r="http://schemas.openxmlformats.org/officeDocument/2006/relationships" ref="G316" display="https://www.xiaohongshu.com/user/profile/5657ed837c5bb8258f1dbb45" r:id="rId602"/>
    <hyperlink xmlns:r="http://schemas.openxmlformats.org/officeDocument/2006/relationships" ref="F317" display="https://pgy.xiaohongshu.com/solar/pre-trade/blogger-detail/666e57880000000003032e41?track_id=kolMatch_7cf9b93a44b44a6cb5cae99c838dc678&amp;source=Advertiser_Kol" r:id="rId603"/>
    <hyperlink xmlns:r="http://schemas.openxmlformats.org/officeDocument/2006/relationships" ref="G317" display="https://www.xiaohongshu.com/user/profile/666e57880000000003032e41" r:id="rId604"/>
    <hyperlink xmlns:r="http://schemas.openxmlformats.org/officeDocument/2006/relationships" ref="F318" display="https://pgy.xiaohongshu.com/solar/pre-trade/blogger-detail/65e87ae200000000050088cf?track_id=kolMatch_1bf7af07d3cc4d45b6e9959981f2ccf8&amp;source=Advertiser_Kol" r:id="rId605"/>
    <hyperlink xmlns:r="http://schemas.openxmlformats.org/officeDocument/2006/relationships" ref="G318" display="https://www.xiaohongshu.com/user/profile/65e87ae200000000050088cf" r:id="rId606"/>
    <hyperlink xmlns:r="http://schemas.openxmlformats.org/officeDocument/2006/relationships" ref="F319" display="https://pgy.xiaohongshu.com/solar/pre-trade/blogger-detail/67fa31470000000010025e19?track_id=kolSimilar_e04cc496a1604aa6bf9fd005d8528631&amp;source=Advertiser_Similar_Kol" r:id="rId607"/>
    <hyperlink xmlns:r="http://schemas.openxmlformats.org/officeDocument/2006/relationships" ref="G319" display="https://www.xiaohongshu.com/user/profile/67fa31470000000010025e19" r:id="rId608"/>
    <hyperlink xmlns:r="http://schemas.openxmlformats.org/officeDocument/2006/relationships" ref="F320" display="https://pgy.xiaohongshu.com/solar/pre-trade/blogger-detail/59b1728f5e87e74ae7153032?track_id=kolSimilar_e04cc496a1604aa6bf9fd005d8528631&amp;source=Advertiser_Similar_Kol" r:id="rId609"/>
    <hyperlink xmlns:r="http://schemas.openxmlformats.org/officeDocument/2006/relationships" ref="G320" display="https://www.xiaohongshu.com/user/profile/59b1728f5e87e74ae7153032" r:id="rId610"/>
    <hyperlink xmlns:r="http://schemas.openxmlformats.org/officeDocument/2006/relationships" ref="F322" display="https://pgy.xiaohongshu.com/solar/pre-trade/blogger-detail/64eb24e200000000010114a4?track_id=kolMatch_36b2e3c1ae7a4f13ba44b212481296f2&amp;source=Advertiser_Kol" r:id="rId611"/>
    <hyperlink xmlns:r="http://schemas.openxmlformats.org/officeDocument/2006/relationships" ref="G322" display="https://www.xiaohongshu.com/user/profile/64eb24e200000000010114a4" r:id="rId612"/>
    <hyperlink xmlns:r="http://schemas.openxmlformats.org/officeDocument/2006/relationships" ref="F323" display="https://pgy.xiaohongshu.com/solar/pre-trade/blogger-detail/6550babc000000000802d4c5?track_id=kolMatch_096c2c2c84f4471c87b8bfa424508080&amp;source=Advertiser_Kol" r:id="rId613"/>
    <hyperlink xmlns:r="http://schemas.openxmlformats.org/officeDocument/2006/relationships" ref="G323" display="https://www.xiaohongshu.com/user/profile/6550babc000000000802d4c5" r:id="rId614"/>
    <hyperlink xmlns:r="http://schemas.openxmlformats.org/officeDocument/2006/relationships" ref="F324" display="https://pgy.xiaohongshu.com/solar/pre-trade/blogger-detail/63b3c73d0000000027028c8d?track_id=kolMatch_096c2c2c84f4471c87b8bfa424508080&amp;source=Advertiser_Kol" r:id="rId615"/>
    <hyperlink xmlns:r="http://schemas.openxmlformats.org/officeDocument/2006/relationships" ref="G324" display="https://www.xiaohongshu.com/user/profile/63b3c73d0000000027028c8d" r:id="rId616"/>
    <hyperlink xmlns:r="http://schemas.openxmlformats.org/officeDocument/2006/relationships" ref="F325" display="https://pgy.xiaohongshu.com/solar/pre-trade/blogger-detail/5aeb01e54eacab19fa539f31?track_id=kolMatch_77ab434ac52e48d683826de0677ff400&amp;source=Advertiser_Kol" r:id="rId617"/>
    <hyperlink xmlns:r="http://schemas.openxmlformats.org/officeDocument/2006/relationships" ref="G325" display="https://www.xiaohongshu.com/user/profile/5aeb01e54eacab19fa539f31" r:id="rId618"/>
    <hyperlink xmlns:r="http://schemas.openxmlformats.org/officeDocument/2006/relationships" ref="F326" display="https://pgy.xiaohongshu.com/solar/pre-trade/blogger-detail/6682180c00000000030306fe?track_id=kolMatch_e5fc2a871a21406f92289669b784bc38&amp;source=Advertiser_Kol" r:id="rId619"/>
    <hyperlink xmlns:r="http://schemas.openxmlformats.org/officeDocument/2006/relationships" ref="G326" display="https://www.xiaohongshu.com/user/profile/6682180c00000000030306fe" r:id="rId620"/>
    <hyperlink xmlns:r="http://schemas.openxmlformats.org/officeDocument/2006/relationships" ref="F327" display="https://pgy.xiaohongshu.com/solar/pre-trade/blogger-detail/5cf3d38f0000000005035b2c?track_id=kolMatch_36b2e3c1ae7a4f13ba44b212481296f2&amp;source=Advertiser_Kol" r:id="rId621"/>
    <hyperlink xmlns:r="http://schemas.openxmlformats.org/officeDocument/2006/relationships" ref="G327" display="https://www.xiaohongshu.com/user/profile/5cf3d38f0000000005035b2c" r:id="rId622"/>
    <hyperlink xmlns:r="http://schemas.openxmlformats.org/officeDocument/2006/relationships" ref="F328" display="https://pgy.xiaohongshu.com/solar/pre-trade/blogger-detail/5b504f6e11be105d6c4b5eec?track_id=kolMatch_49aee212e05e40c7a430eaa9a9c9985f&amp;source=Advertiser_Kol" r:id="rId623"/>
    <hyperlink xmlns:r="http://schemas.openxmlformats.org/officeDocument/2006/relationships" ref="G328" display="https://www.xiaohongshu.com/user/profile/5b504f6e11be105d6c4b5eec" r:id="rId624"/>
    <hyperlink xmlns:r="http://schemas.openxmlformats.org/officeDocument/2006/relationships" ref="F329" display="https://pgy.xiaohongshu.com/solar/pre-trade/blogger-detail/6125a7530000000001005d8b?track_id=kolMatch_49aee212e05e40c7a430eaa9a9c9985f&amp;source=Advertiser_Kol" r:id="rId625"/>
    <hyperlink xmlns:r="http://schemas.openxmlformats.org/officeDocument/2006/relationships" ref="G329" display="https://www.xiaohongshu.com/user/profile/6125a7530000000001005d8b" r:id="rId626"/>
    <hyperlink xmlns:r="http://schemas.openxmlformats.org/officeDocument/2006/relationships" ref="F330" display="https://pgy.xiaohongshu.com/solar/pre-trade/blogger-detail/5725e93e82ec3923a4faea24?track_id=kolMatch_ae946d7824954535874d7f1802b69fd0&amp;source=Advertiser_Kol" r:id="rId627"/>
    <hyperlink xmlns:r="http://schemas.openxmlformats.org/officeDocument/2006/relationships" ref="G330" display="https://www.xiaohongshu.com/user/profile/5725e93e82ec3923a4faea24" r:id="rId628"/>
    <hyperlink xmlns:r="http://schemas.openxmlformats.org/officeDocument/2006/relationships" ref="F331" display="https://pgy.xiaohongshu.com/solar/pre-trade/blogger-detail/55cffbc45894467d469a4a9f?track_id=kolMatch_ae946d7824954535874d7f1802b69fd0&amp;source=Advertiser_Kol" r:id="rId629"/>
    <hyperlink xmlns:r="http://schemas.openxmlformats.org/officeDocument/2006/relationships" ref="G331" display="https://www.xiaohongshu.com/user/profile/55cffbc45894467d469a4a9f" r:id="rId630"/>
    <hyperlink xmlns:r="http://schemas.openxmlformats.org/officeDocument/2006/relationships" ref="F332" display="https://pgy.xiaohongshu.com/solar/pre-trade/blogger-detail/5d2f5781000000001102d77a?track_id=kolMatch_7038bb23ff424f69a45ae247ee0a18b7&amp;source=Advertiser_Kol" r:id="rId631"/>
    <hyperlink xmlns:r="http://schemas.openxmlformats.org/officeDocument/2006/relationships" ref="G332" display="https://www.xiaohongshu.com/user/profile/5d2f5781000000001102d77a" r:id="rId632"/>
    <hyperlink xmlns:r="http://schemas.openxmlformats.org/officeDocument/2006/relationships" ref="F333" display="https://pgy.xiaohongshu.com/solar/pre-trade/blogger-detail/6507b30400000000170222db?track_id=kolMatch_fff06c7694834daa975199c074ea99e6&amp;source=Advertiser_Kol" r:id="rId633"/>
    <hyperlink xmlns:r="http://schemas.openxmlformats.org/officeDocument/2006/relationships" ref="G333" display="https://www.xiaohongshu.com/user/profile/6507b30400000000170222db" r:id="rId634"/>
    <hyperlink xmlns:r="http://schemas.openxmlformats.org/officeDocument/2006/relationships" ref="F334" display="https://pgy.xiaohongshu.com/solar/pre-trade/blogger-detail/65713dbc000000001902c807?track_id=kolMatch_fff06c7694834daa975199c074ea99e6&amp;source=Advertiser_Kol" r:id="rId635"/>
    <hyperlink xmlns:r="http://schemas.openxmlformats.org/officeDocument/2006/relationships" ref="G334" display="https://www.xiaohongshu.com/user/profile/65713dbc000000001902c807" r:id="rId636"/>
    <hyperlink xmlns:r="http://schemas.openxmlformats.org/officeDocument/2006/relationships" ref="F335" display="https://pgy.xiaohongshu.com/solar/pre-trade/blogger-detail/62bfde38000000001b0266ce?track_id=kolMatch_51c4efee50e349f585b665b2d89c9ab7&amp;source=Advertiser_Kol" r:id="rId637"/>
    <hyperlink xmlns:r="http://schemas.openxmlformats.org/officeDocument/2006/relationships" ref="G335" display="https://www.xiaohongshu.com/user/profile/62bfde38000000001b0266ce" r:id="rId638"/>
    <hyperlink xmlns:r="http://schemas.openxmlformats.org/officeDocument/2006/relationships" ref="F336" display="https://pgy.xiaohongshu.com/solar/pre-trade/blogger-detail/5d2dfae1000000001601d10d?track_id=kolSimilar_0b85449c395d45ac83a12330ca553281&amp;source=Advertiser_Kol" r:id="rId639"/>
    <hyperlink xmlns:r="http://schemas.openxmlformats.org/officeDocument/2006/relationships" ref="G336" display="https://www.xiaohongshu.com/user/profile/5d2dfae1000000001601d10d" r:id="rId640"/>
    <hyperlink xmlns:r="http://schemas.openxmlformats.org/officeDocument/2006/relationships" ref="F338" display="https://pgy.xiaohongshu.com/solar/pre-trade/blogger-detail/621997ed0000000002024973?track_id=kolMatch_edea3bb4b6fd4ad099d2877bdff991cf&amp;source=Advertiser_Kol" r:id="rId641"/>
    <hyperlink xmlns:r="http://schemas.openxmlformats.org/officeDocument/2006/relationships" ref="G338" display="https://www.xiaohongshu.com/explore/6981f863000000000b00a634?xsec_token=MB5AH61CH-QFKBlV0Wja-h1FqygD0a-Y-1zyDo8J-qCPY=&amp;xsec_source=pc_pgy" r:id="rId642"/>
    <hyperlink xmlns:r="http://schemas.openxmlformats.org/officeDocument/2006/relationships" ref="F339" display="https://pgy.xiaohongshu.com/solar/pre-trade/blogger-detail/6777d88500000000180145f1?track_id=kolMatch_8f8850001ca14de6b97f58a2f1ce423c&amp;source=Advertiser_Kol" r:id="rId643"/>
    <hyperlink xmlns:r="http://schemas.openxmlformats.org/officeDocument/2006/relationships" ref="G339" display="https://www.xiaohongshu.com/user/profile/6777d88500000000180145f1" r:id="rId644"/>
    <hyperlink xmlns:r="http://schemas.openxmlformats.org/officeDocument/2006/relationships" ref="F340" display="https://pgy.xiaohongshu.com/solar/pre-trade/blogger-detail/65dcc83e000000001701b3f2?track_id=kolSimilar_0da02a891023492787a43ec08334918d&amp;source=Advertiser_Similar_Kol" r:id="rId645"/>
    <hyperlink xmlns:r="http://schemas.openxmlformats.org/officeDocument/2006/relationships" ref="G340" display="https://www.xiaohongshu.com/user/profile/65dcc83e000000001701b3f2" r:id="rId646"/>
    <hyperlink xmlns:r="http://schemas.openxmlformats.org/officeDocument/2006/relationships" ref="F341" display="https://pgy.xiaohongshu.com/solar/pre-trade/blogger-detail/5a73ecf411be1061dd115524?track_id=kolSimilar_0da02a891023492787a43ec08334918d&amp;source=Advertiser_Similar_Kol" r:id="rId647"/>
    <hyperlink xmlns:r="http://schemas.openxmlformats.org/officeDocument/2006/relationships" ref="G341" display="https://www.xiaohongshu.com/user/profile/5a73ecf411be1061dd115524" r:id="rId648"/>
    <hyperlink xmlns:r="http://schemas.openxmlformats.org/officeDocument/2006/relationships" ref="F342" display="https://pgy.xiaohongshu.com/solar/pre-trade/blogger-detail/63b00fc300000000260136c7?track_id=kolSimilar_37297718eba34e2fb25841b3aebf02cf&amp;source=Advertiser_Similar_Kol" r:id="rId649"/>
    <hyperlink xmlns:r="http://schemas.openxmlformats.org/officeDocument/2006/relationships" ref="G342" display="https://www.xiaohongshu.com/user/profile/63b00fc300000000260136c7" r:id="rId650"/>
    <hyperlink xmlns:r="http://schemas.openxmlformats.org/officeDocument/2006/relationships" ref="F343" display="https://pgy.xiaohongshu.com/solar/pre-trade/blogger-detail/643037cd000000001201248a?track_id=kolSimilar_37297718eba34e2fb25841b3aebf02cf&amp;source=Advertiser_Similar_Kol" r:id="rId651"/>
    <hyperlink xmlns:r="http://schemas.openxmlformats.org/officeDocument/2006/relationships" ref="G343" display="https://www.xiaohongshu.com/user/profile/643037cd000000001201248a" r:id="rId652"/>
    <hyperlink xmlns:r="http://schemas.openxmlformats.org/officeDocument/2006/relationships" ref="F344" display="https://pgy.xiaohongshu.com/solar/pre-trade/blogger-detail/64321d92000000000d0190e3?track_id=kolSimilar_6cfcc1edfb554f4f8df8852cbd7a16ec&amp;source=Advertiser_Similar_Kol" r:id="rId653"/>
    <hyperlink xmlns:r="http://schemas.openxmlformats.org/officeDocument/2006/relationships" ref="G344" display="https://www.xiaohongshu.com/user/profile/64321d92000000000d0190e3" r:id="rId654"/>
    <hyperlink xmlns:r="http://schemas.openxmlformats.org/officeDocument/2006/relationships" ref="F345" display="https://pgy.xiaohongshu.com/solar/pre-trade/blogger-detail/580f309a7fc5b809c027abe0?track_id=kolSimilar_85fc24a35b514ed8a55c762eca935da3&amp;source=Advertiser_Similar_Kol" r:id="rId655"/>
    <hyperlink xmlns:r="http://schemas.openxmlformats.org/officeDocument/2006/relationships" ref="G345" display="https://www.xiaohongshu.com/user/profile/580f309a7fc5b809c027abe0" r:id="rId656"/>
    <hyperlink xmlns:r="http://schemas.openxmlformats.org/officeDocument/2006/relationships" ref="F346" display="https://pgy.xiaohongshu.com/solar/pre-trade/blogger-detail/54b66e932e1d9379c959590b?track_id=kolSimilar_69efdbcbc8e74378a199e856df4b41fc&amp;source=Advertiser_Similar_Kol" r:id="rId657"/>
    <hyperlink xmlns:r="http://schemas.openxmlformats.org/officeDocument/2006/relationships" ref="G346" display="https://www.xiaohongshu.com/user/profile/54b66e932e1d9379c959590b" r:id="rId658"/>
    <hyperlink xmlns:r="http://schemas.openxmlformats.org/officeDocument/2006/relationships" ref="F347" display="https://pgy.xiaohongshu.com/solar/pre-trade/blogger-detail/580068ec6a6a69271c9037f4?track_id=kolMatch_ca517d14f29849daa4ce6e4ec363f7fc&amp;source=Advertiser_Kol" r:id="rId659"/>
    <hyperlink xmlns:r="http://schemas.openxmlformats.org/officeDocument/2006/relationships" ref="G347" display="https://www.xiaohongshu.com/user/profile/580068ec6a6a69271c9037f4" r:id="rId660"/>
    <hyperlink xmlns:r="http://schemas.openxmlformats.org/officeDocument/2006/relationships" ref="F348" display="https://pgy.xiaohongshu.com/solar/pre-trade/blogger-detail/54efdf3bb4c4d663474f0beb?track_id=kolMatch_ca517d14f29849daa4ce6e4ec363f7fc&amp;source=Advertiser_Kol" r:id="rId661"/>
    <hyperlink xmlns:r="http://schemas.openxmlformats.org/officeDocument/2006/relationships" ref="G348" display="https://www.xiaohongshu.com/user/profile/54efdf3bb4c4d663474f0beb" r:id="rId662"/>
    <hyperlink xmlns:r="http://schemas.openxmlformats.org/officeDocument/2006/relationships" ref="F349" display="https://pgy.xiaohongshu.com/solar/pre-trade/blogger-detail/5faa8ecd000000000101daa4?track_id=kolGeneralSearch_e9dee322837b46648099a31bafc0bad2&amp;source=Advertiser_Kol" r:id="rId663"/>
    <hyperlink xmlns:r="http://schemas.openxmlformats.org/officeDocument/2006/relationships" ref="G349" display="https://www.xiaohongshu.com/user/profile/5faa8ecd000000000101daa4" r:id="rId664"/>
    <hyperlink xmlns:r="http://schemas.openxmlformats.org/officeDocument/2006/relationships" ref="F350" display="https://pgy.xiaohongshu.com/solar/pre-trade/blogger-detail/659ba8d0000000002200793b?track_id=kolSearch_6ccc31e880644eafb66dd525a86d4738&amp;source=Advertiser_Kol" r:id="rId665"/>
    <hyperlink xmlns:r="http://schemas.openxmlformats.org/officeDocument/2006/relationships" ref="G350" display="https://www.xiaohongshu.com/user/profile/659ba8d0000000002200793b" r:id="rId666"/>
    <hyperlink xmlns:r="http://schemas.openxmlformats.org/officeDocument/2006/relationships" ref="F351" display="https://pgy.xiaohongshu.com/solar/pre-trade/blogger-detail/58524d6950c4b422e9cadd81?track_id=kolSimilar_4875b032bcbf4cce89d2b788564c9862&amp;source=Advertiser_Similar_Kol" r:id="rId667"/>
    <hyperlink xmlns:r="http://schemas.openxmlformats.org/officeDocument/2006/relationships" ref="G351" display="https://www.xiaohongshu.com/user/profile/58524d6950c4b422e9cadd81" r:id="rId668"/>
    <hyperlink xmlns:r="http://schemas.openxmlformats.org/officeDocument/2006/relationships" ref="F352" display="https://pgy.xiaohongshu.com/solar/pre-trade/blogger-detail/5a7fb47911be101644d3a916?track_id=kolSearch_bd80cd4c8ef740f08c928652b8e9873d&amp;source=Advertiser_Kol" r:id="rId669"/>
    <hyperlink xmlns:r="http://schemas.openxmlformats.org/officeDocument/2006/relationships" ref="G352" display="https://www.xiaohongshu.com/user/profile/5a7fb47911be101644d3a916" r:id="rId670"/>
    <hyperlink xmlns:r="http://schemas.openxmlformats.org/officeDocument/2006/relationships" ref="F353" display="https://pgy.xiaohongshu.com/solar/pre-trade/blogger-detail/6543800c000000000400abbe?track_id=kolGeneralSearch_b6eaa83fe4264dffb6877db4923b5cd8&amp;source=Advertiser_Kol" r:id="rId671"/>
    <hyperlink xmlns:r="http://schemas.openxmlformats.org/officeDocument/2006/relationships" ref="G353" display="https://www.xiaohongshu.com/user/profile/6543800c000000000400abbe" r:id="rId672"/>
    <hyperlink xmlns:r="http://schemas.openxmlformats.org/officeDocument/2006/relationships" ref="F354" display="https://pgy.xiaohongshu.com/solar/pre-trade/blogger-detail/66e171b9000000001d033e9b?track_id=kolSimilar_2ce8d8ec14db4bf7b1a567b5b9aefe5f&amp;source=Advertiser_Similar_Kol" r:id="rId673"/>
    <hyperlink xmlns:r="http://schemas.openxmlformats.org/officeDocument/2006/relationships" ref="G354" display="https://www.xiaohongshu.com/user/profile/66e171b9000000001d033e9b" r:id="rId674"/>
    <hyperlink xmlns:r="http://schemas.openxmlformats.org/officeDocument/2006/relationships" ref="F355" display="https://pgy.xiaohongshu.com/solar/pre-trade/blogger-detail/5db46d1a0000000001006fe5?track_id=kolSimilar_2ce8d8ec14db4bf7b1a567b5b9aefe5f&amp;source=Advertiser_Similar_Kol" r:id="rId675"/>
    <hyperlink xmlns:r="http://schemas.openxmlformats.org/officeDocument/2006/relationships" ref="G355" display="https://www.xiaohongshu.com/user/profile/5db46d1a0000000001006fe5" r:id="rId676"/>
    <hyperlink xmlns:r="http://schemas.openxmlformats.org/officeDocument/2006/relationships" ref="F356" display="https://pgy.xiaohongshu.com/solar/pre-trade/blogger-detail/5bf1833c0bdb020001e402e5?track_id=kolSimilar_2ce8d8ec14db4bf7b1a567b5b9aefe5f&amp;source=Advertiser_Similar_Kol" r:id="rId677"/>
    <hyperlink xmlns:r="http://schemas.openxmlformats.org/officeDocument/2006/relationships" ref="G356" display="https://www.xiaohongshu.com/user/profile/5bf1833c0bdb020001e402e5" r:id="rId678"/>
    <hyperlink xmlns:r="http://schemas.openxmlformats.org/officeDocument/2006/relationships" ref="F357" display="https://pgy.xiaohongshu.com/solar/pre-trade/blogger-detail/6357d3aa000000001802d3bd?track_id=kolSimilar_2ce8d8ec14db4bf7b1a567b5b9aefe5f&amp;source=Advertiser_Similar_Kol" r:id="rId679"/>
    <hyperlink xmlns:r="http://schemas.openxmlformats.org/officeDocument/2006/relationships" ref="G357" display="https://www.xiaohongshu.com/user/profile/6357d3aa000000001802d3bd" r:id="rId680"/>
    <hyperlink xmlns:r="http://schemas.openxmlformats.org/officeDocument/2006/relationships" ref="F359" display="https://pgy.xiaohongshu.com/solar/pre-trade/blogger-detail/5a7eeceb4eacab4bc10da15a?track_id=kolSimilar_7b08f94ba6c84459a1b60151ee612c1c&amp;source=Advertiser_Similar_Kol" r:id="rId681"/>
    <hyperlink xmlns:r="http://schemas.openxmlformats.org/officeDocument/2006/relationships" ref="G359" display="https://www.xiaohongshu.com/user/profile/5a7eeceb4eacab4bc10da15a" r:id="rId682"/>
    <hyperlink xmlns:r="http://schemas.openxmlformats.org/officeDocument/2006/relationships" ref="F360" display="https://pgy.xiaohongshu.com/solar/pre-trade/blogger-detail/54923104b4c4d6721ae5bb5c?track_id=kolMatch_0c08c7e3e3c04fe183a5ab3e115810c4&amp;source=Advertiser_Kol" r:id="rId683"/>
    <hyperlink xmlns:r="http://schemas.openxmlformats.org/officeDocument/2006/relationships" ref="G360" display="https://www.xiaohongshu.com/user/profile/54923104b4c4d6721ae5bb5c" r:id="rId684"/>
    <hyperlink xmlns:r="http://schemas.openxmlformats.org/officeDocument/2006/relationships" ref="F361" display="https://pgy.xiaohongshu.com/solar/pre-trade/blogger-detail/5e5ec9af000000000100201a?track_id=kolMatch_0c08c7e3e3c04fe183a5ab3e115810c4&amp;source=Advertiser_Kol" r:id="rId685"/>
    <hyperlink xmlns:r="http://schemas.openxmlformats.org/officeDocument/2006/relationships" ref="G361" display="https://www.xiaohongshu.com/user/profile/5e5ec9af000000000100201a" r:id="rId686"/>
    <hyperlink xmlns:r="http://schemas.openxmlformats.org/officeDocument/2006/relationships" ref="F362" display="https://pgy.xiaohongshu.com/solar/pre-trade/blogger-detail/58cdebca5e87e734faea601a?track_id=kolSimilar_ebf36afe2d864c1fb1fed00eb374202b&amp;source=Advertiser_Similar_Kol" r:id="rId687"/>
    <hyperlink xmlns:r="http://schemas.openxmlformats.org/officeDocument/2006/relationships" ref="G362" display="https://www.xiaohongshu.com/user/profile/58cdebca5e87e734faea601a" r:id="rId6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83"/>
  <sheetViews>
    <sheetView tabSelected="1" workbookViewId="0">
      <pane xSplit="10" ySplit="1" topLeftCell="K2" activePane="bottomRight" state="frozen"/>
      <selection activeCell="A1" sqref="A1"/>
      <selection pane="topRight" activeCell="A1" sqref="A1"/>
      <selection pane="bottomLeft" activeCell="A1" sqref="A1"/>
      <selection pane="bottomRight" activeCell="F22" sqref="F22"/>
    </sheetView>
  </sheetViews>
  <sheetFormatPr baseColWidth="8" defaultColWidth="14" defaultRowHeight="12.75"/>
  <cols>
    <col width="12" customWidth="1" style="151" min="1" max="1"/>
    <col width="8" customWidth="1" style="151" min="2" max="3"/>
    <col width="9" customWidth="1" style="151" min="4" max="5"/>
    <col width="13" customWidth="1" style="151" min="6" max="6"/>
    <col width="12" customWidth="1" style="151" min="7" max="8"/>
    <col width="8" customWidth="1" style="151" min="9" max="10"/>
    <col width="14" customWidth="1" style="151" min="11" max="11"/>
    <col width="14" customWidth="1" style="151" min="18" max="28"/>
    <col width="26" customWidth="1" style="151" min="20" max="20"/>
    <col width="26" customWidth="1" style="151" min="35" max="35"/>
    <col width="26" customWidth="1" style="151" min="36" max="36"/>
    <col width="26" customWidth="1" style="151" min="37" max="38"/>
  </cols>
  <sheetData>
    <row r="1" ht="49.5" customHeight="1" s="151">
      <c r="A1" s="25" t="inlineStr">
        <is>
          <t>品牌反馈</t>
        </is>
      </c>
      <c r="B1" s="25" t="inlineStr">
        <is>
          <t>品牌原因反馈</t>
        </is>
      </c>
      <c r="C1" s="25" t="inlineStr">
        <is>
          <t>达人反馈</t>
        </is>
      </c>
      <c r="D1" s="28" t="inlineStr">
        <is>
          <t>提报时间</t>
        </is>
      </c>
      <c r="E1" s="28" t="inlineStr">
        <is>
          <t>品牌/电商</t>
        </is>
      </c>
      <c r="F1" s="27" t="inlineStr">
        <is>
          <t>推荐理由</t>
        </is>
      </c>
      <c r="G1" s="28" t="inlineStr">
        <is>
          <t>KOL名称</t>
        </is>
      </c>
      <c r="H1" s="113" t="inlineStr">
        <is>
          <t>蒲公英链接</t>
        </is>
      </c>
      <c r="I1" s="113" t="inlineStr">
        <is>
          <t>主页链接</t>
        </is>
      </c>
      <c r="J1" s="113" t="inlineStr">
        <is>
          <t>参考案例</t>
        </is>
      </c>
      <c r="K1" s="28" t="inlineStr">
        <is>
          <t>ID</t>
        </is>
      </c>
      <c r="L1" s="28" t="inlineStr">
        <is>
          <t>KOL类型（家居美学/家装测评/干货分享/家装改造/话题类）</t>
        </is>
      </c>
      <c r="M1" s="28" t="inlineStr">
        <is>
          <t>KOL类型（图文/视频）</t>
        </is>
      </c>
      <c r="N1" s="28" t="inlineStr">
        <is>
          <t>量级</t>
        </is>
      </c>
      <c r="O1" s="115" t="inlineStr">
        <is>
          <t>粉丝量（w）</t>
        </is>
      </c>
      <c r="P1" s="115" t="inlineStr">
        <is>
          <t>赞藏量（w）</t>
        </is>
      </c>
      <c r="Q1" s="128" t="inlineStr">
        <is>
          <t>最终执行价格
（含折扣价）</t>
        </is>
      </c>
      <c r="R1" s="128" t="inlineStr">
        <is>
          <t>平台价格</t>
        </is>
      </c>
      <c r="S1" s="117" t="inlineStr">
        <is>
          <t>下单金额
（含平台10%）</t>
        </is>
      </c>
      <c r="T1" s="115" t="inlineStr">
        <is>
          <t>达人厨房图</t>
        </is>
      </c>
      <c r="U1" s="115" t="inlineStr">
        <is>
          <t>cpc</t>
        </is>
      </c>
      <c r="V1" s="115" t="inlineStr">
        <is>
          <t>cpe</t>
        </is>
      </c>
      <c r="W1" s="129" t="inlineStr">
        <is>
          <t>女粉占比</t>
        </is>
      </c>
      <c r="X1" s="129" t="inlineStr">
        <is>
          <t>小于18</t>
        </is>
      </c>
      <c r="Y1" s="129" t="inlineStr">
        <is>
          <t>18-24年龄占比</t>
        </is>
      </c>
      <c r="Z1" s="28" t="inlineStr">
        <is>
          <t>25-34年龄占比</t>
        </is>
      </c>
      <c r="AA1" s="28" t="inlineStr">
        <is>
          <t>35-44年龄占比</t>
        </is>
      </c>
      <c r="AB1" s="28" t="inlineStr">
        <is>
          <t>大于44</t>
        </is>
      </c>
      <c r="AC1" s="129" t="inlineStr">
        <is>
          <t>苹果用户占比</t>
        </is>
      </c>
      <c r="AD1" s="129" t="inlineStr">
        <is>
          <t>华为用户占比</t>
        </is>
      </c>
      <c r="AE1" s="115" t="inlineStr">
        <is>
          <t>近30天预估阅读量
(近30天阅读中位数）</t>
        </is>
      </c>
      <c r="AF1" s="115" t="inlineStr">
        <is>
          <t>近30天互动量
（近30天互动中位）</t>
        </is>
      </c>
      <c r="AG1" s="130" t="inlineStr">
        <is>
          <t>近30天笔记数量</t>
        </is>
      </c>
      <c r="AH1" s="130" t="inlineStr">
        <is>
          <t>近90天爆文篇数</t>
        </is>
      </c>
      <c r="AI1" s="130" t="inlineStr">
        <is>
          <t>性别占比（截图）</t>
        </is>
      </c>
      <c r="AJ1" s="130" t="inlineStr">
        <is>
          <t>粉丝年龄占比（截图）</t>
        </is>
      </c>
      <c r="AK1" s="130" t="inlineStr">
        <is>
          <t>粉丝地域（截图）</t>
        </is>
      </c>
      <c r="AL1" s="130" t="inlineStr">
        <is>
          <t>用户兴趣</t>
        </is>
      </c>
    </row>
    <row r="2" ht="19" customHeight="1" s="151">
      <c r="D2" s="131" t="n"/>
      <c r="E2" s="18" t="n"/>
      <c r="F2" s="19" t="n"/>
      <c r="G2" s="32" t="n"/>
      <c r="H2" s="7" t="n"/>
      <c r="I2" s="7" t="n"/>
      <c r="L2" s="32" t="n"/>
      <c r="S2" s="18" t="n"/>
      <c r="U2" s="132" t="n"/>
      <c r="V2" s="132" t="n"/>
    </row>
    <row r="3" ht="157.5" customHeight="1" s="151">
      <c r="D3" s="131" t="n">
        <v>46104</v>
      </c>
      <c r="E3" s="18" t="inlineStr">
        <is>
          <t>电商</t>
        </is>
      </c>
      <c r="F3" s="19" t="inlineStr">
        <is>
          <t>建议家居美学</t>
        </is>
      </c>
      <c r="G3" s="32" t="inlineStr">
        <is>
          <t>帕梨梨</t>
        </is>
      </c>
      <c r="H3" s="18" t="inlineStr">
        <is>
          <t>https://pgy.xiaohongshu.com/solar/pre-trade/blogger-detail/66a89e08000000001d030a3d?track_id=kolMatch_d1745de758dc422794010fc583d98bed&amp;source=Advertiser_Kol</t>
        </is>
      </c>
      <c r="I3" s="18" t="inlineStr">
        <is>
          <t>https://www.xiaohongshu.com/user/profile/66a89e08000000001d030a3d</t>
        </is>
      </c>
      <c r="J3" s="7" t="inlineStr">
        <is>
          <t>https://www.xiaohongshu.com/explore/698ff804000000000a03e2da?xsec_token=MBsSDBM4ukcdWKaT6DseBFEXxagLYMYFOOgq-oJdXeR7E=&amp;xsec_source=pc_pgy</t>
        </is>
      </c>
      <c r="K3" t="inlineStr">
        <is>
          <t>liyoonn</t>
        </is>
      </c>
      <c r="L3" s="18" t="inlineStr">
        <is>
          <t>家居美学</t>
        </is>
      </c>
      <c r="M3" t="inlineStr">
        <is>
          <t>视频</t>
        </is>
      </c>
      <c r="N3" t="inlineStr">
        <is>
          <t>尾部</t>
        </is>
      </c>
      <c r="O3" t="n">
        <v>1.4</v>
      </c>
      <c r="P3" t="n">
        <v>15.3</v>
      </c>
      <c r="R3" t="n">
        <v>9500</v>
      </c>
      <c r="S3" s="18">
        <f>R3*1.1</f>
        <v/>
      </c>
      <c r="T3" t="inlineStr">
        <is>
          <t>整体厨房图建联博主后给到</t>
        </is>
      </c>
      <c r="U3" s="132">
        <f>S3/AE3</f>
        <v/>
      </c>
      <c r="V3" s="132">
        <f>S3/AF3</f>
        <v/>
      </c>
      <c r="AC3" t="inlineStr">
        <is>
          <t>59%</t>
        </is>
      </c>
      <c r="AD3" t="inlineStr">
        <is>
          <t>10%</t>
        </is>
      </c>
      <c r="AE3" t="n">
        <v>20202</v>
      </c>
      <c r="AF3" t="n">
        <v>2562</v>
      </c>
      <c r="AG3" s="18" t="n">
        <v>4</v>
      </c>
      <c r="AH3" s="18" t="n">
        <v>10</v>
      </c>
      <c r="AL3" s="133" t="inlineStr">
        <is>
          <t>生活记录、家居家装、美食</t>
        </is>
      </c>
    </row>
    <row r="4" ht="19" customHeight="1" s="151">
      <c r="D4" s="131" t="n">
        <v>46104</v>
      </c>
      <c r="E4" s="18" t="inlineStr">
        <is>
          <t>电商</t>
        </is>
      </c>
      <c r="F4" s="19" t="inlineStr">
        <is>
          <t>建议家居美学</t>
        </is>
      </c>
      <c r="G4" s="32" t="inlineStr">
        <is>
          <t>芙芙的日记本</t>
        </is>
      </c>
      <c r="H4" s="18" t="inlineStr">
        <is>
          <t>https://pgy.xiaohongshu.com/solar/pre-trade/blogger-detail/6766be9800000000180176e2?track_id=kolSimilar_2f4063ec3358455399b8afe229b09290&amp;source=Advertiser_Similar_Kol</t>
        </is>
      </c>
      <c r="I4" s="18" t="inlineStr">
        <is>
          <t>https://www.xiaohongshu.com/user/profile/6766be9800000000180176e2</t>
        </is>
      </c>
      <c r="L4" s="18" t="inlineStr">
        <is>
          <t>家居美学</t>
        </is>
      </c>
      <c r="S4" s="18">
        <f>R4*1.1</f>
        <v/>
      </c>
      <c r="U4" s="132">
        <f>S4/AE4</f>
        <v/>
      </c>
      <c r="V4" s="132">
        <f>S4/AF4</f>
        <v/>
      </c>
    </row>
    <row r="5" ht="19" customHeight="1" s="151">
      <c r="D5" s="131" t="n">
        <v>46104</v>
      </c>
      <c r="E5" s="18" t="inlineStr">
        <is>
          <t>电商</t>
        </is>
      </c>
      <c r="F5" s="19" t="inlineStr">
        <is>
          <t>建议家居美学</t>
        </is>
      </c>
      <c r="G5" s="32" t="inlineStr">
        <is>
          <t>Wo不李姐</t>
        </is>
      </c>
      <c r="H5" s="18" t="inlineStr">
        <is>
          <t>https://pgy.xiaohongshu.com/solar/pre-trade/blogger-detail/61a768ab0000000010009fbb?track_id=kolSimilar_9ceb2672c00e4c4b9ea53a31f1c945a9&amp;source=Advertiser_Similar_Kol</t>
        </is>
      </c>
      <c r="I5" s="18" t="inlineStr">
        <is>
          <t>https://www.xiaohongshu.com/user/profile/61a768ab0000000010009fbb</t>
        </is>
      </c>
      <c r="L5" s="18" t="inlineStr">
        <is>
          <t>家居美学</t>
        </is>
      </c>
      <c r="S5" s="18">
        <f>R5*1.1</f>
        <v/>
      </c>
      <c r="U5" s="132">
        <f>S5/AE5</f>
        <v/>
      </c>
      <c r="V5" s="132">
        <f>S5/AF5</f>
        <v/>
      </c>
      <c r="AH5" s="18" t="n"/>
    </row>
    <row r="6" ht="19" customHeight="1" s="151">
      <c r="D6" s="131" t="n">
        <v>46104</v>
      </c>
      <c r="E6" s="18" t="inlineStr">
        <is>
          <t>电商</t>
        </is>
      </c>
      <c r="F6" s="19" t="inlineStr">
        <is>
          <t>建议家居美学</t>
        </is>
      </c>
      <c r="G6" s="32" t="inlineStr">
        <is>
          <t>冬冬姐的欧美复古家</t>
        </is>
      </c>
      <c r="H6" s="18" t="inlineStr">
        <is>
          <t>https://pgy.xiaohongshu.com/solar/pre-trade/blogger-detail/5d037cf200000000120226ec?track_id=kolSimilar_2ed5f923a2ad48ed8a8077e5eb363a60&amp;source=Advertiser_Similar_Kol</t>
        </is>
      </c>
      <c r="I6" s="18" t="inlineStr">
        <is>
          <t>https://www.xiaohongshu.com/user/profile/5d037cf200000000120226ec</t>
        </is>
      </c>
      <c r="L6" s="18" t="inlineStr">
        <is>
          <t>家居美学</t>
        </is>
      </c>
      <c r="S6" s="18">
        <f>R6*1.1</f>
        <v/>
      </c>
      <c r="U6" s="132">
        <f>S6/AE6</f>
        <v/>
      </c>
      <c r="V6" s="132">
        <f>S6/AF6</f>
        <v/>
      </c>
    </row>
    <row r="7" ht="19" customHeight="1" s="151">
      <c r="D7" s="131" t="n">
        <v>46104</v>
      </c>
      <c r="E7" s="18" t="inlineStr">
        <is>
          <t>电商</t>
        </is>
      </c>
      <c r="F7" s="134" t="inlineStr">
        <is>
          <t>建议功能创意测评</t>
        </is>
      </c>
      <c r="G7" s="32" t="inlineStr">
        <is>
          <t>顾顾好生活</t>
        </is>
      </c>
      <c r="H7" s="7" t="inlineStr">
        <is>
          <t>https://pgy.xiaohongshu.com/solar/pre-trade/blogger-detail/58df26ae50c4b41e86ba9811?track_id=kolSearch_53f484f560cf4dc39bc1d97670d05d80&amp;source=Advertiser_Kol</t>
        </is>
      </c>
      <c r="I7" s="7" t="n"/>
      <c r="L7" s="32" t="inlineStr">
        <is>
          <t>家装测评</t>
        </is>
      </c>
      <c r="S7" s="18">
        <f>R7*1.1</f>
        <v/>
      </c>
      <c r="U7" s="132">
        <f>S7/AE7</f>
        <v/>
      </c>
      <c r="V7" s="132">
        <f>S7/AF7</f>
        <v/>
      </c>
    </row>
    <row r="8" ht="19" customHeight="1" s="151">
      <c r="D8" s="131" t="n">
        <v>46104</v>
      </c>
      <c r="E8" s="18" t="inlineStr">
        <is>
          <t>电商</t>
        </is>
      </c>
      <c r="F8" s="19" t="inlineStr">
        <is>
          <t>建议家居美学</t>
        </is>
      </c>
      <c r="G8" s="32" t="inlineStr">
        <is>
          <t>小奶思</t>
        </is>
      </c>
      <c r="H8" s="18" t="inlineStr">
        <is>
          <t>https://pgy.xiaohongshu.com/solar/pre-trade/blogger-detail/56586dd97c5bb835be78c80a?track_id=kolSimilar_e702f93d41f84e15952933fbc533d580&amp;source=Advertiser_Similar_Kol</t>
        </is>
      </c>
      <c r="I8" s="18" t="inlineStr">
        <is>
          <t>https://www.xiaohongshu.com/user/profile/56586dd97c5bb835be78c80a</t>
        </is>
      </c>
      <c r="L8" s="18" t="inlineStr">
        <is>
          <t>家居美学</t>
        </is>
      </c>
      <c r="S8" s="18">
        <f>R8*1.1</f>
        <v/>
      </c>
      <c r="U8" s="132">
        <f>S8/AE8</f>
        <v/>
      </c>
      <c r="V8" s="132">
        <f>S8/AF8</f>
        <v/>
      </c>
    </row>
    <row r="9" ht="19" customHeight="1" s="151">
      <c r="D9" s="131" t="n">
        <v>46104</v>
      </c>
      <c r="E9" s="18" t="inlineStr">
        <is>
          <t>电商</t>
        </is>
      </c>
      <c r="F9" s="5" t="inlineStr">
        <is>
          <t>建议家居家装</t>
        </is>
      </c>
      <c r="G9" s="32" t="inlineStr">
        <is>
          <t>张张的口袋</t>
        </is>
      </c>
      <c r="H9" s="7" t="inlineStr">
        <is>
          <t>https://pgy.xiaohongshu.com/solar/pre-trade/blogger-detail/5d1c4b130000000010027ea5?track_id=kolSearch_bae4a1ff96d446789c8b54cdbda30d8b&amp;source=Advertiser_Kol_1</t>
        </is>
      </c>
      <c r="I9" s="7" t="n"/>
      <c r="L9" s="32" t="inlineStr">
        <is>
          <t>干货分享</t>
        </is>
      </c>
      <c r="S9" s="18">
        <f>R9*1.1</f>
        <v/>
      </c>
      <c r="U9" s="132">
        <f>S9/AE9</f>
        <v/>
      </c>
      <c r="V9" s="132">
        <f>S9/AF9</f>
        <v/>
      </c>
    </row>
    <row r="10" ht="19" customHeight="1" s="151">
      <c r="D10" s="131" t="n">
        <v>46104</v>
      </c>
      <c r="E10" s="18" t="inlineStr">
        <is>
          <t>电商</t>
        </is>
      </c>
      <c r="F10" s="5" t="inlineStr">
        <is>
          <t>建议家居家装</t>
        </is>
      </c>
      <c r="G10" s="32" t="inlineStr">
        <is>
          <t>小开心没烦恼</t>
        </is>
      </c>
      <c r="H10" s="18" t="inlineStr">
        <is>
          <t>https://pgy.xiaohongshu.com/solar/pre-trade/blogger-detail/5cee3f6b0000000018030cca?track_id=kolSimilar_1bc940eb10344e3599eb4e99fdbd89fc&amp;source=Advertiser_Similar_Kol</t>
        </is>
      </c>
      <c r="I10" s="18" t="inlineStr">
        <is>
          <t>https://www.xiaohongshu.com/user/profile/5cee3f6b0000000018030cca</t>
        </is>
      </c>
      <c r="L10" s="18" t="inlineStr">
        <is>
          <t>家居美学</t>
        </is>
      </c>
      <c r="S10" s="18">
        <f>R10*1.1</f>
        <v/>
      </c>
      <c r="U10" s="132">
        <f>S10/AE10</f>
        <v/>
      </c>
      <c r="V10" s="132">
        <f>S10/AF10</f>
        <v/>
      </c>
    </row>
    <row r="11" ht="19" customHeight="1" s="151">
      <c r="D11" s="131" t="n">
        <v>46104</v>
      </c>
      <c r="E11" s="18" t="inlineStr">
        <is>
          <t>电商</t>
        </is>
      </c>
      <c r="F11" s="134" t="inlineStr">
        <is>
          <t>建议功能创意测评</t>
        </is>
      </c>
      <c r="G11" s="5" t="inlineStr">
        <is>
          <t>张昂昂的家🏠</t>
        </is>
      </c>
      <c r="H11" s="7" t="inlineStr">
        <is>
          <t>https://pgy.xiaohongshu.com/solar/pre-trade/blogger-detail/5f22fe480000000001004796?track_id=kolSearch_318ccd412599498b9297a8de3e959585&amp;source=Advertiser_Kol</t>
        </is>
      </c>
      <c r="I11" s="7" t="n"/>
      <c r="L11" s="32" t="inlineStr">
        <is>
          <t>家装测评</t>
        </is>
      </c>
      <c r="S11" s="18">
        <f>R11*1.1</f>
        <v/>
      </c>
      <c r="U11" s="132">
        <f>S11/AE11</f>
        <v/>
      </c>
      <c r="V11" s="132">
        <f>S11/AF11</f>
        <v/>
      </c>
    </row>
    <row r="12" ht="19" customHeight="1" s="151">
      <c r="D12" s="131" t="n">
        <v>46104</v>
      </c>
      <c r="E12" s="18" t="inlineStr">
        <is>
          <t>电商</t>
        </is>
      </c>
      <c r="F12" s="19" t="inlineStr">
        <is>
          <t>建议家居美学</t>
        </is>
      </c>
      <c r="G12" s="32" t="inlineStr">
        <is>
          <t>优一妈咪</t>
        </is>
      </c>
      <c r="H12" s="18" t="inlineStr">
        <is>
          <t>https://pgy.xiaohongshu.com/solar/pre-trade/blogger-detail/55050be52e1d9359054f4dca?track_id=kolMatch_7794a23a4b764c948cf43c5fc29e5d22&amp;source=Advertiser_Kol</t>
        </is>
      </c>
      <c r="I12" s="18" t="inlineStr">
        <is>
          <t>https://www.xiaohongshu.com/user/profile/55050be52e1d9359054f4dca</t>
        </is>
      </c>
      <c r="L12" s="18" t="inlineStr">
        <is>
          <t>家居美学</t>
        </is>
      </c>
      <c r="S12" s="18">
        <f>R12*1.1</f>
        <v/>
      </c>
      <c r="U12" s="132">
        <f>S12/AE12</f>
        <v/>
      </c>
      <c r="V12" s="132">
        <f>S12/AF12</f>
        <v/>
      </c>
    </row>
    <row r="13">
      <c r="D13" s="131" t="n">
        <v>46104</v>
      </c>
      <c r="E13" s="18" t="inlineStr">
        <is>
          <t>电商</t>
        </is>
      </c>
      <c r="F13" s="19" t="inlineStr">
        <is>
          <t>建议家居美学</t>
        </is>
      </c>
      <c r="G13" s="32" t="inlineStr">
        <is>
          <t>小男的家ing</t>
        </is>
      </c>
      <c r="H13" s="7" t="inlineStr">
        <is>
          <t>https://pgy.xiaohongshu.com/solar/pre-trade/blogger-detail/594fba4982ec397bde1c9998?track_id=kolSimilar_345da337c4b94c33a6eb3a8d76e80a06&amp;source=Advertiser_Similar_Kol</t>
        </is>
      </c>
      <c r="I13" s="19" t="inlineStr">
        <is>
          <t>https://www.xiaohongshu.com/user/profile/594fba4982ec397bde1c9998</t>
        </is>
      </c>
      <c r="L13" s="18" t="inlineStr">
        <is>
          <t>家居美学</t>
        </is>
      </c>
      <c r="S13" s="18">
        <f>R13*1.1</f>
        <v/>
      </c>
      <c r="U13" s="132">
        <f>S13/AE13</f>
        <v/>
      </c>
      <c r="V13" s="132">
        <f>S13/AF13</f>
        <v/>
      </c>
    </row>
    <row r="14" ht="19" customHeight="1" s="151">
      <c r="D14" s="131" t="n">
        <v>46104</v>
      </c>
      <c r="E14" s="18" t="inlineStr">
        <is>
          <t>电商</t>
        </is>
      </c>
      <c r="F14" s="5" t="inlineStr">
        <is>
          <t>建议家居家装</t>
        </is>
      </c>
      <c r="G14" s="32" t="inlineStr">
        <is>
          <t>卡卡卡师傅</t>
        </is>
      </c>
      <c r="H14" s="18" t="inlineStr">
        <is>
          <t>https://pgy.xiaohongshu.com/solar/pre-trade/blogger-detail/5e63c2f400000000010031b4?track_id=kolSimilar_6313be65406b49cfb3959f5afa60978c&amp;source=Advertiser_Similar_Kol</t>
        </is>
      </c>
      <c r="I14" s="18" t="inlineStr">
        <is>
          <t>https://www.xiaohongshu.com/user/profile/5e63c2f400000000010031b4</t>
        </is>
      </c>
      <c r="L14" s="32" t="inlineStr">
        <is>
          <t>干货分享</t>
        </is>
      </c>
      <c r="S14" s="18">
        <f>R14*1.1</f>
        <v/>
      </c>
      <c r="U14" s="132">
        <f>S14/AE14</f>
        <v/>
      </c>
      <c r="V14" s="132">
        <f>S14/AF14</f>
        <v/>
      </c>
    </row>
    <row r="15">
      <c r="D15" s="131" t="n">
        <v>46104</v>
      </c>
      <c r="E15" s="18" t="inlineStr">
        <is>
          <t>电商</t>
        </is>
      </c>
      <c r="F15" s="19" t="inlineStr">
        <is>
          <t>建议家居美学</t>
        </is>
      </c>
      <c r="G15" s="32" t="inlineStr">
        <is>
          <t>不鱼</t>
        </is>
      </c>
      <c r="H15" s="7" t="inlineStr">
        <is>
          <t>https://pgy.xiaohongshu.com/solar/pre-trade/blogger-detail/65f161a0000000000500a702?track_id=kolSimilar_01891343d6464fce89686f8cfa133b71&amp;source=Advertiser_Similar_Kol</t>
        </is>
      </c>
      <c r="I15" s="19" t="inlineStr">
        <is>
          <t>https://www.xiaohongshu.com/user/profile/65f161a0000000000500a702</t>
        </is>
      </c>
      <c r="L15" s="18" t="inlineStr">
        <is>
          <t>家居美学</t>
        </is>
      </c>
      <c r="S15" s="18">
        <f>R15*1.1</f>
        <v/>
      </c>
      <c r="U15" s="132">
        <f>S15/AE15</f>
        <v/>
      </c>
      <c r="V15" s="132">
        <f>S15/AF15</f>
        <v/>
      </c>
    </row>
    <row r="16">
      <c r="D16" s="131" t="n">
        <v>46104</v>
      </c>
      <c r="E16" s="18" t="inlineStr">
        <is>
          <t>电商</t>
        </is>
      </c>
      <c r="F16" s="19" t="inlineStr">
        <is>
          <t>建议家居美学</t>
        </is>
      </c>
      <c r="G16" s="32" t="inlineStr">
        <is>
          <t>貝熙</t>
        </is>
      </c>
      <c r="H16" s="7" t="inlineStr">
        <is>
          <t>https://pgy.xiaohongshu.com/solar/pre-trade/blogger-detail/58c512875e87e7399e3d6d8c?track_id=kolSearch_8fcde953374c416faf72f3c7729c788f&amp;source=Advertiser_Kol</t>
        </is>
      </c>
      <c r="I16" s="19" t="n"/>
      <c r="L16" s="18" t="inlineStr">
        <is>
          <t>家居美学</t>
        </is>
      </c>
      <c r="S16" s="18">
        <f>R16*1.1</f>
        <v/>
      </c>
      <c r="U16" s="132">
        <f>S16/AE16</f>
        <v/>
      </c>
      <c r="V16" s="132">
        <f>S16/AF16</f>
        <v/>
      </c>
    </row>
    <row r="17">
      <c r="D17" s="131" t="n">
        <v>46104</v>
      </c>
      <c r="E17" s="18" t="inlineStr">
        <is>
          <t>电商</t>
        </is>
      </c>
      <c r="F17" s="5" t="inlineStr">
        <is>
          <t>建议家居家装</t>
        </is>
      </c>
      <c r="G17" s="32" t="inlineStr">
        <is>
          <t>大暖小盈</t>
        </is>
      </c>
      <c r="H17" s="7" t="inlineStr">
        <is>
          <t>https://pgy.xiaohongshu.com/solar/pre-trade/blogger-detail/570926d31c07df1c125dcbdf?track_id=kolSearch_8ce95ce6b8744714ac37a54d19aad910&amp;source=Advertiser_Kol</t>
        </is>
      </c>
      <c r="I17" s="19" t="n"/>
      <c r="L17" s="32" t="inlineStr">
        <is>
          <t>干货分享</t>
        </is>
      </c>
      <c r="S17" s="18">
        <f>R17*1.1</f>
        <v/>
      </c>
      <c r="U17" s="132">
        <f>S17/AE17</f>
        <v/>
      </c>
      <c r="V17" s="132">
        <f>S17/AF17</f>
        <v/>
      </c>
    </row>
    <row r="18">
      <c r="G18" s="32" t="n"/>
      <c r="H18" s="7" t="n"/>
      <c r="I18" s="19" t="n"/>
    </row>
    <row r="19">
      <c r="G19" s="32" t="n"/>
      <c r="H19" s="7" t="n"/>
      <c r="I19" s="19" t="n"/>
    </row>
    <row r="20">
      <c r="G20" s="32" t="n"/>
      <c r="H20" s="7" t="n"/>
      <c r="I20" s="19" t="n"/>
    </row>
    <row r="21">
      <c r="G21" s="32" t="n"/>
      <c r="H21" s="7" t="n"/>
      <c r="I21" s="19" t="n"/>
    </row>
    <row r="22">
      <c r="G22" s="32" t="n"/>
      <c r="H22" s="7" t="n"/>
      <c r="I22" s="19" t="n"/>
    </row>
    <row r="23">
      <c r="G23" s="32" t="n"/>
      <c r="H23" s="7" t="n"/>
      <c r="I23" s="19" t="n"/>
    </row>
    <row r="24">
      <c r="G24" s="32" t="n"/>
      <c r="H24" s="7" t="n"/>
      <c r="I24" s="19" t="n"/>
    </row>
    <row r="25">
      <c r="G25" s="32" t="n"/>
      <c r="H25" s="7" t="n"/>
      <c r="I25" s="19" t="n"/>
    </row>
    <row r="26">
      <c r="G26" s="32" t="n"/>
      <c r="H26" s="7" t="n"/>
      <c r="I26" s="19" t="n"/>
    </row>
    <row r="27">
      <c r="G27" s="32" t="n"/>
      <c r="H27" s="7" t="n"/>
      <c r="I27" s="19" t="n"/>
    </row>
    <row r="28">
      <c r="G28" s="32" t="n"/>
      <c r="H28" s="7" t="n"/>
      <c r="I28" s="19" t="n"/>
    </row>
    <row r="29">
      <c r="G29" s="32" t="n"/>
      <c r="H29" s="7" t="n"/>
      <c r="I29" s="19" t="n"/>
    </row>
    <row r="30">
      <c r="G30" s="32" t="n"/>
      <c r="H30" s="7" t="n"/>
      <c r="I30" s="19" t="n"/>
    </row>
    <row r="31">
      <c r="G31" s="32" t="n"/>
      <c r="H31" s="7" t="n"/>
      <c r="I31" s="19" t="n"/>
    </row>
    <row r="32">
      <c r="G32" s="32" t="n"/>
      <c r="H32" s="7" t="n"/>
      <c r="I32" s="19" t="n"/>
    </row>
    <row r="33">
      <c r="G33" s="32" t="n"/>
      <c r="H33" s="7" t="n"/>
      <c r="I33" s="19" t="n"/>
    </row>
    <row r="34">
      <c r="G34" s="32" t="n"/>
      <c r="H34" s="7" t="n"/>
      <c r="I34" s="19" t="n"/>
    </row>
    <row r="35">
      <c r="G35" s="32" t="n"/>
      <c r="H35" s="7" t="n"/>
      <c r="I35" s="19" t="n"/>
    </row>
    <row r="36">
      <c r="G36" s="32" t="n"/>
      <c r="H36" s="7" t="n"/>
      <c r="I36" s="19" t="n"/>
    </row>
    <row r="37">
      <c r="G37" s="32" t="n"/>
      <c r="H37" s="7" t="n"/>
      <c r="I37" s="19" t="n"/>
    </row>
    <row r="38">
      <c r="G38" s="32" t="n"/>
      <c r="H38" s="7" t="n"/>
      <c r="I38" s="19" t="n"/>
    </row>
    <row r="39">
      <c r="G39" s="32" t="n"/>
      <c r="H39" s="7" t="n"/>
      <c r="I39" s="19" t="n"/>
    </row>
    <row r="40">
      <c r="G40" s="32" t="n"/>
      <c r="H40" s="7" t="n"/>
      <c r="I40" s="19" t="n"/>
    </row>
    <row r="41">
      <c r="G41" s="32" t="n"/>
      <c r="H41" s="7" t="n"/>
      <c r="I41" s="19" t="n"/>
    </row>
    <row r="42">
      <c r="G42" s="32" t="n"/>
      <c r="H42" s="7" t="n"/>
      <c r="I42" s="19" t="n"/>
    </row>
    <row r="43">
      <c r="G43" s="32" t="n"/>
      <c r="H43" s="7" t="n"/>
      <c r="I43" s="19" t="n"/>
    </row>
    <row r="44">
      <c r="G44" s="32" t="n"/>
      <c r="H44" s="7" t="n"/>
      <c r="I44" s="19" t="n"/>
    </row>
    <row r="45">
      <c r="G45" s="32" t="n"/>
      <c r="H45" s="7" t="n"/>
      <c r="I45" s="19" t="n"/>
    </row>
    <row r="46">
      <c r="G46" s="32" t="n"/>
      <c r="H46" s="7" t="n"/>
      <c r="I46" s="19" t="n"/>
    </row>
    <row r="47">
      <c r="G47" s="32" t="n"/>
      <c r="H47" s="7" t="n"/>
      <c r="I47" s="19" t="n"/>
    </row>
    <row r="48">
      <c r="G48" s="32" t="n"/>
      <c r="H48" s="7" t="n"/>
      <c r="I48" s="19" t="n"/>
    </row>
    <row r="49">
      <c r="G49" s="32" t="n"/>
      <c r="H49" s="7" t="n"/>
      <c r="I49" s="19" t="n"/>
    </row>
    <row r="50">
      <c r="G50" s="32" t="n"/>
      <c r="H50" s="7" t="n"/>
      <c r="I50" s="19" t="n"/>
    </row>
    <row r="51">
      <c r="G51" s="32" t="n"/>
      <c r="H51" s="7" t="n"/>
      <c r="I51" s="19" t="n"/>
    </row>
    <row r="52">
      <c r="G52" s="32" t="n"/>
      <c r="H52" s="7" t="n"/>
      <c r="I52" s="19" t="n"/>
    </row>
    <row r="53">
      <c r="G53" s="32" t="n"/>
      <c r="H53" s="7" t="n"/>
      <c r="I53" s="19" t="n"/>
    </row>
    <row r="54">
      <c r="G54" s="32" t="n"/>
      <c r="H54" s="7" t="n"/>
      <c r="I54" s="19" t="n"/>
    </row>
    <row r="55">
      <c r="G55" s="32" t="n"/>
      <c r="H55" s="7" t="n"/>
      <c r="I55" s="19" t="n"/>
    </row>
    <row r="56">
      <c r="G56" s="32" t="n"/>
      <c r="H56" s="7" t="n"/>
      <c r="I56" s="19" t="n"/>
    </row>
    <row r="57">
      <c r="G57" s="32" t="n"/>
      <c r="H57" s="7" t="n"/>
      <c r="I57" s="19" t="n"/>
    </row>
    <row r="58">
      <c r="G58" s="32" t="n"/>
      <c r="H58" s="7" t="n"/>
      <c r="I58" s="19" t="n"/>
    </row>
    <row r="59">
      <c r="G59" s="32" t="n"/>
      <c r="H59" s="7" t="n"/>
      <c r="I59" s="19" t="n"/>
    </row>
    <row r="60">
      <c r="G60" s="32" t="n"/>
      <c r="H60" s="7" t="n"/>
      <c r="I60" s="19" t="n"/>
    </row>
    <row r="61">
      <c r="G61" s="32" t="n"/>
      <c r="H61" s="7" t="n"/>
      <c r="I61" s="19" t="n"/>
    </row>
    <row r="62">
      <c r="G62" s="32" t="n"/>
      <c r="H62" s="7" t="n"/>
      <c r="I62" s="19" t="n"/>
    </row>
    <row r="63">
      <c r="G63" s="32" t="n"/>
      <c r="H63" s="7" t="n"/>
      <c r="I63" s="19" t="n"/>
    </row>
    <row r="64">
      <c r="G64" s="32" t="n"/>
      <c r="H64" s="7" t="n"/>
      <c r="I64" s="19" t="n"/>
    </row>
    <row r="65">
      <c r="G65" s="32" t="n"/>
      <c r="H65" s="7" t="n"/>
      <c r="I65" s="19" t="n"/>
    </row>
    <row r="66">
      <c r="G66" s="32" t="n"/>
      <c r="H66" s="7" t="n"/>
      <c r="I66" s="19" t="n"/>
    </row>
    <row r="67">
      <c r="G67" s="32" t="n"/>
      <c r="H67" s="7" t="n"/>
      <c r="I67" s="19" t="n"/>
    </row>
    <row r="68">
      <c r="G68" s="32" t="n"/>
      <c r="H68" s="7" t="n"/>
      <c r="I68" s="19" t="n"/>
    </row>
    <row r="69">
      <c r="G69" s="32" t="n"/>
      <c r="H69" s="7" t="n"/>
      <c r="I69" s="19" t="n"/>
    </row>
    <row r="70">
      <c r="G70" s="32" t="n"/>
      <c r="H70" s="7" t="n"/>
      <c r="I70" s="19" t="n"/>
    </row>
    <row r="71">
      <c r="G71" s="32" t="n"/>
      <c r="H71" s="7" t="n"/>
      <c r="I71" s="19" t="n"/>
    </row>
    <row r="72">
      <c r="G72" s="32" t="n"/>
      <c r="H72" s="7" t="n"/>
      <c r="I72" s="19" t="n"/>
    </row>
    <row r="73">
      <c r="G73" s="32" t="n"/>
      <c r="H73" s="7" t="n"/>
      <c r="I73" s="19" t="n"/>
    </row>
    <row r="74">
      <c r="G74" s="32" t="n"/>
      <c r="H74" s="7" t="n"/>
      <c r="I74" s="19" t="n"/>
    </row>
    <row r="75">
      <c r="G75" s="32" t="n"/>
      <c r="H75" s="7" t="n"/>
      <c r="I75" s="19" t="n"/>
    </row>
    <row r="76">
      <c r="G76" s="32" t="n"/>
      <c r="H76" s="7" t="n"/>
      <c r="I76" s="19" t="n"/>
    </row>
    <row r="77">
      <c r="G77" s="32" t="n"/>
      <c r="H77" s="7" t="n"/>
      <c r="I77" s="19" t="n"/>
    </row>
    <row r="78">
      <c r="G78" s="32" t="n"/>
      <c r="H78" s="7" t="n"/>
      <c r="I78" s="19" t="n"/>
    </row>
    <row r="79">
      <c r="G79" s="32" t="n"/>
      <c r="H79" s="7" t="n"/>
      <c r="I79" s="19" t="n"/>
    </row>
    <row r="80">
      <c r="G80" s="32" t="n"/>
      <c r="H80" s="7" t="n"/>
      <c r="I80" s="19" t="n"/>
    </row>
    <row r="81">
      <c r="G81" s="32" t="n"/>
      <c r="H81" s="7" t="n"/>
      <c r="I81" s="19" t="n"/>
    </row>
    <row r="82">
      <c r="G82" s="32" t="n"/>
      <c r="H82" s="7" t="n"/>
      <c r="I82" s="19" t="n"/>
    </row>
    <row r="83">
      <c r="G83" s="32" t="n"/>
      <c r="H83" s="7" t="n"/>
      <c r="I83" s="19" t="n"/>
    </row>
  </sheetData>
  <conditionalFormatting sqref="G1:G1048576">
    <cfRule type="duplicateValues" priority="2" dxfId="0" stopIfTrue="1"/>
  </conditionalFormatting>
  <dataValidations count="1">
    <dataValidation sqref="E2:E17" showDropDown="0" showInputMessage="0" showErrorMessage="1" allowBlank="1" type="list">
      <formula1>"电商,品牌"</formula1>
    </dataValidation>
  </dataValidations>
  <hyperlinks>
    <hyperlink xmlns:r="http://schemas.openxmlformats.org/officeDocument/2006/relationships" ref="H3" display="https://pgy.xiaohongshu.com/solar/pre-trade/blogger-detail/66a89e08000000001d030a3d?track_id=kolMatch_d1745de758dc422794010fc583d98bed&amp;source=Advertiser_Kol" r:id="rId1"/>
    <hyperlink xmlns:r="http://schemas.openxmlformats.org/officeDocument/2006/relationships" ref="I3" display="https://www.xiaohongshu.com/user/profile/66a89e08000000001d030a3d" r:id="rId2"/>
    <hyperlink xmlns:r="http://schemas.openxmlformats.org/officeDocument/2006/relationships" ref="J3" display="https://www.xiaohongshu.com/explore/698ff804000000000a03e2da?xsec_token=MBsSDBM4ukcdWKaT6DseBFEb0SrQEuJdl6kXxe5kkRwho=&amp;xsec_source=pc_pgy" r:id="rId3"/>
    <hyperlink xmlns:r="http://schemas.openxmlformats.org/officeDocument/2006/relationships" ref="H4" display="https://pgy.xiaohongshu.com/solar/pre-trade/blogger-detail/6766be9800000000180176e2?track_id=kolSimilar_2f4063ec3358455399b8afe229b09290&amp;source=Advertiser_Similar_Kol" r:id="rId4"/>
    <hyperlink xmlns:r="http://schemas.openxmlformats.org/officeDocument/2006/relationships" ref="I4" display="https://www.xiaohongshu.com/user/profile/6766be9800000000180176e2" r:id="rId5"/>
    <hyperlink xmlns:r="http://schemas.openxmlformats.org/officeDocument/2006/relationships" ref="H5" display="https://pgy.xiaohongshu.com/solar/pre-trade/blogger-detail/61a768ab0000000010009fbb?track_id=kolSimilar_9ceb2672c00e4c4b9ea53a31f1c945a9&amp;source=Advertiser_Similar_Kol" r:id="rId6"/>
    <hyperlink xmlns:r="http://schemas.openxmlformats.org/officeDocument/2006/relationships" ref="I5" display="https://www.xiaohongshu.com/user/profile/61a768ab0000000010009fbb" r:id="rId7"/>
    <hyperlink xmlns:r="http://schemas.openxmlformats.org/officeDocument/2006/relationships" ref="H6" display="https://pgy.xiaohongshu.com/solar/pre-trade/blogger-detail/5d037cf200000000120226ec?track_id=kolSimilar_2ed5f923a2ad48ed8a8077e5eb363a60&amp;source=Advertiser_Similar_Kol" r:id="rId8"/>
    <hyperlink xmlns:r="http://schemas.openxmlformats.org/officeDocument/2006/relationships" ref="I6" display="https://www.xiaohongshu.com/user/profile/5d037cf200000000120226ec" r:id="rId9"/>
    <hyperlink xmlns:r="http://schemas.openxmlformats.org/officeDocument/2006/relationships" ref="H7" display="https://pgy.xiaohongshu.com/solar/pre-trade/blogger-detail/58df26ae50c4b41e86ba9811?track_id=kolSearch_53f484f560cf4dc39bc1d97670d05d80&amp;source=Advertiser_Kol" r:id="rId10"/>
    <hyperlink xmlns:r="http://schemas.openxmlformats.org/officeDocument/2006/relationships" ref="H8" display="https://pgy.xiaohongshu.com/solar/pre-trade/blogger-detail/56586dd97c5bb835be78c80a?track_id=kolSimilar_e702f93d41f84e15952933fbc533d580&amp;source=Advertiser_Similar_Kol" r:id="rId11"/>
    <hyperlink xmlns:r="http://schemas.openxmlformats.org/officeDocument/2006/relationships" ref="I8" display="https://www.xiaohongshu.com/user/profile/56586dd97c5bb835be78c80a" r:id="rId12"/>
    <hyperlink xmlns:r="http://schemas.openxmlformats.org/officeDocument/2006/relationships" ref="H9" display="https://pgy.xiaohongshu.com/solar/pre-trade/blogger-detail/5d1c4b130000000010027ea5?track_id=kolSearch_bae4a1ff96d446789c8b54cdbda30d8b&amp;source=Advertiser_Kol_1" r:id="rId13"/>
    <hyperlink xmlns:r="http://schemas.openxmlformats.org/officeDocument/2006/relationships" ref="H10" display="https://pgy.xiaohongshu.com/solar/pre-trade/blogger-detail/5cee3f6b0000000018030cca?track_id=kolSimilar_1bc940eb10344e3599eb4e99fdbd89fc&amp;source=Advertiser_Similar_Kol" r:id="rId14"/>
    <hyperlink xmlns:r="http://schemas.openxmlformats.org/officeDocument/2006/relationships" ref="I10" display="https://www.xiaohongshu.com/user/profile/5cee3f6b0000000018030cca" r:id="rId15"/>
    <hyperlink xmlns:r="http://schemas.openxmlformats.org/officeDocument/2006/relationships" ref="H11" display="https://pgy.xiaohongshu.com/solar/pre-trade/blogger-detail/5f22fe480000000001004796?track_id=kolSearch_318ccd412599498b9297a8de3e959585&amp;source=Advertiser_Kol" r:id="rId16"/>
    <hyperlink xmlns:r="http://schemas.openxmlformats.org/officeDocument/2006/relationships" ref="H12" display="https://pgy.xiaohongshu.com/solar/pre-trade/blogger-detail/55050be52e1d9359054f4dca?track_id=kolMatch_7794a23a4b764c948cf43c5fc29e5d22&amp;source=Advertiser_Kol" r:id="rId17"/>
    <hyperlink xmlns:r="http://schemas.openxmlformats.org/officeDocument/2006/relationships" ref="I12" display="https://www.xiaohongshu.com/user/profile/55050be52e1d9359054f4dca" r:id="rId18"/>
    <hyperlink xmlns:r="http://schemas.openxmlformats.org/officeDocument/2006/relationships" ref="H13" display="https://pgy.xiaohongshu.com/solar/pre-trade/blogger-detail/594fba4982ec397bde1c9998?track_id=kolSimilar_345da337c4b94c33a6eb3a8d76e80a06&amp;source=Advertiser_Similar_Kol" r:id="rId19"/>
    <hyperlink xmlns:r="http://schemas.openxmlformats.org/officeDocument/2006/relationships" ref="I13" display="https://www.xiaohongshu.com/user/profile/594fba4982ec397bde1c9998" r:id="rId20"/>
    <hyperlink xmlns:r="http://schemas.openxmlformats.org/officeDocument/2006/relationships" ref="H14" display="https://pgy.xiaohongshu.com/solar/pre-trade/blogger-detail/5e63c2f400000000010031b4?track_id=kolSimilar_6313be65406b49cfb3959f5afa60978c&amp;source=Advertiser_Similar_Kol" r:id="rId21"/>
    <hyperlink xmlns:r="http://schemas.openxmlformats.org/officeDocument/2006/relationships" ref="I14" display="https://www.xiaohongshu.com/user/profile/5e63c2f400000000010031b4" r:id="rId22"/>
    <hyperlink xmlns:r="http://schemas.openxmlformats.org/officeDocument/2006/relationships" ref="H15" display="https://pgy.xiaohongshu.com/solar/pre-trade/blogger-detail/65f161a0000000000500a702?track_id=kolSimilar_01891343d6464fce89686f8cfa133b71&amp;source=Advertiser_Similar_Kol" r:id="rId23"/>
    <hyperlink xmlns:r="http://schemas.openxmlformats.org/officeDocument/2006/relationships" ref="I15" display="https://www.xiaohongshu.com/user/profile/65f161a0000000000500a702" r:id="rId24"/>
    <hyperlink xmlns:r="http://schemas.openxmlformats.org/officeDocument/2006/relationships" ref="H16" display="https://pgy.xiaohongshu.com/solar/pre-trade/blogger-detail/58c512875e87e7399e3d6d8c?track_id=kolSearch_8fcde953374c416faf72f3c7729c788f&amp;source=Advertiser_Kol" r:id="rId25"/>
    <hyperlink xmlns:r="http://schemas.openxmlformats.org/officeDocument/2006/relationships" ref="H17" display="https://pgy.xiaohongshu.com/solar/pre-trade/blogger-detail/570926d31c07df1c125dcbdf?track_id=kolSearch_8ce95ce6b8744714ac37a54d19aad910&amp;source=Advertiser_Kol" r:id="rId26"/>
  </hyperlinks>
  <pageMargins left="0.75" right="0.75" top="1" bottom="1" header="0.5" footer="0.5"/>
  <drawing xmlns:r="http://schemas.openxmlformats.org/officeDocument/2006/relationships" r:id="rId27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E526"/>
  <sheetViews>
    <sheetView workbookViewId="0">
      <pane xSplit="8" ySplit="1" topLeftCell="I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4" defaultRowHeight="12.75"/>
  <cols>
    <col width="11" customWidth="1" style="151" min="4" max="4"/>
    <col width="19" customWidth="1" style="151" min="5" max="5"/>
    <col width="14" customWidth="1" style="151" min="6" max="6"/>
    <col width="14" customWidth="1" style="151" min="10" max="10"/>
    <col width="14" customWidth="1" style="151" min="24" max="27"/>
  </cols>
  <sheetData>
    <row r="1" ht="49.5" customHeight="1" s="151">
      <c r="A1" s="25" t="inlineStr">
        <is>
          <t>客户反馈</t>
        </is>
      </c>
      <c r="B1" s="26" t="inlineStr">
        <is>
          <t>达人反馈</t>
        </is>
      </c>
      <c r="C1" s="28" t="inlineStr">
        <is>
          <t>日期</t>
        </is>
      </c>
      <c r="D1" s="28" t="inlineStr">
        <is>
          <t>品牌/电商</t>
        </is>
      </c>
      <c r="E1" s="27" t="inlineStr">
        <is>
          <t>KOL名称</t>
        </is>
      </c>
      <c r="F1" s="113" t="n"/>
      <c r="G1" s="113" t="inlineStr">
        <is>
          <t>蒲公英链接</t>
        </is>
      </c>
      <c r="H1" s="113" t="inlineStr">
        <is>
          <t>主页链接</t>
        </is>
      </c>
      <c r="I1" s="28" t="inlineStr">
        <is>
          <t>ID</t>
        </is>
      </c>
      <c r="J1" s="27" t="n"/>
      <c r="K1" s="27" t="inlineStr">
        <is>
          <t>KOL类型</t>
        </is>
      </c>
      <c r="L1" s="27" t="inlineStr">
        <is>
          <t>量级</t>
        </is>
      </c>
      <c r="M1" s="114" t="inlineStr">
        <is>
          <t>粉丝量（w）</t>
        </is>
      </c>
      <c r="N1" s="114" t="inlineStr">
        <is>
          <t>赞藏量（w）</t>
        </is>
      </c>
      <c r="O1" s="27" t="inlineStr">
        <is>
          <t>合作形式</t>
        </is>
      </c>
      <c r="P1" s="27" t="inlineStr">
        <is>
          <t>女粉占比</t>
        </is>
      </c>
      <c r="Q1" s="27" t="inlineStr">
        <is>
          <t>18-24年龄占比</t>
        </is>
      </c>
      <c r="R1" s="27" t="inlineStr">
        <is>
          <t>25-34年龄占比</t>
        </is>
      </c>
      <c r="S1" s="27" t="inlineStr">
        <is>
          <t>35-44年龄占比</t>
        </is>
      </c>
      <c r="T1" s="27" t="inlineStr">
        <is>
          <t>苹果用户占比</t>
        </is>
      </c>
      <c r="U1" s="27" t="inlineStr">
        <is>
          <t>华为用户占比</t>
        </is>
      </c>
      <c r="V1" s="115" t="inlineStr">
        <is>
          <t>近30天预估阅读量
(近30天阅读中位数）</t>
        </is>
      </c>
      <c r="W1" s="115" t="inlineStr">
        <is>
          <t>近30天互动量
（近30天互动中位）</t>
        </is>
      </c>
      <c r="X1" s="116" t="inlineStr">
        <is>
          <t>平台价格</t>
        </is>
      </c>
      <c r="Y1" s="117" t="inlineStr">
        <is>
          <t>下单金额
（含平台10%）</t>
        </is>
      </c>
      <c r="Z1" s="114" t="inlineStr">
        <is>
          <t>cpc</t>
        </is>
      </c>
      <c r="AA1" s="114" t="inlineStr">
        <is>
          <t>cpe</t>
        </is>
      </c>
      <c r="AB1" s="18" t="n"/>
      <c r="AC1" s="18" t="n"/>
      <c r="AD1" s="18" t="n"/>
      <c r="AE1" s="18" t="n"/>
    </row>
    <row r="2">
      <c r="A2" s="18" t="n"/>
      <c r="B2" s="18" t="n"/>
      <c r="C2" s="17" t="n">
        <v>46083</v>
      </c>
      <c r="D2" s="18" t="inlineStr">
        <is>
          <t>品牌</t>
        </is>
      </c>
      <c r="E2" s="18" t="inlineStr">
        <is>
          <t>阿梨是大人</t>
        </is>
      </c>
      <c r="F2" s="19" t="n"/>
      <c r="G2" s="19" t="inlineStr">
        <is>
          <t>https://pgy.xiaohongshu.com/solar/pre-trade/blogger-detail/6051c5660000000001003999?track_id=kolMatch_e5d4f1c458fd42dda1d84a9d8e94cbcd&amp;source=Advertiser_Kol</t>
        </is>
      </c>
      <c r="H2" s="19" t="inlineStr">
        <is>
          <t>https://www.xiaohongshu.com/user/profile/6051c5660000000001003999</t>
        </is>
      </c>
      <c r="I2" s="18" t="inlineStr">
        <is>
          <t>Ali1998</t>
        </is>
      </c>
      <c r="J2" s="18" t="n"/>
      <c r="K2" s="18" t="inlineStr">
        <is>
          <t>家居家装</t>
        </is>
      </c>
      <c r="L2" s="18" t="inlineStr">
        <is>
          <t>koc</t>
        </is>
      </c>
      <c r="M2" s="18" t="n">
        <v>0.6</v>
      </c>
      <c r="N2" s="18" t="n">
        <v>15.3</v>
      </c>
      <c r="O2" s="18" t="inlineStr">
        <is>
          <t>图文</t>
        </is>
      </c>
      <c r="P2" s="21" t="n">
        <v>0.71</v>
      </c>
      <c r="Q2" s="21" t="n">
        <v>0.09</v>
      </c>
      <c r="R2" s="21" t="n">
        <v>0.55</v>
      </c>
      <c r="S2" s="21" t="n">
        <v>0.22</v>
      </c>
      <c r="T2" s="21" t="n">
        <v>0.62</v>
      </c>
      <c r="U2" s="21" t="n">
        <v>0.15</v>
      </c>
      <c r="V2" s="22" t="n">
        <v>10496</v>
      </c>
      <c r="W2" s="18" t="n">
        <v>806</v>
      </c>
      <c r="X2" s="18" t="n">
        <v>1800</v>
      </c>
      <c r="Y2" s="18">
        <f>X2*1.1</f>
        <v/>
      </c>
      <c r="Z2" s="20">
        <f>Y2/V2</f>
        <v/>
      </c>
      <c r="AA2" s="20">
        <f>Y2/W2</f>
        <v/>
      </c>
      <c r="AB2" s="18" t="n"/>
      <c r="AC2" s="18" t="n"/>
      <c r="AD2" s="18" t="n"/>
      <c r="AE2" s="18" t="n"/>
    </row>
    <row r="3">
      <c r="A3" s="18" t="n"/>
      <c r="B3" s="18" t="n"/>
      <c r="C3" s="17" t="n">
        <v>46083</v>
      </c>
      <c r="D3" s="18" t="inlineStr">
        <is>
          <t>品牌</t>
        </is>
      </c>
      <c r="E3" s="18" t="inlineStr">
        <is>
          <t>胡胡就是胡胡</t>
        </is>
      </c>
      <c r="F3" s="19" t="n"/>
      <c r="G3" s="19" t="inlineStr">
        <is>
          <t>https://pgy.xiaohongshu.com/solar/pre-trade/blogger-detail/5ad174534eacab6488b4a7b6?track_id=kolMatch_e5d4f1c458fd42dda1d84a9d8e94cbcd&amp;source=Advertiser_Kol</t>
        </is>
      </c>
      <c r="H3" s="19" t="inlineStr">
        <is>
          <t>https://www.xiaohongshu.com/user/profile/5ad174534eacab6488b4a7b6</t>
        </is>
      </c>
      <c r="I3" s="118" t="n">
        <v>423108742</v>
      </c>
      <c r="J3" s="18" t="n"/>
      <c r="K3" s="18" t="inlineStr">
        <is>
          <t>家居家装</t>
        </is>
      </c>
      <c r="L3" s="18" t="inlineStr">
        <is>
          <t>koc</t>
        </is>
      </c>
      <c r="M3" s="18" t="n">
        <v>1.9</v>
      </c>
      <c r="N3" s="18" t="n">
        <v>14</v>
      </c>
      <c r="O3" s="18" t="inlineStr">
        <is>
          <t>图文</t>
        </is>
      </c>
      <c r="P3" s="21" t="n">
        <v>0.9399999999999999</v>
      </c>
      <c r="Q3" s="21" t="n">
        <v>0.06</v>
      </c>
      <c r="R3" s="21" t="n">
        <v>0.49</v>
      </c>
      <c r="S3" s="21" t="n">
        <v>0.31</v>
      </c>
      <c r="T3" s="21" t="n">
        <v>0.54</v>
      </c>
      <c r="U3" s="21" t="n">
        <v>0.17</v>
      </c>
      <c r="V3" s="22" t="n">
        <v>4293</v>
      </c>
      <c r="W3" s="18" t="n">
        <v>349</v>
      </c>
      <c r="X3" s="18" t="n">
        <v>1609</v>
      </c>
      <c r="Y3" s="18">
        <f>X3*1.1</f>
        <v/>
      </c>
      <c r="Z3" s="20">
        <f>Y3/V3</f>
        <v/>
      </c>
      <c r="AA3" s="20">
        <f>Y3/W3</f>
        <v/>
      </c>
      <c r="AB3" s="18" t="n"/>
      <c r="AC3" s="18" t="n"/>
      <c r="AD3" s="18" t="n"/>
      <c r="AE3" s="18" t="n"/>
    </row>
    <row r="4">
      <c r="A4" s="18" t="n"/>
      <c r="B4" s="18" t="n"/>
      <c r="C4" s="17" t="n">
        <v>46083</v>
      </c>
      <c r="D4" s="18" t="inlineStr">
        <is>
          <t>品牌</t>
        </is>
      </c>
      <c r="E4" s="18" t="inlineStr">
        <is>
          <t>wy11</t>
        </is>
      </c>
      <c r="F4" s="19" t="n"/>
      <c r="G4" s="19" t="inlineStr">
        <is>
          <t>https://pgy.xiaohongshu.com/solar/pre-trade/blogger-detail/6673d6b5000000001e009fb7?track_id=kolMatch_e5d4f1c458fd42dda1d84a9d8e94cbcd&amp;source=Advertiser_Kol</t>
        </is>
      </c>
      <c r="H4" s="19" t="inlineStr">
        <is>
          <t>https://www.xiaohongshu.com/user/profile/6673d6b5000000001e009fb7</t>
        </is>
      </c>
      <c r="I4" s="18" t="n">
        <v>95227103907</v>
      </c>
      <c r="J4" s="18" t="n"/>
      <c r="K4" s="18" t="inlineStr">
        <is>
          <t>家居家装</t>
        </is>
      </c>
      <c r="L4" s="18" t="inlineStr">
        <is>
          <t>koc</t>
        </is>
      </c>
      <c r="M4" s="18" t="n">
        <v>0.43</v>
      </c>
      <c r="N4" s="18" t="n">
        <v>9.300000000000001</v>
      </c>
      <c r="O4" s="18" t="inlineStr">
        <is>
          <t>图文</t>
        </is>
      </c>
      <c r="P4" s="21" t="n">
        <v>0.91</v>
      </c>
      <c r="Q4" s="21" t="n">
        <v>0.15</v>
      </c>
      <c r="R4" s="21" t="n">
        <v>0.68</v>
      </c>
      <c r="S4" s="21" t="n">
        <v>0.11</v>
      </c>
      <c r="T4" s="21" t="n">
        <v>0.6899999999999999</v>
      </c>
      <c r="U4" s="21" t="n">
        <v>0.09</v>
      </c>
      <c r="V4" s="22" t="n">
        <v>1908</v>
      </c>
      <c r="W4" s="18" t="n">
        <v>52</v>
      </c>
      <c r="X4" s="18" t="n">
        <v>1300</v>
      </c>
      <c r="Y4" s="18">
        <f>X4*1.1</f>
        <v/>
      </c>
      <c r="Z4" s="20">
        <f>Y4/V4</f>
        <v/>
      </c>
      <c r="AA4" s="20">
        <f>Y4/W4</f>
        <v/>
      </c>
      <c r="AB4" s="18" t="n"/>
      <c r="AC4" s="18" t="n"/>
      <c r="AD4" s="18" t="n"/>
      <c r="AE4" s="18" t="n"/>
    </row>
    <row r="5">
      <c r="A5" s="18" t="n"/>
      <c r="B5" s="18" t="n"/>
      <c r="C5" s="17" t="n">
        <v>46083</v>
      </c>
      <c r="D5" s="18" t="inlineStr">
        <is>
          <t>品牌</t>
        </is>
      </c>
      <c r="E5" s="18" t="inlineStr">
        <is>
          <t>陈kiki的窝</t>
        </is>
      </c>
      <c r="F5" s="19" t="n"/>
      <c r="G5" s="19" t="inlineStr">
        <is>
          <t>https://pgy.xiaohongshu.com/solar/pre-trade/blogger-detail/58381a1082ec3913e86dc0a5?track_id=kolMatch_097bbcb74a5f4e0d9c7e3df2d920f8cf&amp;source=Advertiser_Kol</t>
        </is>
      </c>
      <c r="H5" s="19" t="inlineStr">
        <is>
          <t>https://www.xiaohongshu.com/user/profile/58381a1082ec3913e86dc0a5</t>
        </is>
      </c>
      <c r="I5" s="118" t="n">
        <v>565677162</v>
      </c>
      <c r="J5" s="18" t="n"/>
      <c r="K5" s="18" t="inlineStr">
        <is>
          <t>家居家装</t>
        </is>
      </c>
      <c r="L5" s="18" t="inlineStr">
        <is>
          <t>koc</t>
        </is>
      </c>
      <c r="M5" s="18" t="n">
        <v>0.27</v>
      </c>
      <c r="N5" s="18" t="n">
        <v>6.6</v>
      </c>
      <c r="O5" s="18" t="inlineStr">
        <is>
          <t>图文</t>
        </is>
      </c>
      <c r="P5" s="21" t="n">
        <v>0.7</v>
      </c>
      <c r="Q5" s="21" t="n">
        <v>0.14</v>
      </c>
      <c r="R5" s="21" t="n">
        <v>0.61</v>
      </c>
      <c r="S5" s="21" t="n">
        <v>0.17</v>
      </c>
      <c r="T5" s="21" t="n">
        <v>0.61</v>
      </c>
      <c r="U5" s="21" t="n">
        <v>0.1</v>
      </c>
      <c r="V5" s="22" t="n">
        <v>8413</v>
      </c>
      <c r="W5" s="18" t="n">
        <v>738</v>
      </c>
      <c r="X5" s="18" t="n">
        <v>1100</v>
      </c>
      <c r="Y5" s="18">
        <f>X5*1.1</f>
        <v/>
      </c>
      <c r="Z5" s="20">
        <f>Y5/V5</f>
        <v/>
      </c>
      <c r="AA5" s="20">
        <f>Y5/W5</f>
        <v/>
      </c>
      <c r="AB5" s="18" t="n"/>
      <c r="AC5" s="18" t="n"/>
      <c r="AD5" s="18" t="n"/>
      <c r="AE5" s="18" t="n"/>
    </row>
    <row r="6">
      <c r="A6" s="18" t="n"/>
      <c r="B6" s="18" t="n"/>
      <c r="C6" s="17" t="n">
        <v>46083</v>
      </c>
      <c r="D6" s="18" t="inlineStr">
        <is>
          <t>品牌</t>
        </is>
      </c>
      <c r="E6" s="18" t="inlineStr">
        <is>
          <t>今天也很困</t>
        </is>
      </c>
      <c r="F6" s="19" t="n"/>
      <c r="G6" s="19" t="inlineStr">
        <is>
          <t>https://pgy.xiaohongshu.com/solar/pre-trade/blogger-detail/5d2b29f60000000010015c6d?track_id=kolMatch_097bbcb74a5f4e0d9c7e3df2d920f8cf&amp;source=Advertiser_Kol</t>
        </is>
      </c>
      <c r="H6" s="19" t="inlineStr">
        <is>
          <t>https://www.xiaohongshu.com/user/profile/5d2b29f60000000010015c6d</t>
        </is>
      </c>
      <c r="I6" s="118" t="n">
        <v>927227215</v>
      </c>
      <c r="J6" s="18" t="n"/>
      <c r="K6" s="18" t="inlineStr">
        <is>
          <t>家居家装</t>
        </is>
      </c>
      <c r="L6" s="18" t="inlineStr">
        <is>
          <t>koc</t>
        </is>
      </c>
      <c r="M6" s="18" t="n">
        <v>0.92</v>
      </c>
      <c r="N6" s="18" t="n">
        <v>23.2</v>
      </c>
      <c r="O6" s="18" t="inlineStr">
        <is>
          <t>图文</t>
        </is>
      </c>
      <c r="P6" s="21" t="n">
        <v>0.85</v>
      </c>
      <c r="Q6" s="21" t="n">
        <v>0.13</v>
      </c>
      <c r="R6" s="21" t="n">
        <v>0.63</v>
      </c>
      <c r="S6" s="21" t="n">
        <v>0.16</v>
      </c>
      <c r="T6" s="21" t="n">
        <v>0.66</v>
      </c>
      <c r="U6" s="21" t="n">
        <v>0.13</v>
      </c>
      <c r="V6" s="22" t="n">
        <v>9174</v>
      </c>
      <c r="W6" s="22" t="n">
        <v>1276</v>
      </c>
      <c r="X6" s="18" t="n">
        <v>1200</v>
      </c>
      <c r="Y6" s="18">
        <f>X6*1.1</f>
        <v/>
      </c>
      <c r="Z6" s="20">
        <f>Y6/V6</f>
        <v/>
      </c>
      <c r="AA6" s="20">
        <f>Y6/W6</f>
        <v/>
      </c>
      <c r="AB6" s="18" t="n"/>
      <c r="AC6" s="18" t="n"/>
      <c r="AD6" s="18" t="n"/>
      <c r="AE6" s="18" t="n"/>
    </row>
    <row r="7">
      <c r="A7" s="18" t="n"/>
      <c r="B7" s="18" t="n"/>
      <c r="C7" s="17" t="n">
        <v>46083</v>
      </c>
      <c r="D7" s="18" t="inlineStr">
        <is>
          <t>电商</t>
        </is>
      </c>
      <c r="E7" s="18" t="inlineStr">
        <is>
          <t>羊羊羊的家🏠（软装中）</t>
        </is>
      </c>
      <c r="F7" s="19" t="n"/>
      <c r="G7" s="19" t="inlineStr">
        <is>
          <t>https://pgy.xiaohongshu.com/solar/pre-trade/blogger-detail/6661d8f8000000000b0304cd?track_id=kolMatch_116e304b51a040989cc928afb0c6e818&amp;source=Advertiser_Kol</t>
        </is>
      </c>
      <c r="H7" s="19" t="inlineStr">
        <is>
          <t>https://www.xiaohongshu.com/user/profile/6661d8f8000000000b0304cd</t>
        </is>
      </c>
      <c r="I7" s="118" t="n">
        <v>11566248295</v>
      </c>
      <c r="J7" s="18" t="n"/>
      <c r="K7" s="18" t="inlineStr">
        <is>
          <t>家居家装</t>
        </is>
      </c>
      <c r="L7" s="18" t="inlineStr">
        <is>
          <t>koc</t>
        </is>
      </c>
      <c r="M7" s="18" t="n">
        <v>0.72</v>
      </c>
      <c r="N7" s="18" t="n">
        <v>6.4</v>
      </c>
      <c r="O7" s="18" t="inlineStr">
        <is>
          <t>图文</t>
        </is>
      </c>
      <c r="P7" s="21" t="n">
        <v>0.9</v>
      </c>
      <c r="Q7" s="21" t="n">
        <v>0.04</v>
      </c>
      <c r="R7" s="21" t="n">
        <v>0.84</v>
      </c>
      <c r="S7" s="21" t="n">
        <v>0.05</v>
      </c>
      <c r="T7" s="21" t="n">
        <v>0.15</v>
      </c>
      <c r="U7" s="21" t="n">
        <v>0.46</v>
      </c>
      <c r="V7" s="22" t="n">
        <v>2552</v>
      </c>
      <c r="W7" s="18" t="n">
        <v>160</v>
      </c>
      <c r="X7" s="18" t="n">
        <v>1000</v>
      </c>
      <c r="Y7" s="18">
        <f>X7*1.1</f>
        <v/>
      </c>
      <c r="Z7" s="20">
        <f>Y7/V7</f>
        <v/>
      </c>
      <c r="AA7" s="20">
        <f>Y7/W7</f>
        <v/>
      </c>
      <c r="AB7" s="18" t="n"/>
      <c r="AC7" s="18" t="n"/>
      <c r="AD7" s="18" t="n"/>
      <c r="AE7" s="18" t="n"/>
    </row>
    <row r="8">
      <c r="A8" s="18" t="n"/>
      <c r="B8" s="18" t="n"/>
      <c r="C8" s="17" t="n">
        <v>46083</v>
      </c>
      <c r="D8" s="18" t="inlineStr">
        <is>
          <t>电商</t>
        </is>
      </c>
      <c r="E8" s="18" t="inlineStr">
        <is>
          <t>大竹的家</t>
        </is>
      </c>
      <c r="F8" s="19" t="n"/>
      <c r="G8" s="19" t="inlineStr">
        <is>
          <t>https://pgy.xiaohongshu.com/solar/pre-trade/blogger-detail/5902959f82ec39046a041ee6?track_id=kolMatch_116e304b51a040989cc928afb0c6e818&amp;source=Advertiser_Kol</t>
        </is>
      </c>
      <c r="H8" s="19" t="inlineStr">
        <is>
          <t>https://www.xiaohongshu.com/user/profile/5902959f82ec39046a041ee6</t>
        </is>
      </c>
      <c r="I8" s="118" t="inlineStr">
        <is>
          <t>zxcfy800</t>
        </is>
      </c>
      <c r="J8" s="18" t="n"/>
      <c r="K8" s="18" t="inlineStr">
        <is>
          <t>家居家装</t>
        </is>
      </c>
      <c r="L8" s="18" t="inlineStr">
        <is>
          <t>koc</t>
        </is>
      </c>
      <c r="M8" s="18" t="n">
        <v>0.14</v>
      </c>
      <c r="N8" s="18" t="n">
        <v>5.7</v>
      </c>
      <c r="O8" s="18" t="inlineStr">
        <is>
          <t>图文</t>
        </is>
      </c>
      <c r="P8" s="21" t="n">
        <v>0.88</v>
      </c>
      <c r="Q8" s="21" t="n">
        <v>0.08</v>
      </c>
      <c r="R8" s="18" t="n">
        <v>575</v>
      </c>
      <c r="S8" s="21" t="n">
        <v>0.25</v>
      </c>
      <c r="T8" s="21" t="n">
        <v>0.65</v>
      </c>
      <c r="U8" s="21" t="n">
        <v>0.14</v>
      </c>
      <c r="V8" s="22" t="n">
        <v>2760</v>
      </c>
      <c r="W8" s="18" t="n">
        <v>170</v>
      </c>
      <c r="X8" s="18" t="n">
        <v>700</v>
      </c>
      <c r="Y8" s="18">
        <f>X8*1.1</f>
        <v/>
      </c>
      <c r="Z8" s="20">
        <f>Y8/V8</f>
        <v/>
      </c>
      <c r="AA8" s="20">
        <f>Y8/W8</f>
        <v/>
      </c>
      <c r="AB8" s="18" t="n"/>
      <c r="AC8" s="18" t="n"/>
      <c r="AD8" s="18" t="n"/>
      <c r="AE8" s="18" t="n"/>
    </row>
    <row r="9">
      <c r="A9" s="18" t="n"/>
      <c r="B9" s="18" t="n"/>
      <c r="C9" s="17" t="n">
        <v>46083</v>
      </c>
      <c r="D9" s="18" t="inlineStr">
        <is>
          <t>品牌</t>
        </is>
      </c>
      <c r="E9" s="18" t="inlineStr">
        <is>
          <t>167h 的独居小家</t>
        </is>
      </c>
      <c r="F9" s="19" t="n"/>
      <c r="G9" s="19" t="inlineStr">
        <is>
          <t>https://pgy.xiaohongshu.com/solar/pre-trade/blogger-detail/5a2a3d7111be10599ff4912a?track_id=kolMatch_116e304b51a040989cc928afb0c6e818&amp;source=Advertiser_Kol</t>
        </is>
      </c>
      <c r="H9" s="19" t="inlineStr">
        <is>
          <t>https://www.xiaohongshu.com/user/profile/5a2a3d7111be10599ff4912a</t>
        </is>
      </c>
      <c r="I9" s="118" t="n">
        <v>420130483</v>
      </c>
      <c r="J9" s="18" t="n"/>
      <c r="K9" s="18" t="inlineStr">
        <is>
          <t>家居家装</t>
        </is>
      </c>
      <c r="L9" s="18" t="inlineStr">
        <is>
          <t>koc</t>
        </is>
      </c>
      <c r="M9" s="18" t="n">
        <v>0.18</v>
      </c>
      <c r="N9" s="18" t="n">
        <v>3.6</v>
      </c>
      <c r="O9" s="18" t="inlineStr">
        <is>
          <t>图文</t>
        </is>
      </c>
      <c r="P9" s="21" t="n">
        <v>0.9</v>
      </c>
      <c r="Q9" s="21" t="n">
        <v>0.21</v>
      </c>
      <c r="R9" s="21" t="n">
        <v>0.61</v>
      </c>
      <c r="S9" s="21" t="n">
        <v>0.11</v>
      </c>
      <c r="T9" s="21" t="n">
        <v>0.57</v>
      </c>
      <c r="U9" s="21" t="n">
        <v>0.12</v>
      </c>
      <c r="V9" s="22" t="n">
        <v>2678</v>
      </c>
      <c r="W9" s="18" t="n">
        <v>379</v>
      </c>
      <c r="X9" s="18" t="n">
        <v>1000</v>
      </c>
      <c r="Y9" s="18">
        <f>X9*1.1</f>
        <v/>
      </c>
      <c r="Z9" s="20">
        <f>Y9/V9</f>
        <v/>
      </c>
      <c r="AA9" s="20">
        <f>Y9/W9</f>
        <v/>
      </c>
      <c r="AB9" s="18" t="n"/>
      <c r="AC9" s="18" t="n"/>
      <c r="AD9" s="18" t="n"/>
      <c r="AE9" s="18" t="n"/>
    </row>
    <row r="10">
      <c r="A10" s="18" t="n"/>
      <c r="B10" s="18" t="n"/>
      <c r="C10" s="17" t="n">
        <v>46083</v>
      </c>
      <c r="D10" s="18" t="inlineStr">
        <is>
          <t>品牌</t>
        </is>
      </c>
      <c r="E10" s="18" t="inlineStr">
        <is>
          <t>陈乐乐的家</t>
        </is>
      </c>
      <c r="F10" s="19" t="n"/>
      <c r="G10" s="19" t="inlineStr">
        <is>
          <t>https://pgy.xiaohongshu.com/solar/pre-trade/blogger-detail/65e23917000000000500a638?track_id=kolMatch_4cab5520dd18420fb13ac967a9a30f6d&amp;source=Advertiser_Kol</t>
        </is>
      </c>
      <c r="H10" s="19" t="inlineStr">
        <is>
          <t>https://www.xiaohongshu.com/user/profile/65e23917000000000500a638</t>
        </is>
      </c>
      <c r="I10" s="118" t="n">
        <v>49519991996</v>
      </c>
      <c r="J10" s="18" t="n"/>
      <c r="K10" s="18" t="inlineStr">
        <is>
          <t>家居家装</t>
        </is>
      </c>
      <c r="L10" s="18" t="inlineStr">
        <is>
          <t>koc</t>
        </is>
      </c>
      <c r="M10" s="18" t="n">
        <v>0.74</v>
      </c>
      <c r="N10" s="18" t="n">
        <v>3.9</v>
      </c>
      <c r="O10" s="18" t="inlineStr">
        <is>
          <t>图文</t>
        </is>
      </c>
      <c r="P10" s="21" t="n">
        <v>0.9</v>
      </c>
      <c r="Q10" s="21" t="n">
        <v>0.08</v>
      </c>
      <c r="R10" s="21" t="n">
        <v>0.77</v>
      </c>
      <c r="S10" s="21" t="n">
        <v>0.09</v>
      </c>
      <c r="T10" s="21" t="n">
        <v>0.19</v>
      </c>
      <c r="U10" s="21" t="n">
        <v>0.53</v>
      </c>
      <c r="V10" s="22" t="n">
        <v>9822</v>
      </c>
      <c r="W10" s="18" t="n">
        <v>368</v>
      </c>
      <c r="X10" s="18" t="n">
        <v>900</v>
      </c>
      <c r="Y10" s="18">
        <f>X10*1.1</f>
        <v/>
      </c>
      <c r="Z10" s="20">
        <f>Y10/V10</f>
        <v/>
      </c>
      <c r="AA10" s="20">
        <f>Y10/W10</f>
        <v/>
      </c>
      <c r="AB10" s="18" t="n"/>
      <c r="AC10" s="18" t="n"/>
      <c r="AD10" s="18" t="n"/>
      <c r="AE10" s="18" t="n"/>
    </row>
    <row r="11">
      <c r="A11" s="18" t="n"/>
      <c r="B11" s="18" t="n"/>
      <c r="C11" s="17" t="n">
        <v>46083</v>
      </c>
      <c r="D11" s="18" t="inlineStr">
        <is>
          <t>电商</t>
        </is>
      </c>
      <c r="E11" s="18" t="inlineStr">
        <is>
          <t>悦悦爱家</t>
        </is>
      </c>
      <c r="F11" s="19" t="n"/>
      <c r="G11" s="19" t="inlineStr">
        <is>
          <t>https://pgy.xiaohongshu.com/solar/pre-trade/blogger-detail/62ba37dd000000001b0254a5?track_id=kolMatch_f09eb6f5346c4659bd79b498d7478c0c&amp;source=Advertiser_Kol</t>
        </is>
      </c>
      <c r="H11" s="19" t="inlineStr">
        <is>
          <t>https://www.xiaohongshu.com/user/profile/62ba37dd000000001b0254a5</t>
        </is>
      </c>
      <c r="I11" s="118" t="n">
        <v>5412607223</v>
      </c>
      <c r="J11" s="18" t="n"/>
      <c r="K11" s="18" t="inlineStr">
        <is>
          <t>家居家装</t>
        </is>
      </c>
      <c r="L11" s="18" t="inlineStr">
        <is>
          <t>koc</t>
        </is>
      </c>
      <c r="M11" s="18" t="n">
        <v>0.62</v>
      </c>
      <c r="N11" s="18" t="n">
        <v>3.1</v>
      </c>
      <c r="O11" s="18" t="inlineStr">
        <is>
          <t>图文</t>
        </is>
      </c>
      <c r="P11" s="21" t="n">
        <v>0.92</v>
      </c>
      <c r="Q11" s="21" t="n">
        <v>0.07000000000000001</v>
      </c>
      <c r="R11" s="21" t="n">
        <v>0.8100000000000001</v>
      </c>
      <c r="S11" s="21" t="n">
        <v>0.06</v>
      </c>
      <c r="T11" s="21" t="n">
        <v>0.33</v>
      </c>
      <c r="U11" s="21" t="n">
        <v>0.41</v>
      </c>
      <c r="V11" s="22" t="n">
        <v>3387</v>
      </c>
      <c r="W11" s="18" t="n">
        <v>226</v>
      </c>
      <c r="X11" s="18" t="n">
        <v>500</v>
      </c>
      <c r="Y11" s="18">
        <f>X11*1.1</f>
        <v/>
      </c>
      <c r="Z11" s="20">
        <f>Y11/V11</f>
        <v/>
      </c>
      <c r="AA11" s="20">
        <f>Y11/W11</f>
        <v/>
      </c>
      <c r="AB11" s="18" t="n"/>
      <c r="AC11" s="18" t="n"/>
      <c r="AD11" s="18" t="n"/>
      <c r="AE11" s="18" t="n"/>
    </row>
    <row r="12">
      <c r="A12" s="18" t="n"/>
      <c r="B12" s="18" t="n"/>
      <c r="C12" s="17" t="n">
        <v>46083</v>
      </c>
      <c r="D12" s="18" t="inlineStr">
        <is>
          <t>电商</t>
        </is>
      </c>
      <c r="E12" s="18" t="inlineStr">
        <is>
          <t>皮宝的家🏠</t>
        </is>
      </c>
      <c r="F12" s="19" t="n"/>
      <c r="G12" s="19" t="inlineStr">
        <is>
          <t>https://pgy.xiaohongshu.com/solar/pre-trade/blogger-detail/66bf5cce000000001d032b64?track_id=kolMatch_4cab5520dd18420fb13ac967a9a30f6d&amp;source=Advertiser_Kol</t>
        </is>
      </c>
      <c r="H12" s="19" t="inlineStr">
        <is>
          <t>https://www.xiaohongshu.com/user/profile/66bf5cce000000001d032b64</t>
        </is>
      </c>
      <c r="I12" s="118" t="n">
        <v>26267190417</v>
      </c>
      <c r="J12" s="18" t="n"/>
      <c r="K12" s="18" t="inlineStr">
        <is>
          <t>家居家装</t>
        </is>
      </c>
      <c r="L12" s="18" t="inlineStr">
        <is>
          <t>koc</t>
        </is>
      </c>
      <c r="M12" s="18" t="n">
        <v>0.34</v>
      </c>
      <c r="N12" s="18" t="n">
        <v>4.6</v>
      </c>
      <c r="O12" s="18" t="inlineStr">
        <is>
          <t>图文</t>
        </is>
      </c>
      <c r="P12" s="21" t="n">
        <v>0.84</v>
      </c>
      <c r="Q12" s="21" t="n">
        <v>0.09</v>
      </c>
      <c r="R12" s="21" t="n">
        <v>0.67</v>
      </c>
      <c r="S12" s="21" t="n">
        <v>0.1</v>
      </c>
      <c r="T12" s="21" t="n">
        <v>0.28</v>
      </c>
      <c r="U12" s="21" t="n">
        <v>0.29</v>
      </c>
      <c r="V12" s="22" t="n">
        <v>1432</v>
      </c>
      <c r="W12" s="18" t="n">
        <v>357</v>
      </c>
      <c r="X12" s="18" t="n">
        <v>680</v>
      </c>
      <c r="Y12" s="18">
        <f>X12*1.1</f>
        <v/>
      </c>
      <c r="Z12" s="20">
        <f>Y12/V12</f>
        <v/>
      </c>
      <c r="AA12" s="20">
        <f>Y12/W12</f>
        <v/>
      </c>
      <c r="AB12" s="18" t="n"/>
      <c r="AC12" s="18" t="n"/>
      <c r="AD12" s="18" t="n"/>
      <c r="AE12" s="18" t="n"/>
    </row>
    <row r="13">
      <c r="A13" s="18" t="n"/>
      <c r="B13" s="18" t="n"/>
      <c r="C13" s="17" t="n">
        <v>46083</v>
      </c>
      <c r="D13" s="18" t="inlineStr">
        <is>
          <t>品牌</t>
        </is>
      </c>
      <c r="E13" s="18" t="inlineStr">
        <is>
          <t>系可乐bb</t>
        </is>
      </c>
      <c r="F13" s="19" t="n"/>
      <c r="G13" s="19" t="inlineStr">
        <is>
          <t>https://pgy.xiaohongshu.com/solar/pre-trade/blogger-detail/6678e0660000000007005c29?track_id=kolMatch_4cab5520dd18420fb13ac967a9a30f6d&amp;source=Advertiser_Kol</t>
        </is>
      </c>
      <c r="H13" s="19" t="inlineStr">
        <is>
          <t>https://www.xiaohongshu.com/user/profile/6678e0660000000007005c29</t>
        </is>
      </c>
      <c r="I13" s="118" t="inlineStr">
        <is>
          <t>keleee0816</t>
        </is>
      </c>
      <c r="J13" s="18" t="n"/>
      <c r="K13" s="18" t="inlineStr">
        <is>
          <t>家居家装</t>
        </is>
      </c>
      <c r="L13" s="18" t="inlineStr">
        <is>
          <t>koc</t>
        </is>
      </c>
      <c r="M13" s="18" t="inlineStr">
        <is>
          <t>0,.86</t>
        </is>
      </c>
      <c r="N13" s="18" t="n">
        <v>7.2</v>
      </c>
      <c r="O13" s="18" t="inlineStr">
        <is>
          <t>图文</t>
        </is>
      </c>
      <c r="P13" s="21" t="n">
        <v>0.88</v>
      </c>
      <c r="Q13" s="21" t="n">
        <v>0.07000000000000001</v>
      </c>
      <c r="R13" s="21" t="n">
        <v>0.67</v>
      </c>
      <c r="S13" s="21" t="n">
        <v>0.15</v>
      </c>
      <c r="T13" s="21" t="n">
        <v>0.16</v>
      </c>
      <c r="U13" s="21" t="n">
        <v>0.42</v>
      </c>
      <c r="V13" s="22" t="n">
        <v>2024</v>
      </c>
      <c r="W13" s="18" t="n">
        <v>152</v>
      </c>
      <c r="X13" s="18" t="n">
        <v>1000</v>
      </c>
      <c r="Y13" s="18">
        <f>X13*1.1</f>
        <v/>
      </c>
      <c r="Z13" s="20">
        <f>Y13/V13</f>
        <v/>
      </c>
      <c r="AA13" s="20">
        <f>Y13/W13</f>
        <v/>
      </c>
      <c r="AB13" s="18" t="n"/>
      <c r="AC13" s="18" t="n"/>
      <c r="AD13" s="18" t="n"/>
      <c r="AE13" s="18" t="n"/>
    </row>
    <row r="14">
      <c r="A14" s="18" t="n"/>
      <c r="B14" s="18" t="n"/>
      <c r="C14" s="17" t="n">
        <v>46083</v>
      </c>
      <c r="D14" s="18" t="inlineStr">
        <is>
          <t>电商</t>
        </is>
      </c>
      <c r="E14" s="18" t="inlineStr">
        <is>
          <t>涂涂不偷懒</t>
        </is>
      </c>
      <c r="F14" s="19" t="n"/>
      <c r="G14" s="19" t="inlineStr">
        <is>
          <t>https://pgy.xiaohongshu.com/solar/pre-trade/blogger-detail/5739f87a5e87e74cf6e4b93f?track_id=kolMatch_9de4fd3b2ef842d2a493d1f259f2803c&amp;source=Advertiser_Kol</t>
        </is>
      </c>
      <c r="H14" s="19" t="inlineStr">
        <is>
          <t>https://www.xiaohongshu.com/user/profile/5739f87a5e87e74cf6e4b93f</t>
        </is>
      </c>
      <c r="I14" s="18" t="n">
        <v>649805204</v>
      </c>
      <c r="J14" s="18" t="n"/>
      <c r="K14" s="18" t="inlineStr">
        <is>
          <t>家居家装</t>
        </is>
      </c>
      <c r="L14" s="18" t="inlineStr">
        <is>
          <t>koc</t>
        </is>
      </c>
      <c r="M14" s="18" t="n">
        <v>0.3</v>
      </c>
      <c r="N14" s="18" t="n">
        <v>4.3</v>
      </c>
      <c r="O14" s="18" t="inlineStr">
        <is>
          <t>图文</t>
        </is>
      </c>
      <c r="P14" s="21" t="n">
        <v>0.84</v>
      </c>
      <c r="Q14" s="21" t="n">
        <v>0.06</v>
      </c>
      <c r="R14" s="21" t="n">
        <v>0.67</v>
      </c>
      <c r="S14" s="21" t="n">
        <v>0.13</v>
      </c>
      <c r="T14" s="21" t="n">
        <v>0.28</v>
      </c>
      <c r="U14" s="21" t="n">
        <v>0.41</v>
      </c>
      <c r="V14" s="22" t="n">
        <v>1390</v>
      </c>
      <c r="W14" s="18" t="n">
        <v>200</v>
      </c>
      <c r="X14" s="18" t="n">
        <v>300</v>
      </c>
      <c r="Y14" s="18">
        <f>X14*1.1</f>
        <v/>
      </c>
      <c r="Z14" s="20">
        <f>Y14/V14</f>
        <v/>
      </c>
      <c r="AA14" s="20">
        <f>Y14/W14</f>
        <v/>
      </c>
      <c r="AB14" s="18" t="n"/>
      <c r="AC14" s="18" t="n"/>
      <c r="AD14" s="18" t="n"/>
      <c r="AE14" s="18" t="n"/>
    </row>
    <row r="15">
      <c r="A15" s="18" t="n"/>
      <c r="B15" s="18" t="n"/>
      <c r="C15" s="17" t="n">
        <v>46083</v>
      </c>
      <c r="D15" s="18" t="inlineStr">
        <is>
          <t>品牌</t>
        </is>
      </c>
      <c r="E15" s="18" t="inlineStr">
        <is>
          <t>🐱喵大侠的家「软装中」</t>
        </is>
      </c>
      <c r="F15" s="19" t="n"/>
      <c r="G15" s="19" t="inlineStr">
        <is>
          <t>https://pgy.xiaohongshu.com/solar/pre-trade/blogger-detail/5dd3693c0000000001008c1c?track_id=kolMatch_9de4fd3b2ef842d2a493d1f259f2803c&amp;source=Advertiser_Kol</t>
        </is>
      </c>
      <c r="H15" s="19" t="inlineStr">
        <is>
          <t>https://www.xiaohongshu.com/user/profile/5dd3693c0000000001008c1c</t>
        </is>
      </c>
      <c r="I15" s="18" t="n">
        <v>780123972</v>
      </c>
      <c r="J15" s="18" t="n"/>
      <c r="K15" s="18" t="inlineStr">
        <is>
          <t>家居家装</t>
        </is>
      </c>
      <c r="L15" s="18" t="inlineStr">
        <is>
          <t>koc</t>
        </is>
      </c>
      <c r="M15" s="18" t="inlineStr">
        <is>
          <t>0,.24</t>
        </is>
      </c>
      <c r="N15" s="18" t="n">
        <v>1.6</v>
      </c>
      <c r="O15" s="18" t="inlineStr">
        <is>
          <t>图文</t>
        </is>
      </c>
      <c r="P15" s="21" t="n">
        <v>0.75</v>
      </c>
      <c r="Q15" s="21" t="n">
        <v>0.08</v>
      </c>
      <c r="R15" s="21" t="n">
        <v>0.59</v>
      </c>
      <c r="S15" s="21" t="n">
        <v>0.24</v>
      </c>
      <c r="T15" s="21" t="n">
        <v>0.54</v>
      </c>
      <c r="U15" s="21" t="n">
        <v>0.16</v>
      </c>
      <c r="V15" s="18" t="n">
        <v>678</v>
      </c>
      <c r="W15" s="18" t="n">
        <v>45</v>
      </c>
      <c r="X15" s="18" t="n">
        <v>200</v>
      </c>
      <c r="Y15" s="18">
        <f>X15*1.1</f>
        <v/>
      </c>
      <c r="Z15" s="20">
        <f>Y15/V15</f>
        <v/>
      </c>
      <c r="AA15" s="20">
        <f>Y15/W15</f>
        <v/>
      </c>
      <c r="AB15" s="18" t="n"/>
      <c r="AC15" s="18" t="n"/>
      <c r="AD15" s="18" t="n"/>
      <c r="AE15" s="18" t="n"/>
    </row>
    <row r="16" ht="13.1" customHeight="1" s="151">
      <c r="A16" s="18" t="n"/>
      <c r="B16" s="18" t="n"/>
      <c r="C16" s="17" t="n">
        <v>46083</v>
      </c>
      <c r="D16" s="18" t="inlineStr">
        <is>
          <t>电商</t>
        </is>
      </c>
      <c r="E16" s="18" t="inlineStr">
        <is>
          <t>杜杜</t>
        </is>
      </c>
      <c r="F16" s="19" t="n"/>
      <c r="G16" s="19" t="inlineStr">
        <is>
          <t>https://pgy.xiaohongshu.com/solar/pre-trade/blogger-detail/5fb7d7e7000000000101ea2d?track_id=kolMatch_9de4fd3b2ef842d2a493d1f259f2803c&amp;source=Advertiser_Kol</t>
        </is>
      </c>
      <c r="H16" s="19" t="inlineStr">
        <is>
          <t>https://www.xiaohongshu.com/user/profile/5fb7d7e7000000000101ea2d</t>
        </is>
      </c>
      <c r="I16" s="118" t="n">
        <v>1035945519</v>
      </c>
      <c r="J16" s="18" t="n"/>
      <c r="K16" s="18" t="inlineStr">
        <is>
          <t>家居家装</t>
        </is>
      </c>
      <c r="L16" s="18" t="inlineStr">
        <is>
          <t>koc</t>
        </is>
      </c>
      <c r="M16" s="18" t="n">
        <v>1.3</v>
      </c>
      <c r="N16" s="18" t="n">
        <v>3.3</v>
      </c>
      <c r="O16" s="18" t="inlineStr">
        <is>
          <t>图文</t>
        </is>
      </c>
      <c r="P16" s="21" t="n">
        <v>0.9399999999999999</v>
      </c>
      <c r="Q16" s="21" t="n">
        <v>0.03</v>
      </c>
      <c r="R16" s="21" t="n">
        <v>0.9</v>
      </c>
      <c r="S16" s="21" t="n">
        <v>0.02</v>
      </c>
      <c r="T16" s="21" t="n">
        <v>0.19</v>
      </c>
      <c r="U16" s="21" t="n">
        <v>0.57</v>
      </c>
      <c r="V16" s="119" t="n">
        <v>3054</v>
      </c>
      <c r="W16" s="18" t="n">
        <v>125</v>
      </c>
      <c r="X16" s="18" t="n">
        <v>800</v>
      </c>
      <c r="Y16" s="18">
        <f>X16*1.1</f>
        <v/>
      </c>
      <c r="Z16" s="20">
        <f>Y16/V16</f>
        <v/>
      </c>
      <c r="AA16" s="20">
        <f>Y16/W16</f>
        <v/>
      </c>
      <c r="AB16" s="18" t="n"/>
      <c r="AC16" s="18" t="n"/>
      <c r="AD16" s="18" t="n"/>
      <c r="AE16" s="18" t="n"/>
    </row>
    <row r="17">
      <c r="A17" s="18" t="n"/>
      <c r="B17" s="18" t="n"/>
      <c r="C17" s="17" t="n">
        <v>46083</v>
      </c>
      <c r="D17" s="18" t="inlineStr">
        <is>
          <t>电商</t>
        </is>
      </c>
      <c r="E17" s="18" t="inlineStr">
        <is>
          <t>CC的小屋子🎈</t>
        </is>
      </c>
      <c r="F17" s="19" t="n"/>
      <c r="G17" s="19" t="inlineStr">
        <is>
          <t>https://pgy.xiaohongshu.com/solar/pre-trade/blogger-detail/554f0df6b203d9114e8d9b3f?track_id=kolMatch_9de4fd3b2ef842d2a493d1f259f2803c&amp;source=Advertiser_Kol</t>
        </is>
      </c>
      <c r="H17" s="19" t="inlineStr">
        <is>
          <t>https://www.xiaohongshu.com/user/profile/554f0df6b203d9114e8d9b3f</t>
        </is>
      </c>
      <c r="I17" s="18" t="inlineStr">
        <is>
          <t>cclittlehome</t>
        </is>
      </c>
      <c r="J17" s="18" t="n"/>
      <c r="K17" s="18" t="inlineStr">
        <is>
          <t>家居家装</t>
        </is>
      </c>
      <c r="L17" s="18" t="inlineStr">
        <is>
          <t>koc</t>
        </is>
      </c>
      <c r="M17" s="18" t="n">
        <v>0.35</v>
      </c>
      <c r="N17" s="18" t="n">
        <v>4.7</v>
      </c>
      <c r="O17" s="18" t="inlineStr">
        <is>
          <t>图文</t>
        </is>
      </c>
      <c r="P17" s="21" t="n">
        <v>0.8</v>
      </c>
      <c r="Q17" s="21" t="n">
        <v>0.12</v>
      </c>
      <c r="R17" s="21" t="n">
        <v>0.54</v>
      </c>
      <c r="S17" s="21" t="n">
        <v>0.19</v>
      </c>
      <c r="T17" s="21" t="n">
        <v>0.44</v>
      </c>
      <c r="U17" s="21" t="n">
        <v>0.21</v>
      </c>
      <c r="V17" s="22" t="n">
        <v>2426</v>
      </c>
      <c r="W17" s="18" t="n">
        <v>212</v>
      </c>
      <c r="X17" s="18" t="n">
        <v>950</v>
      </c>
      <c r="Y17" s="18">
        <f>X17*1.1</f>
        <v/>
      </c>
      <c r="Z17" s="20">
        <f>Y17/V17</f>
        <v/>
      </c>
      <c r="AA17" s="20">
        <f>Y17/W17</f>
        <v/>
      </c>
      <c r="AB17" s="18" t="n"/>
      <c r="AC17" s="18" t="n"/>
      <c r="AD17" s="18" t="n"/>
      <c r="AE17" s="18" t="n"/>
    </row>
    <row r="18">
      <c r="A18" s="18" t="n"/>
      <c r="B18" s="18" t="n"/>
      <c r="C18" s="17" t="n">
        <v>46083</v>
      </c>
      <c r="D18" s="18" t="inlineStr">
        <is>
          <t>品牌</t>
        </is>
      </c>
      <c r="E18" s="18" t="inlineStr">
        <is>
          <t>酸菜困困包</t>
        </is>
      </c>
      <c r="F18" s="19" t="n"/>
      <c r="G18" s="19" t="inlineStr">
        <is>
          <t>https://pgy.xiaohongshu.com/solar/pre-trade/blogger-detail/68ed9a23000000003700048b?track_id=kolMatch_9de4fd3b2ef842d2a493d1f259f2803c&amp;source=Advertiser_Kol</t>
        </is>
      </c>
      <c r="H18" s="19" t="inlineStr">
        <is>
          <t>https://www.xiaohongshu.com/user/profile/68ed9a23000000003700048b</t>
        </is>
      </c>
      <c r="I18" s="118" t="n">
        <v>42255116692</v>
      </c>
      <c r="J18" s="18" t="n"/>
      <c r="K18" s="18" t="inlineStr">
        <is>
          <t>家居家装</t>
        </is>
      </c>
      <c r="L18" s="18" t="inlineStr">
        <is>
          <t>koc</t>
        </is>
      </c>
      <c r="M18" s="18" t="n">
        <v>0.38</v>
      </c>
      <c r="N18" s="18" t="n">
        <v>1.4</v>
      </c>
      <c r="O18" s="18" t="inlineStr">
        <is>
          <t>图文</t>
        </is>
      </c>
      <c r="P18" s="21" t="n">
        <v>0.87</v>
      </c>
      <c r="Q18" s="21" t="n">
        <v>0.21</v>
      </c>
      <c r="R18" s="21" t="n">
        <v>0.6</v>
      </c>
      <c r="S18" s="21" t="n">
        <v>0.15</v>
      </c>
      <c r="T18" s="18" t="n">
        <v>975</v>
      </c>
      <c r="U18" s="35" t="n">
        <v>0.005</v>
      </c>
      <c r="V18" s="22" t="n">
        <v>1667</v>
      </c>
      <c r="W18" s="18" t="n">
        <v>185</v>
      </c>
      <c r="X18" s="18" t="n">
        <v>300</v>
      </c>
      <c r="Y18" s="18">
        <f>X18*1.1</f>
        <v/>
      </c>
      <c r="Z18" s="20">
        <f>Y18/V18</f>
        <v/>
      </c>
      <c r="AA18" s="20">
        <f>Y18/W18</f>
        <v/>
      </c>
      <c r="AB18" s="18" t="n"/>
      <c r="AC18" s="18" t="n"/>
      <c r="AD18" s="18" t="n"/>
      <c r="AE18" s="18" t="n"/>
    </row>
    <row r="19">
      <c r="A19" s="18" t="n"/>
      <c r="B19" s="18" t="n"/>
      <c r="C19" s="17" t="n">
        <v>46083</v>
      </c>
      <c r="D19" s="18" t="inlineStr">
        <is>
          <t>电商</t>
        </is>
      </c>
      <c r="E19" s="18" t="inlineStr">
        <is>
          <t>李初雪</t>
        </is>
      </c>
      <c r="F19" s="19" t="n"/>
      <c r="G19" s="19" t="inlineStr">
        <is>
          <t>https://pgy.xiaohongshu.com/solar/pre-trade/blogger-detail/594b707e5e87e773f506d280?track_id=kolMatch_6ef72ac6c0e04e74bb662952230175e4&amp;source=Advertiser_Kol</t>
        </is>
      </c>
      <c r="H19" s="19" t="inlineStr">
        <is>
          <t>https://www.xiaohongshu.com/user/profile/594b707e5e87e773f506d280</t>
        </is>
      </c>
      <c r="I19" s="118" t="inlineStr">
        <is>
          <t>x2352863912</t>
        </is>
      </c>
      <c r="J19" s="18" t="n"/>
      <c r="K19" s="18" t="inlineStr">
        <is>
          <t>家居家装</t>
        </is>
      </c>
      <c r="L19" s="18" t="inlineStr">
        <is>
          <t>koc</t>
        </is>
      </c>
      <c r="M19" s="18" t="n">
        <v>0.8</v>
      </c>
      <c r="N19" s="18" t="n">
        <v>4.3</v>
      </c>
      <c r="O19" s="18" t="inlineStr">
        <is>
          <t>图文</t>
        </is>
      </c>
      <c r="P19" s="21" t="n">
        <v>0.85</v>
      </c>
      <c r="Q19" s="21" t="n">
        <v>0.12</v>
      </c>
      <c r="R19" s="21" t="n">
        <v>0.7</v>
      </c>
      <c r="S19" s="21" t="n">
        <v>0.09</v>
      </c>
      <c r="T19" s="21" t="n">
        <v>0.24</v>
      </c>
      <c r="U19" s="21" t="n">
        <v>0.41</v>
      </c>
      <c r="V19" s="22" t="n">
        <v>3032</v>
      </c>
      <c r="W19" s="18" t="n">
        <v>446</v>
      </c>
      <c r="X19" s="18" t="n">
        <v>670</v>
      </c>
      <c r="Y19" s="18">
        <f>X19*1.1</f>
        <v/>
      </c>
      <c r="Z19" s="20">
        <f>Y19/V19</f>
        <v/>
      </c>
      <c r="AA19" s="20">
        <f>Y19/W19</f>
        <v/>
      </c>
      <c r="AB19" s="18" t="n"/>
      <c r="AC19" s="18" t="n"/>
      <c r="AD19" s="18" t="n"/>
      <c r="AE19" s="18" t="n"/>
    </row>
    <row r="20">
      <c r="A20" s="18" t="n"/>
      <c r="B20" s="18" t="n"/>
      <c r="C20" s="17" t="n">
        <v>46083</v>
      </c>
      <c r="D20" s="18" t="inlineStr">
        <is>
          <t>电商</t>
        </is>
      </c>
      <c r="E20" s="18" t="inlineStr">
        <is>
          <t>雪雪宅家记</t>
        </is>
      </c>
      <c r="F20" s="19" t="n"/>
      <c r="G20" s="19" t="inlineStr">
        <is>
          <t>https://pgy.xiaohongshu.com/solar/pre-trade/blogger-detail/5cf20e24000000001003c189?track_id=kolMatch_6ef72ac6c0e04e74bb662952230175e4&amp;source=Advertiser_Kol</t>
        </is>
      </c>
      <c r="H20" s="19" t="inlineStr">
        <is>
          <t>https://www.xiaohongshu.com/user/profile/5cf20e24000000001003c189</t>
        </is>
      </c>
      <c r="I20" s="118" t="n">
        <v>996181071</v>
      </c>
      <c r="J20" s="18" t="n"/>
      <c r="K20" s="18" t="inlineStr">
        <is>
          <t>家居家装</t>
        </is>
      </c>
      <c r="L20" s="18" t="inlineStr">
        <is>
          <t>koc</t>
        </is>
      </c>
      <c r="M20" s="18" t="n">
        <v>0.22</v>
      </c>
      <c r="N20" s="18" t="n">
        <v>1.1</v>
      </c>
      <c r="O20" s="18" t="inlineStr">
        <is>
          <t>图文</t>
        </is>
      </c>
      <c r="P20" s="21" t="n">
        <v>0.8</v>
      </c>
      <c r="Q20" s="21" t="n">
        <v>0.15</v>
      </c>
      <c r="R20" s="21" t="n">
        <v>0.64</v>
      </c>
      <c r="S20" s="21" t="n">
        <v>0.13</v>
      </c>
      <c r="T20" s="21" t="n">
        <v>0.74</v>
      </c>
      <c r="U20" s="21" t="n">
        <v>0.07000000000000001</v>
      </c>
      <c r="V20" s="22" t="n">
        <v>2175</v>
      </c>
      <c r="W20" s="18" t="n">
        <v>180</v>
      </c>
      <c r="X20" s="18" t="n">
        <v>450</v>
      </c>
      <c r="Y20" s="18">
        <f>X20*1.1</f>
        <v/>
      </c>
      <c r="Z20" s="20">
        <f>Y20/V20</f>
        <v/>
      </c>
      <c r="AA20" s="20">
        <f>Y20/W20</f>
        <v/>
      </c>
      <c r="AB20" s="18" t="n"/>
      <c r="AC20" s="18" t="n"/>
      <c r="AD20" s="18" t="n"/>
      <c r="AE20" s="18" t="n"/>
    </row>
    <row r="21" ht="15" customHeight="1" s="151">
      <c r="A21" s="18" t="n"/>
      <c r="B21" s="18" t="n"/>
      <c r="C21" s="17" t="n">
        <v>46083</v>
      </c>
      <c r="D21" s="18" t="inlineStr">
        <is>
          <t>品牌</t>
        </is>
      </c>
      <c r="E21" s="18" t="inlineStr">
        <is>
          <t>YY的小屋（软装中）</t>
        </is>
      </c>
      <c r="F21" s="19" t="n"/>
      <c r="G21" s="19" t="inlineStr">
        <is>
          <t>https://pgy.xiaohongshu.com/solar/pre-trade/blogger-detail/5e98559900000000010046ed?track_id=kolMatch_721ba45f35674b4b8eb7d2844ab5fbd9&amp;source=Advertiser_Kol</t>
        </is>
      </c>
      <c r="H21" s="19" t="inlineStr">
        <is>
          <t>https://www.xiaohongshu.com/user/profile/5e98559900000000010046ed</t>
        </is>
      </c>
      <c r="I21" s="118" t="inlineStr">
        <is>
          <t>YY05071314</t>
        </is>
      </c>
      <c r="J21" s="18" t="n"/>
      <c r="K21" s="18" t="inlineStr">
        <is>
          <t>家居家装</t>
        </is>
      </c>
      <c r="L21" s="18" t="inlineStr">
        <is>
          <t>koc</t>
        </is>
      </c>
      <c r="M21" s="18" t="n">
        <v>0.41</v>
      </c>
      <c r="N21" s="18" t="n">
        <v>2.3</v>
      </c>
      <c r="O21" s="18" t="inlineStr">
        <is>
          <t>图文</t>
        </is>
      </c>
      <c r="P21" s="21" t="n">
        <v>0.88</v>
      </c>
      <c r="Q21" s="21" t="n">
        <v>0.06</v>
      </c>
      <c r="R21" s="21" t="n">
        <v>0.71</v>
      </c>
      <c r="S21" s="21" t="n">
        <v>0.08</v>
      </c>
      <c r="T21" s="21" t="n">
        <v>0.14</v>
      </c>
      <c r="U21" s="21" t="n">
        <v>0.49</v>
      </c>
      <c r="V21" s="120" t="n">
        <v>1840</v>
      </c>
      <c r="W21" s="18" t="n">
        <v>153</v>
      </c>
      <c r="X21" s="18" t="n">
        <v>800</v>
      </c>
      <c r="Y21" s="18">
        <f>X21*1.1</f>
        <v/>
      </c>
      <c r="Z21" s="20">
        <f>Y21/V21</f>
        <v/>
      </c>
      <c r="AA21" s="20">
        <f>Y21/W21</f>
        <v/>
      </c>
      <c r="AB21" s="18" t="n"/>
      <c r="AC21" s="18" t="n"/>
      <c r="AD21" s="18" t="n"/>
      <c r="AE21" s="18" t="n"/>
    </row>
    <row r="22">
      <c r="A22" s="18" t="n"/>
      <c r="B22" s="18" t="n"/>
      <c r="C22" s="17" t="n">
        <v>46083</v>
      </c>
      <c r="D22" s="18" t="inlineStr">
        <is>
          <t>品牌</t>
        </is>
      </c>
      <c r="E22" s="18" t="inlineStr">
        <is>
          <t>Lanfufu的家</t>
        </is>
      </c>
      <c r="F22" s="19" t="n"/>
      <c r="G22" s="19" t="inlineStr">
        <is>
          <t>https://pgy.xiaohongshu.com/solar/pre-trade/blogger-detail/5df7be23000000000100b1ec?track_id=kolMatch_721ba45f35674b4b8eb7d2844ab5fbd9&amp;source=Advertiser_Kol</t>
        </is>
      </c>
      <c r="H22" s="19" t="inlineStr">
        <is>
          <t>https://www.xiaohongshu.com/user/profile/5df7be23000000000100b1ec</t>
        </is>
      </c>
      <c r="I22" s="118" t="n">
        <v>441481509</v>
      </c>
      <c r="J22" s="18" t="n"/>
      <c r="K22" s="18" t="inlineStr">
        <is>
          <t>家居家装</t>
        </is>
      </c>
      <c r="L22" s="18" t="inlineStr">
        <is>
          <t>koc</t>
        </is>
      </c>
      <c r="M22" s="18" t="n">
        <v>1.1</v>
      </c>
      <c r="N22" s="18" t="n">
        <v>2.9</v>
      </c>
      <c r="O22" s="18" t="inlineStr">
        <is>
          <t>图文</t>
        </is>
      </c>
      <c r="P22" s="21" t="n">
        <v>0.89</v>
      </c>
      <c r="Q22" s="21" t="n">
        <v>0.11</v>
      </c>
      <c r="R22" s="21" t="n">
        <v>0.73</v>
      </c>
      <c r="S22" s="21" t="n">
        <v>0.1</v>
      </c>
      <c r="T22" s="21" t="n">
        <v>0.85</v>
      </c>
      <c r="U22" s="21" t="n">
        <v>0.04</v>
      </c>
      <c r="V22" s="22" t="n">
        <v>4988</v>
      </c>
      <c r="W22" s="18" t="n">
        <v>128</v>
      </c>
      <c r="X22" s="18" t="n">
        <v>800</v>
      </c>
      <c r="Y22" s="18">
        <f>X22*1.1</f>
        <v/>
      </c>
      <c r="Z22" s="20">
        <f>Y22/V22</f>
        <v/>
      </c>
      <c r="AA22" s="20">
        <f>Y22/W22</f>
        <v/>
      </c>
      <c r="AB22" s="18" t="n"/>
      <c r="AC22" s="18" t="n"/>
      <c r="AD22" s="18" t="n"/>
      <c r="AE22" s="18" t="n"/>
    </row>
    <row r="23">
      <c r="A23" s="18" t="n"/>
      <c r="B23" s="18" t="n"/>
      <c r="C23" s="17" t="n">
        <v>46083</v>
      </c>
      <c r="D23" s="18" t="inlineStr">
        <is>
          <t>电商</t>
        </is>
      </c>
      <c r="E23" s="18" t="inlineStr">
        <is>
          <t>一一妈妈的家</t>
        </is>
      </c>
      <c r="F23" s="19" t="n"/>
      <c r="G23" s="19" t="inlineStr">
        <is>
          <t>https://pgy.xiaohongshu.com/solar/pre-trade/blogger-detail/60b4cb350000000001001d4a?track_id=kolMatch_721ba45f35674b4b8eb7d2844ab5fbd9&amp;source=Advertiser_Kol</t>
        </is>
      </c>
      <c r="H23" s="19" t="inlineStr">
        <is>
          <t>https://www.xiaohongshu.com/user/profile/60b4cb350000000001001d4a</t>
        </is>
      </c>
      <c r="I23" s="118" t="n">
        <v>9418583709</v>
      </c>
      <c r="J23" s="18" t="n"/>
      <c r="K23" s="18" t="inlineStr">
        <is>
          <t>家居家装</t>
        </is>
      </c>
      <c r="L23" s="18" t="inlineStr">
        <is>
          <t>koc</t>
        </is>
      </c>
      <c r="M23" s="18" t="n">
        <v>1.1</v>
      </c>
      <c r="N23" s="18" t="n">
        <v>4</v>
      </c>
      <c r="O23" s="18" t="inlineStr">
        <is>
          <t>图文</t>
        </is>
      </c>
      <c r="P23" s="21" t="n">
        <v>0.77</v>
      </c>
      <c r="Q23" s="21" t="n">
        <v>0.03</v>
      </c>
      <c r="R23" s="21" t="n">
        <v>0.32</v>
      </c>
      <c r="S23" s="21" t="n">
        <v>0.07000000000000001</v>
      </c>
      <c r="T23" s="21" t="n">
        <v>0.1</v>
      </c>
      <c r="U23" s="21" t="n">
        <v>0.31</v>
      </c>
      <c r="V23" s="22" t="n">
        <v>1635</v>
      </c>
      <c r="W23" s="18" t="n">
        <v>151</v>
      </c>
      <c r="X23" s="18" t="n">
        <v>500</v>
      </c>
      <c r="Y23" s="18">
        <f>X23*1.1</f>
        <v/>
      </c>
      <c r="Z23" s="20">
        <f>Y23/V23</f>
        <v/>
      </c>
      <c r="AA23" s="20">
        <f>Y23/W23</f>
        <v/>
      </c>
      <c r="AB23" s="18" t="n"/>
      <c r="AC23" s="18" t="n"/>
      <c r="AD23" s="18" t="n"/>
      <c r="AE23" s="18" t="n"/>
    </row>
    <row r="24">
      <c r="A24" s="18" t="n"/>
      <c r="B24" s="18" t="n"/>
      <c r="C24" s="17" t="n">
        <v>46083</v>
      </c>
      <c r="D24" s="18" t="inlineStr">
        <is>
          <t>品牌</t>
        </is>
      </c>
      <c r="E24" s="18" t="inlineStr">
        <is>
          <t>不凑活</t>
        </is>
      </c>
      <c r="F24" s="19" t="n"/>
      <c r="G24" s="19" t="inlineStr">
        <is>
          <t>https://pgy.xiaohongshu.com/solar/pre-trade/blogger-detail/64894776000000002b00a89a?track_id=kolMatch_721ba45f35674b4b8eb7d2844ab5fbd9&amp;source=Advertiser_Kol</t>
        </is>
      </c>
      <c r="H24" s="19" t="inlineStr">
        <is>
          <t>https://www.xiaohongshu.com/user/profile/64894776000000002b00a89a</t>
        </is>
      </c>
      <c r="I24" s="118" t="n">
        <v>2205829929</v>
      </c>
      <c r="J24" s="18" t="n"/>
      <c r="K24" s="18" t="inlineStr">
        <is>
          <t>家居家装</t>
        </is>
      </c>
      <c r="L24" s="18" t="inlineStr">
        <is>
          <t>koc</t>
        </is>
      </c>
      <c r="M24" s="18" t="n">
        <v>0.27</v>
      </c>
      <c r="N24" s="18" t="n">
        <v>6.3</v>
      </c>
      <c r="O24" s="18" t="inlineStr">
        <is>
          <t>图文</t>
        </is>
      </c>
      <c r="P24" s="21" t="n">
        <v>0.89</v>
      </c>
      <c r="Q24" s="21" t="n">
        <v>0.14</v>
      </c>
      <c r="R24" s="21" t="n">
        <v>0.4</v>
      </c>
      <c r="S24" s="21" t="n">
        <v>0.02</v>
      </c>
      <c r="T24" s="21" t="n">
        <v>0.45</v>
      </c>
      <c r="U24" s="21" t="n">
        <v>0.16</v>
      </c>
      <c r="V24" s="18" t="n">
        <v>705</v>
      </c>
      <c r="W24" s="18" t="n">
        <v>59</v>
      </c>
      <c r="X24" s="18" t="n">
        <v>966</v>
      </c>
      <c r="Y24" s="18">
        <f>X24*1.1</f>
        <v/>
      </c>
      <c r="Z24" s="20">
        <f>Y24/V24</f>
        <v/>
      </c>
      <c r="AA24" s="20">
        <f>Y24/W24</f>
        <v/>
      </c>
      <c r="AB24" s="18" t="n"/>
      <c r="AC24" s="18" t="n"/>
      <c r="AD24" s="18" t="n"/>
      <c r="AE24" s="18" t="n"/>
    </row>
    <row r="25">
      <c r="A25" s="18" t="n"/>
      <c r="B25" s="18" t="n"/>
      <c r="C25" s="17" t="n">
        <v>46083</v>
      </c>
      <c r="D25" s="18" t="inlineStr">
        <is>
          <t>品牌</t>
        </is>
      </c>
      <c r="E25" s="18" t="inlineStr">
        <is>
          <t>鲨鱼逻辑令</t>
        </is>
      </c>
      <c r="F25" s="19" t="n"/>
      <c r="G25" s="19" t="inlineStr">
        <is>
          <t>https://pgy.xiaohongshu.com/solar/pre-trade/blogger-detail/5a1b881011be10317ba5d982?track_id=kolMatch_bc754cfce7c445638826d58cb5c2e52f&amp;source=Advertiser_Kol</t>
        </is>
      </c>
      <c r="H25" s="19" t="inlineStr">
        <is>
          <t>https://www.xiaohongshu.com/user/profile/5a1b881011be10317ba5d982</t>
        </is>
      </c>
      <c r="I25" s="118" t="n">
        <v>497851816</v>
      </c>
      <c r="J25" s="18" t="n"/>
      <c r="K25" s="18" t="inlineStr">
        <is>
          <t>家居家装</t>
        </is>
      </c>
      <c r="L25" s="18" t="inlineStr">
        <is>
          <t>koc</t>
        </is>
      </c>
      <c r="M25" s="18" t="n">
        <v>1</v>
      </c>
      <c r="N25" s="18" t="n">
        <v>4.9</v>
      </c>
      <c r="O25" s="18" t="inlineStr">
        <is>
          <t>图文</t>
        </is>
      </c>
      <c r="P25" s="21" t="n">
        <v>0.88</v>
      </c>
      <c r="Q25" s="21" t="n">
        <v>0.16</v>
      </c>
      <c r="R25" s="21" t="n">
        <v>0.66</v>
      </c>
      <c r="S25" s="21" t="n">
        <v>0.1</v>
      </c>
      <c r="T25" s="21" t="n">
        <v>0.47</v>
      </c>
      <c r="U25" s="21" t="n">
        <v>0.29</v>
      </c>
      <c r="V25" s="22" t="n">
        <v>2570</v>
      </c>
      <c r="W25" s="18" t="n">
        <v>155</v>
      </c>
      <c r="X25" s="18" t="n">
        <v>900</v>
      </c>
      <c r="Y25" s="18">
        <f>X25*1.1</f>
        <v/>
      </c>
      <c r="Z25" s="20">
        <f>Y25/V25</f>
        <v/>
      </c>
      <c r="AA25" s="20">
        <f>Y25/W25</f>
        <v/>
      </c>
      <c r="AB25" s="18" t="n"/>
      <c r="AC25" s="18" t="n"/>
      <c r="AD25" s="18" t="n"/>
      <c r="AE25" s="18" t="n"/>
    </row>
    <row r="26">
      <c r="A26" s="18" t="n"/>
      <c r="B26" s="18" t="n"/>
      <c r="C26" s="17" t="n">
        <v>46083</v>
      </c>
      <c r="D26" s="18" t="inlineStr">
        <is>
          <t>电商</t>
        </is>
      </c>
      <c r="E26" s="18" t="inlineStr">
        <is>
          <t>小语老师（软装中）</t>
        </is>
      </c>
      <c r="F26" s="19" t="n"/>
      <c r="G26" s="19" t="inlineStr">
        <is>
          <t>https://pgy.xiaohongshu.com/solar/pre-trade/blogger-detail/59ae51f16a6a692176c60f62?track_id=kolMatch_bc754cfce7c445638826d58cb5c2e52f&amp;source=Advertiser_Kol</t>
        </is>
      </c>
      <c r="H26" s="19" t="inlineStr">
        <is>
          <t>https://www.xiaohongshu.com/user/profile/59ae51f16a6a692176c60f62</t>
        </is>
      </c>
      <c r="I26" s="118" t="n">
        <v>26720033</v>
      </c>
      <c r="J26" s="18" t="n"/>
      <c r="K26" s="18" t="inlineStr">
        <is>
          <t>家居家装</t>
        </is>
      </c>
      <c r="L26" s="18" t="inlineStr">
        <is>
          <t>koc</t>
        </is>
      </c>
      <c r="M26" s="18" t="n">
        <v>0.61</v>
      </c>
      <c r="N26" s="18" t="n">
        <v>7.5</v>
      </c>
      <c r="O26" s="18" t="inlineStr">
        <is>
          <t>图文</t>
        </is>
      </c>
      <c r="P26" s="21" t="n">
        <v>0.88</v>
      </c>
      <c r="Q26" s="21" t="n">
        <v>0.11</v>
      </c>
      <c r="R26" s="21" t="n">
        <v>0.73</v>
      </c>
      <c r="S26" s="21" t="n">
        <v>0.07000000000000001</v>
      </c>
      <c r="T26" s="21" t="n">
        <v>0.24</v>
      </c>
      <c r="U26" s="21" t="n">
        <v>0.41</v>
      </c>
      <c r="V26" s="22" t="n">
        <v>1951</v>
      </c>
      <c r="W26" s="18" t="n">
        <v>144</v>
      </c>
      <c r="X26" s="18" t="n">
        <v>500</v>
      </c>
      <c r="Y26" s="18">
        <f>X26*1.1</f>
        <v/>
      </c>
      <c r="Z26" s="20">
        <f>Y26/V26</f>
        <v/>
      </c>
      <c r="AA26" s="20">
        <f>Y26/W26</f>
        <v/>
      </c>
      <c r="AB26" s="18" t="n"/>
      <c r="AC26" s="18" t="n"/>
      <c r="AD26" s="18" t="n"/>
      <c r="AE26" s="18" t="n"/>
    </row>
    <row r="27">
      <c r="A27" s="18" t="n"/>
      <c r="B27" s="18" t="n"/>
      <c r="C27" s="17" t="n">
        <v>46083</v>
      </c>
      <c r="D27" s="18" t="inlineStr">
        <is>
          <t>品牌</t>
        </is>
      </c>
      <c r="E27" s="18" t="inlineStr">
        <is>
          <t>想吃肉的小花生</t>
        </is>
      </c>
      <c r="F27" s="19" t="n"/>
      <c r="G27" s="19" t="inlineStr">
        <is>
          <t>https://pgy.xiaohongshu.com/solar/pre-trade/blogger-detail/5bf7c6c9f1a8c70001143464?track_id=kolMatch_bc754cfce7c445638826d58cb5c2e52f&amp;source=Advertiser_Kol</t>
        </is>
      </c>
      <c r="H27" s="19" t="inlineStr">
        <is>
          <t>https://www.xiaohongshu.com/user/profile/5bf7c6c9f1a8c70001143464</t>
        </is>
      </c>
      <c r="I27" s="118" t="n">
        <v>292484716</v>
      </c>
      <c r="J27" s="18" t="n"/>
      <c r="K27" s="18" t="inlineStr">
        <is>
          <t>家居家装</t>
        </is>
      </c>
      <c r="L27" s="18" t="inlineStr">
        <is>
          <t>koc</t>
        </is>
      </c>
      <c r="M27" s="18" t="n">
        <v>0.63</v>
      </c>
      <c r="N27" s="18" t="n">
        <v>8.9</v>
      </c>
      <c r="O27" s="18" t="inlineStr">
        <is>
          <t>图文</t>
        </is>
      </c>
      <c r="P27" s="21" t="n">
        <v>0.92</v>
      </c>
      <c r="Q27" s="21" t="n">
        <v>0.09</v>
      </c>
      <c r="R27" s="21" t="n">
        <v>0.53</v>
      </c>
      <c r="S27" s="21" t="n">
        <v>0.26</v>
      </c>
      <c r="T27" s="21" t="n">
        <v>0.5600000000000001</v>
      </c>
      <c r="U27" s="21" t="n">
        <v>0.14</v>
      </c>
      <c r="V27" s="22" t="n">
        <v>4686</v>
      </c>
      <c r="W27" s="18" t="n">
        <v>646</v>
      </c>
      <c r="X27" s="18" t="n">
        <v>800</v>
      </c>
      <c r="Y27" s="18">
        <f>X27*1.1</f>
        <v/>
      </c>
      <c r="Z27" s="20">
        <f>Y27/V27</f>
        <v/>
      </c>
      <c r="AA27" s="20">
        <f>Y27/W27</f>
        <v/>
      </c>
      <c r="AB27" s="18" t="n"/>
      <c r="AC27" s="18" t="n"/>
      <c r="AD27" s="18" t="n"/>
      <c r="AE27" s="18" t="n"/>
    </row>
    <row r="28">
      <c r="A28" s="18" t="n"/>
      <c r="B28" s="18" t="n"/>
      <c r="C28" s="17" t="n">
        <v>46083</v>
      </c>
      <c r="D28" s="18" t="inlineStr">
        <is>
          <t>电商</t>
        </is>
      </c>
      <c r="E28" s="18" t="inlineStr">
        <is>
          <t>lyt（软装版)</t>
        </is>
      </c>
      <c r="F28" s="19" t="n"/>
      <c r="G28" s="19" t="inlineStr">
        <is>
          <t>https://pgy.xiaohongshu.com/solar/pre-trade/blogger-detail/65547da8000000000203538e?track_id=kolMatch_bc754cfce7c445638826d58cb5c2e52f&amp;source=Advertiser_Kol</t>
        </is>
      </c>
      <c r="H28" s="19" t="inlineStr">
        <is>
          <t>https://www.xiaohongshu.com/user/profile/65547da8000000000203538e</t>
        </is>
      </c>
      <c r="I28" s="118" t="n">
        <v>2324178053</v>
      </c>
      <c r="J28" s="18" t="n"/>
      <c r="K28" s="18" t="inlineStr">
        <is>
          <t>家居家装</t>
        </is>
      </c>
      <c r="L28" s="18" t="inlineStr">
        <is>
          <t>koc</t>
        </is>
      </c>
      <c r="M28" s="18" t="n">
        <v>0.2</v>
      </c>
      <c r="N28" s="18" t="n">
        <v>0.99</v>
      </c>
      <c r="O28" s="18" t="inlineStr">
        <is>
          <t>图文</t>
        </is>
      </c>
      <c r="P28" s="21" t="n">
        <v>0.75</v>
      </c>
      <c r="Q28" s="21" t="n">
        <v>0.11</v>
      </c>
      <c r="R28" s="21" t="n">
        <v>0.5600000000000001</v>
      </c>
      <c r="S28" s="21" t="n">
        <v>0.15</v>
      </c>
      <c r="T28" s="21" t="n">
        <v>0.4</v>
      </c>
      <c r="U28" s="21" t="n">
        <v>0.25</v>
      </c>
      <c r="V28" s="22" t="n">
        <v>1599</v>
      </c>
      <c r="W28" s="18" t="n">
        <v>256</v>
      </c>
      <c r="X28" s="18" t="n">
        <v>900</v>
      </c>
      <c r="Y28" s="18">
        <f>X28*1.1</f>
        <v/>
      </c>
      <c r="Z28" s="20">
        <f>Y28/V28</f>
        <v/>
      </c>
      <c r="AA28" s="20">
        <f>Y28/W28</f>
        <v/>
      </c>
      <c r="AB28" s="18" t="n"/>
      <c r="AC28" s="18" t="n"/>
      <c r="AD28" s="18" t="n"/>
      <c r="AE28" s="18" t="n"/>
    </row>
    <row r="29">
      <c r="A29" s="18" t="n"/>
      <c r="B29" s="18" t="n"/>
      <c r="C29" s="17" t="n">
        <v>46083</v>
      </c>
      <c r="D29" s="18" t="inlineStr">
        <is>
          <t>品牌</t>
        </is>
      </c>
      <c r="E29" s="18" t="inlineStr">
        <is>
          <t>小诺团子呀（软装中）</t>
        </is>
      </c>
      <c r="F29" s="19" t="n"/>
      <c r="G29" s="19" t="inlineStr">
        <is>
          <t>https://pgy.xiaohongshu.com/solar/pre-trade/blogger-detail/62f72cf5000000001e01de01?track_id=kolMatch_bc754cfce7c445638826d58cb5c2e52f&amp;source=Advertiser_Kol</t>
        </is>
      </c>
      <c r="H29" s="19" t="inlineStr">
        <is>
          <t>https://www.xiaohongshu.com/user/profile/62f72cf5000000001e01de01</t>
        </is>
      </c>
      <c r="I29" s="118" t="n">
        <v>2991279230</v>
      </c>
      <c r="J29" s="18" t="n"/>
      <c r="K29" s="18" t="inlineStr">
        <is>
          <t>家居家装</t>
        </is>
      </c>
      <c r="L29" s="18" t="inlineStr">
        <is>
          <t>koc</t>
        </is>
      </c>
      <c r="M29" s="18" t="n">
        <v>0.58</v>
      </c>
      <c r="N29" s="18" t="n">
        <v>1.7</v>
      </c>
      <c r="O29" s="18" t="inlineStr">
        <is>
          <t>图文</t>
        </is>
      </c>
      <c r="P29" s="21" t="n">
        <v>0.85</v>
      </c>
      <c r="Q29" s="21" t="n">
        <v>0.12</v>
      </c>
      <c r="R29" s="21" t="n">
        <v>0.67</v>
      </c>
      <c r="S29" s="21" t="n">
        <v>0.15</v>
      </c>
      <c r="T29" s="21" t="n">
        <v>0.8</v>
      </c>
      <c r="U29" s="21" t="n">
        <v>0.06</v>
      </c>
      <c r="V29" s="22" t="n">
        <v>11613</v>
      </c>
      <c r="W29" s="18" t="n">
        <v>310</v>
      </c>
      <c r="X29" s="18" t="n">
        <v>899</v>
      </c>
      <c r="Y29" s="18">
        <f>X29*1.1</f>
        <v/>
      </c>
      <c r="Z29" s="20">
        <f>Y29/V29</f>
        <v/>
      </c>
      <c r="AA29" s="20">
        <f>Y29/W29</f>
        <v/>
      </c>
      <c r="AB29" s="18" t="n"/>
      <c r="AC29" s="18" t="n"/>
      <c r="AD29" s="18" t="n"/>
      <c r="AE29" s="18" t="n"/>
    </row>
    <row r="30">
      <c r="A30" s="18" t="n"/>
      <c r="B30" s="18" t="n"/>
      <c r="C30" s="17" t="n">
        <v>46083</v>
      </c>
      <c r="D30" s="18" t="inlineStr">
        <is>
          <t>品牌</t>
        </is>
      </c>
      <c r="E30" s="18" t="inlineStr">
        <is>
          <t>柚木家的慢生活</t>
        </is>
      </c>
      <c r="F30" s="19" t="n"/>
      <c r="G30" s="19" t="inlineStr">
        <is>
          <t>https://pgy.xiaohongshu.com/solar/pre-trade/blogger-detail/6725053b000000001d02fab9?track_id=kolMatch_bc754cfce7c445638826d58cb5c2e52f&amp;source=Advertiser_Kol</t>
        </is>
      </c>
      <c r="H30" s="19" t="inlineStr">
        <is>
          <t>https://www.xiaohongshu.com/user/profile/6725053b000000001d02fab9</t>
        </is>
      </c>
      <c r="I30" s="118" t="n">
        <v>94145971673</v>
      </c>
      <c r="J30" s="18" t="n"/>
      <c r="K30" s="18" t="inlineStr">
        <is>
          <t>家居家装</t>
        </is>
      </c>
      <c r="L30" s="18" t="inlineStr">
        <is>
          <t>koc</t>
        </is>
      </c>
      <c r="M30" s="18" t="n">
        <v>0.27</v>
      </c>
      <c r="N30" s="18" t="n">
        <v>5.4</v>
      </c>
      <c r="O30" s="18" t="inlineStr">
        <is>
          <t>图文</t>
        </is>
      </c>
      <c r="P30" s="21" t="n">
        <v>0.62</v>
      </c>
      <c r="Q30" s="21" t="n">
        <v>0.06</v>
      </c>
      <c r="R30" s="21" t="n">
        <v>0.37</v>
      </c>
      <c r="S30" s="21" t="n">
        <v>0.13</v>
      </c>
      <c r="T30" s="21" t="n">
        <v>0.15</v>
      </c>
      <c r="U30" s="21" t="n">
        <v>0.38</v>
      </c>
      <c r="V30" s="18" t="n">
        <v>778</v>
      </c>
      <c r="W30" s="18" t="n">
        <v>82</v>
      </c>
      <c r="X30" s="18" t="n">
        <v>700</v>
      </c>
      <c r="Y30" s="18">
        <f>X30*1.1</f>
        <v/>
      </c>
      <c r="Z30" s="20">
        <f>Y30/V30</f>
        <v/>
      </c>
      <c r="AA30" s="20">
        <f>Y30/W30</f>
        <v/>
      </c>
      <c r="AB30" s="18" t="n"/>
      <c r="AC30" s="18" t="n"/>
      <c r="AD30" s="18" t="n"/>
      <c r="AE30" s="18" t="n"/>
    </row>
    <row r="31">
      <c r="A31" s="18" t="n"/>
      <c r="B31" s="18" t="n"/>
      <c r="C31" s="17" t="n">
        <v>46083</v>
      </c>
      <c r="D31" s="18" t="inlineStr">
        <is>
          <t>电商</t>
        </is>
      </c>
      <c r="E31" s="18" t="inlineStr">
        <is>
          <t>高学长</t>
        </is>
      </c>
      <c r="F31" s="19" t="n"/>
      <c r="G31" s="19" t="inlineStr">
        <is>
          <t>https://pgy.xiaohongshu.com/solar/pre-trade/blogger-detail/64e33aa60000000001004c4f?track_id=kolMatch_6d78c13969b04660b2cfbcfe6287bf56&amp;source=Advertiser_Kol</t>
        </is>
      </c>
      <c r="H31" s="19" t="inlineStr">
        <is>
          <t>https://www.xiaohongshu.com/user/profile/64e33aa60000000001004c4f</t>
        </is>
      </c>
      <c r="I31" s="118" t="inlineStr">
        <is>
          <t>：gjn0917888</t>
        </is>
      </c>
      <c r="J31" s="18" t="n"/>
      <c r="K31" s="18" t="inlineStr">
        <is>
          <t>家居家装</t>
        </is>
      </c>
      <c r="L31" s="18" t="inlineStr">
        <is>
          <t>koc</t>
        </is>
      </c>
      <c r="M31" s="18" t="n">
        <v>1</v>
      </c>
      <c r="N31" s="18" t="n">
        <v>7.7</v>
      </c>
      <c r="O31" s="18" t="inlineStr">
        <is>
          <t>图文</t>
        </is>
      </c>
      <c r="P31" s="21" t="n">
        <v>0.92</v>
      </c>
      <c r="Q31" s="21" t="n">
        <v>0.22</v>
      </c>
      <c r="R31" s="21" t="n">
        <v>0.41</v>
      </c>
      <c r="S31" s="21" t="n">
        <v>0.11</v>
      </c>
      <c r="T31" s="21" t="n">
        <v>0.61</v>
      </c>
      <c r="U31" s="21" t="n">
        <v>0.11</v>
      </c>
      <c r="V31" s="22" t="n">
        <v>4425</v>
      </c>
      <c r="W31" s="18" t="n">
        <v>464</v>
      </c>
      <c r="X31" s="18" t="n">
        <v>1000</v>
      </c>
      <c r="Y31" s="18">
        <f>X31*1.1</f>
        <v/>
      </c>
      <c r="Z31" s="20">
        <f>Y31/V31</f>
        <v/>
      </c>
      <c r="AA31" s="20">
        <f>Y31/W31</f>
        <v/>
      </c>
      <c r="AB31" s="18" t="n"/>
      <c r="AC31" s="18" t="n"/>
      <c r="AD31" s="18" t="n"/>
      <c r="AE31" s="18" t="n"/>
    </row>
    <row r="32">
      <c r="A32" s="18" t="n"/>
      <c r="B32" s="18" t="n"/>
      <c r="C32" s="17" t="n">
        <v>46083</v>
      </c>
      <c r="D32" s="18" t="inlineStr">
        <is>
          <t>品牌</t>
        </is>
      </c>
      <c r="E32" s="18" t="inlineStr">
        <is>
          <t>大敏的家🏡</t>
        </is>
      </c>
      <c r="F32" s="19" t="n"/>
      <c r="G32" s="19" t="inlineStr">
        <is>
          <t>https://pgy.xiaohongshu.com/solar/pre-trade/blogger-detail/5d32a5f0000000001603b852?track_id=kolMatch_6d78c13969b04660b2cfbcfe6287bf56&amp;source=Advertiser_Kol</t>
        </is>
      </c>
      <c r="H32" s="19" t="inlineStr">
        <is>
          <t>https://www.xiaohongshu.com/user/profile/5d32a5f0000000001603b852</t>
        </is>
      </c>
      <c r="I32" s="118" t="n">
        <v>365207174</v>
      </c>
      <c r="J32" s="18" t="n"/>
      <c r="K32" s="18" t="inlineStr">
        <is>
          <t>家居家装</t>
        </is>
      </c>
      <c r="L32" s="18" t="inlineStr">
        <is>
          <t>koc</t>
        </is>
      </c>
      <c r="M32" s="18" t="n">
        <v>0.15</v>
      </c>
      <c r="N32" s="18" t="n">
        <v>1.4</v>
      </c>
      <c r="O32" s="18" t="inlineStr">
        <is>
          <t>图文</t>
        </is>
      </c>
      <c r="P32" s="21" t="n">
        <v>0.82</v>
      </c>
      <c r="Q32" s="21" t="n">
        <v>0.08</v>
      </c>
      <c r="R32" s="21" t="n">
        <v>0.67</v>
      </c>
      <c r="S32" s="21" t="n">
        <v>0.12</v>
      </c>
      <c r="T32" s="21" t="n">
        <v>0.68</v>
      </c>
      <c r="U32" s="21" t="n">
        <v>0.08</v>
      </c>
      <c r="V32" s="22" t="n">
        <v>1871</v>
      </c>
      <c r="W32" s="18" t="n">
        <v>129</v>
      </c>
      <c r="X32" s="18" t="n">
        <v>300</v>
      </c>
      <c r="Y32" s="18">
        <f>X32*1.1</f>
        <v/>
      </c>
      <c r="Z32" s="20">
        <f>Y32/V32</f>
        <v/>
      </c>
      <c r="AA32" s="20">
        <f>Y32/W32</f>
        <v/>
      </c>
      <c r="AB32" s="18" t="n"/>
      <c r="AC32" s="18" t="n"/>
      <c r="AD32" s="18" t="n"/>
      <c r="AE32" s="18" t="n"/>
    </row>
    <row r="33">
      <c r="A33" s="18" t="n"/>
      <c r="B33" s="18" t="n"/>
      <c r="C33" s="17" t="n">
        <v>46083</v>
      </c>
      <c r="D33" s="18" t="inlineStr">
        <is>
          <t>品牌</t>
        </is>
      </c>
      <c r="E33" s="18" t="inlineStr">
        <is>
          <t>汤圆和家</t>
        </is>
      </c>
      <c r="F33" s="19" t="n"/>
      <c r="G33" s="19" t="inlineStr">
        <is>
          <t>https://pgy.xiaohongshu.com/solar/pre-trade/blogger-detail/66114f5000000000030308e7?track_id=kolMatch_6d78c13969b04660b2cfbcfe6287bf56&amp;source=Advertiser_Kol</t>
        </is>
      </c>
      <c r="H33" s="19" t="inlineStr">
        <is>
          <t>https://www.xiaohongshu.com/user/profile/66114f5000000000030308e7</t>
        </is>
      </c>
      <c r="I33" s="118" t="n">
        <v>26526369777</v>
      </c>
      <c r="J33" s="18" t="n"/>
      <c r="K33" s="18" t="inlineStr">
        <is>
          <t>家居家装</t>
        </is>
      </c>
      <c r="L33" s="18" t="inlineStr">
        <is>
          <t>koc</t>
        </is>
      </c>
      <c r="M33" s="18" t="n">
        <v>0.18</v>
      </c>
      <c r="N33" s="18" t="n">
        <v>1.8</v>
      </c>
      <c r="O33" s="18" t="inlineStr">
        <is>
          <t>图文</t>
        </is>
      </c>
      <c r="P33" s="21" t="n">
        <v>0.9</v>
      </c>
      <c r="Q33" s="21" t="n">
        <v>0.13</v>
      </c>
      <c r="R33" s="21" t="n">
        <v>0.7</v>
      </c>
      <c r="S33" s="21" t="n">
        <v>0.11</v>
      </c>
      <c r="T33" s="21" t="n">
        <v>0.84</v>
      </c>
      <c r="U33" s="21" t="n">
        <v>0.04</v>
      </c>
      <c r="V33" s="22" t="n">
        <v>1540</v>
      </c>
      <c r="W33" s="18" t="n">
        <v>134</v>
      </c>
      <c r="X33" s="18" t="n">
        <v>800</v>
      </c>
      <c r="Y33" s="18">
        <f>X33*1.1</f>
        <v/>
      </c>
      <c r="Z33" s="20">
        <f>Y33/V33</f>
        <v/>
      </c>
      <c r="AA33" s="20">
        <f>Y33/W33</f>
        <v/>
      </c>
      <c r="AB33" s="18" t="n"/>
      <c r="AC33" s="18" t="n"/>
      <c r="AD33" s="18" t="n"/>
      <c r="AE33" s="18" t="n"/>
    </row>
    <row r="34">
      <c r="A34" s="18" t="n"/>
      <c r="B34" s="18" t="n"/>
      <c r="C34" s="17" t="n">
        <v>46083</v>
      </c>
      <c r="D34" s="18" t="inlineStr">
        <is>
          <t>电商</t>
        </is>
      </c>
      <c r="E34" s="18" t="inlineStr">
        <is>
          <t>雪碧味小仙女</t>
        </is>
      </c>
      <c r="F34" s="19" t="n"/>
      <c r="G34" s="19" t="inlineStr">
        <is>
          <t>https://pgy.xiaohongshu.com/solar/pre-trade/blogger-detail/5e87c108000000000100bb41?track_id=kolMatch_6d78c13969b04660b2cfbcfe6287bf56&amp;source=Advertiser_Kol</t>
        </is>
      </c>
      <c r="H34" s="19" t="inlineStr">
        <is>
          <t>https://www.xiaohongshu.com/user/profile/5e87c108000000000100bb41</t>
        </is>
      </c>
      <c r="I34" s="18" t="n">
        <v>195175506</v>
      </c>
      <c r="J34" s="18" t="n"/>
      <c r="K34" s="18" t="inlineStr">
        <is>
          <t>家居家装</t>
        </is>
      </c>
      <c r="L34" s="18" t="inlineStr">
        <is>
          <t>koc</t>
        </is>
      </c>
      <c r="M34" s="18" t="n">
        <v>0.3</v>
      </c>
      <c r="N34" s="18" t="n">
        <v>3.4</v>
      </c>
      <c r="O34" s="18" t="inlineStr">
        <is>
          <t>图文</t>
        </is>
      </c>
      <c r="P34" s="21" t="n">
        <v>0.85</v>
      </c>
      <c r="Q34" s="21" t="n">
        <v>0.13</v>
      </c>
      <c r="R34" s="18" t="n">
        <v>665</v>
      </c>
      <c r="S34" s="21" t="n">
        <v>0.13</v>
      </c>
      <c r="T34" s="21" t="n">
        <v>0.62</v>
      </c>
      <c r="U34" s="21" t="n">
        <v>0.17</v>
      </c>
      <c r="V34" s="22" t="n">
        <v>1256</v>
      </c>
      <c r="W34" s="18" t="n">
        <v>180</v>
      </c>
      <c r="X34" s="18" t="n">
        <v>800</v>
      </c>
      <c r="Y34" s="18">
        <f>X34*1.1</f>
        <v/>
      </c>
      <c r="Z34" s="20">
        <f>Y34/V34</f>
        <v/>
      </c>
      <c r="AA34" s="20">
        <f>Y34/W34</f>
        <v/>
      </c>
      <c r="AB34" s="18" t="n"/>
      <c r="AC34" s="18" t="n"/>
      <c r="AD34" s="18" t="n"/>
      <c r="AE34" s="18" t="n"/>
    </row>
    <row r="35">
      <c r="A35" s="18" t="n"/>
      <c r="B35" s="18" t="n"/>
      <c r="C35" s="17" t="n">
        <v>46083</v>
      </c>
      <c r="D35" s="18" t="inlineStr">
        <is>
          <t>品牌</t>
        </is>
      </c>
      <c r="E35" s="18" t="inlineStr">
        <is>
          <t>爽歪歪的家</t>
        </is>
      </c>
      <c r="F35" s="19" t="n"/>
      <c r="G35" s="19" t="inlineStr">
        <is>
          <t>https://pgy.xiaohongshu.com/solar/pre-trade/blogger-detail/606b0adf00000000010059ea?track_id=kolMatch_6d78c13969b04660b2cfbcfe6287bf56&amp;source=Advertiser_Kol</t>
        </is>
      </c>
      <c r="H35" s="19" t="inlineStr">
        <is>
          <t>https://www.xiaohongshu.com/user/profile/606b0adf00000000010059ea</t>
        </is>
      </c>
      <c r="I35" s="118" t="n">
        <v>2697802778</v>
      </c>
      <c r="J35" s="18" t="n"/>
      <c r="K35" s="18" t="inlineStr">
        <is>
          <t>家居家装</t>
        </is>
      </c>
      <c r="L35" s="18" t="inlineStr">
        <is>
          <t>koc</t>
        </is>
      </c>
      <c r="M35" s="18" t="n">
        <v>0.78</v>
      </c>
      <c r="N35" s="18" t="n">
        <v>3.9</v>
      </c>
      <c r="O35" s="18" t="inlineStr">
        <is>
          <t>图文</t>
        </is>
      </c>
      <c r="P35" s="21" t="n">
        <v>0.91</v>
      </c>
      <c r="Q35" s="21" t="n">
        <v>0.06</v>
      </c>
      <c r="R35" s="21" t="n">
        <v>0.78</v>
      </c>
      <c r="S35" s="21" t="n">
        <v>0.07000000000000001</v>
      </c>
      <c r="T35" s="21" t="n">
        <v>0.18</v>
      </c>
      <c r="U35" s="21" t="n">
        <v>0.38</v>
      </c>
      <c r="V35" s="22" t="n">
        <v>2620</v>
      </c>
      <c r="W35" s="22" t="n">
        <v>317</v>
      </c>
      <c r="X35" s="18" t="n">
        <v>500</v>
      </c>
      <c r="Y35" s="18">
        <f>X35*1.1</f>
        <v/>
      </c>
      <c r="Z35" s="20">
        <f>Y35/V35</f>
        <v/>
      </c>
      <c r="AA35" s="20">
        <f>Y35/W35</f>
        <v/>
      </c>
      <c r="AB35" s="18" t="n"/>
      <c r="AC35" s="18" t="n"/>
      <c r="AD35" s="18" t="n"/>
      <c r="AE35" s="18" t="n"/>
    </row>
    <row r="36">
      <c r="A36" s="18" t="n"/>
      <c r="B36" s="18" t="n"/>
      <c r="C36" s="17" t="n">
        <v>46083</v>
      </c>
      <c r="D36" s="18" t="inlineStr">
        <is>
          <t>电商</t>
        </is>
      </c>
      <c r="E36" s="18" t="inlineStr">
        <is>
          <t>花朵朵小窝🏠</t>
        </is>
      </c>
      <c r="F36" s="19" t="n"/>
      <c r="G36" s="19" t="inlineStr">
        <is>
          <t>https://pgy.xiaohongshu.com/solar/pre-trade/blogger-detail/5dfc32b20000000001006bf0?track_id=kolMatch_6d78c13969b04660b2cfbcfe6287bf56&amp;source=Advertiser_Kol</t>
        </is>
      </c>
      <c r="H36" s="19" t="inlineStr">
        <is>
          <t>https://www.xiaohongshu.com/user/profile/5dfc32b20000000001006bf0</t>
        </is>
      </c>
      <c r="I36" s="18" t="n">
        <v>838658116</v>
      </c>
      <c r="J36" s="18" t="n"/>
      <c r="K36" s="18" t="inlineStr">
        <is>
          <t>家居家装</t>
        </is>
      </c>
      <c r="L36" s="18" t="inlineStr">
        <is>
          <t>koc</t>
        </is>
      </c>
      <c r="M36" s="18" t="n">
        <v>0.28</v>
      </c>
      <c r="N36" s="18" t="n">
        <v>5.3</v>
      </c>
      <c r="O36" s="18" t="inlineStr">
        <is>
          <t>图文</t>
        </is>
      </c>
      <c r="P36" s="21" t="n">
        <v>0.83</v>
      </c>
      <c r="Q36" s="21" t="n">
        <v>0.09</v>
      </c>
      <c r="R36" s="21" t="n">
        <v>0.57</v>
      </c>
      <c r="S36" s="21" t="n">
        <v>0.23</v>
      </c>
      <c r="T36" s="21" t="n">
        <v>0.46</v>
      </c>
      <c r="U36" s="21" t="n">
        <v>0.01</v>
      </c>
      <c r="V36" s="22" t="n">
        <v>2889</v>
      </c>
      <c r="W36" s="18" t="n">
        <v>89</v>
      </c>
      <c r="X36" s="18" t="n">
        <v>500</v>
      </c>
      <c r="Y36" s="18">
        <f>X36*1.1</f>
        <v/>
      </c>
      <c r="Z36" s="20">
        <f>Y36/V36</f>
        <v/>
      </c>
      <c r="AA36" s="20">
        <f>Y36/W36</f>
        <v/>
      </c>
      <c r="AB36" s="18" t="n"/>
      <c r="AC36" s="18" t="n"/>
      <c r="AD36" s="18" t="n"/>
      <c r="AE36" s="18" t="n"/>
    </row>
    <row r="37">
      <c r="A37" s="18" t="n"/>
      <c r="B37" s="18" t="n"/>
      <c r="C37" s="17" t="n">
        <v>46083</v>
      </c>
      <c r="D37" s="18" t="inlineStr">
        <is>
          <t>品牌</t>
        </is>
      </c>
      <c r="E37" s="18" t="inlineStr">
        <is>
          <t>小小小王子</t>
        </is>
      </c>
      <c r="F37" s="19" t="n"/>
      <c r="G37" s="19" t="inlineStr">
        <is>
          <t>https://pgy.xiaohongshu.com/solar/pre-trade/blogger-detail/5cf70b2a000000001201c074?track_id=kolMatch_19aecebf69214ff9b95e7ba5cb9b3a6e&amp;source=Advertiser_Kol</t>
        </is>
      </c>
      <c r="H37" s="19" t="inlineStr">
        <is>
          <t>https://www.xiaohongshu.com/user/profile/5cf70b2a000000001201c074</t>
        </is>
      </c>
      <c r="I37" s="18" t="n">
        <v>868241494</v>
      </c>
      <c r="J37" s="18" t="n"/>
      <c r="K37" s="18" t="inlineStr">
        <is>
          <t>家居家装</t>
        </is>
      </c>
      <c r="L37" s="18" t="inlineStr">
        <is>
          <t>koc</t>
        </is>
      </c>
      <c r="M37" s="18" t="n">
        <v>0.25</v>
      </c>
      <c r="N37" s="18" t="n">
        <v>4.1</v>
      </c>
      <c r="O37" s="18" t="inlineStr">
        <is>
          <t>图文</t>
        </is>
      </c>
      <c r="P37" s="21" t="n">
        <v>0.74</v>
      </c>
      <c r="Q37" s="21" t="n">
        <v>0.09</v>
      </c>
      <c r="R37" s="21" t="n">
        <v>0.65</v>
      </c>
      <c r="S37" s="21" t="n">
        <v>0.16</v>
      </c>
      <c r="T37" s="21" t="n">
        <v>0.5600000000000001</v>
      </c>
      <c r="U37" s="21" t="n">
        <v>0.18</v>
      </c>
      <c r="V37" s="22" t="n">
        <v>1661</v>
      </c>
      <c r="W37" s="18" t="n">
        <v>94</v>
      </c>
      <c r="X37" s="18" t="n">
        <v>900</v>
      </c>
      <c r="Y37" s="18">
        <f>X37*1.1</f>
        <v/>
      </c>
      <c r="Z37" s="20">
        <f>Y37/V37</f>
        <v/>
      </c>
      <c r="AA37" s="20">
        <f>Y37/W37</f>
        <v/>
      </c>
      <c r="AB37" s="18" t="n"/>
      <c r="AC37" s="18" t="n"/>
      <c r="AD37" s="18" t="n"/>
      <c r="AE37" s="18" t="n"/>
    </row>
    <row r="38">
      <c r="A38" s="18" t="n"/>
      <c r="B38" s="18" t="n"/>
      <c r="C38" s="17" t="n">
        <v>46083</v>
      </c>
      <c r="D38" s="18" t="inlineStr">
        <is>
          <t>品牌</t>
        </is>
      </c>
      <c r="E38" s="18" t="inlineStr">
        <is>
          <t>小雯选购</t>
        </is>
      </c>
      <c r="F38" s="19" t="n"/>
      <c r="G38" s="19" t="inlineStr">
        <is>
          <t>https://pgy.xiaohongshu.com/solar/pre-trade/blogger-detail/6732c3600000000001003ac5?track_id=kolMatch_19aecebf69214ff9b95e7ba5cb9b3a6e&amp;source=Advertiser_Kol</t>
        </is>
      </c>
      <c r="H38" s="19" t="inlineStr">
        <is>
          <t>https://www.xiaohongshu.com/user/profile/6732c3600000000001003ac5</t>
        </is>
      </c>
      <c r="I38" s="118" t="inlineStr">
        <is>
          <t>JHJT001</t>
        </is>
      </c>
      <c r="J38" s="18" t="n"/>
      <c r="K38" s="18" t="inlineStr">
        <is>
          <t>家居家装</t>
        </is>
      </c>
      <c r="L38" s="18" t="inlineStr">
        <is>
          <t>koc</t>
        </is>
      </c>
      <c r="M38" s="18" t="n">
        <v>0.9</v>
      </c>
      <c r="N38" s="18" t="n">
        <v>7.1</v>
      </c>
      <c r="O38" s="18" t="inlineStr">
        <is>
          <t>图文</t>
        </is>
      </c>
      <c r="P38" s="21" t="n">
        <v>0.75</v>
      </c>
      <c r="Q38" s="21" t="n">
        <v>0.18</v>
      </c>
      <c r="R38" s="21" t="n">
        <v>0.25</v>
      </c>
      <c r="S38" s="21" t="n">
        <v>0.16</v>
      </c>
      <c r="T38" s="21" t="n">
        <v>0.32</v>
      </c>
      <c r="U38" s="21" t="n">
        <v>0.19</v>
      </c>
      <c r="V38" s="22" t="n">
        <v>1384</v>
      </c>
      <c r="W38" s="18" t="n">
        <v>79</v>
      </c>
      <c r="X38" s="18" t="n">
        <v>800</v>
      </c>
      <c r="Y38" s="18">
        <f>X38*1.1</f>
        <v/>
      </c>
      <c r="Z38" s="20">
        <f>Y38/V38</f>
        <v/>
      </c>
      <c r="AA38" s="20">
        <f>Y38/W38</f>
        <v/>
      </c>
      <c r="AB38" s="18" t="n"/>
      <c r="AC38" s="18" t="n"/>
      <c r="AD38" s="18" t="n"/>
      <c r="AE38" s="18" t="n"/>
    </row>
    <row r="39">
      <c r="A39" s="18" t="n"/>
      <c r="B39" s="18" t="n"/>
      <c r="C39" s="17" t="n">
        <v>46083</v>
      </c>
      <c r="D39" s="18" t="inlineStr">
        <is>
          <t>品牌</t>
        </is>
      </c>
      <c r="E39" s="18" t="inlineStr">
        <is>
          <t>Yeah</t>
        </is>
      </c>
      <c r="F39" s="19" t="n"/>
      <c r="G39" s="19" t="inlineStr">
        <is>
          <t>https://pgy.xiaohongshu.com/solar/pre-trade/blogger-detail/67b5ea5c000000000e01f773?track_id=kolMatch_19aecebf69214ff9b95e7ba5cb9b3a6e&amp;source=Advertiser_Kol</t>
        </is>
      </c>
      <c r="H39" s="19" t="inlineStr">
        <is>
          <t>https://www.xiaohongshu.com/user/profile/67b5ea5c000000000e01f773</t>
        </is>
      </c>
      <c r="I39" s="118" t="inlineStr">
        <is>
          <t>wxgry0413</t>
        </is>
      </c>
      <c r="J39" s="18" t="n"/>
      <c r="K39" s="18" t="inlineStr">
        <is>
          <t>家居家装</t>
        </is>
      </c>
      <c r="L39" s="18" t="inlineStr">
        <is>
          <t>koc</t>
        </is>
      </c>
      <c r="M39" s="18" t="n">
        <v>0.52</v>
      </c>
      <c r="N39" s="18" t="n">
        <v>2.2</v>
      </c>
      <c r="O39" s="18" t="inlineStr">
        <is>
          <t>图文</t>
        </is>
      </c>
      <c r="P39" s="21" t="n">
        <v>0.87</v>
      </c>
      <c r="Q39" s="21" t="n">
        <v>0.17</v>
      </c>
      <c r="R39" s="21" t="n">
        <v>0.34</v>
      </c>
      <c r="S39" s="21" t="n">
        <v>0.17</v>
      </c>
      <c r="T39" s="21" t="n">
        <v>0.4</v>
      </c>
      <c r="U39" s="21" t="n">
        <v>0.19</v>
      </c>
      <c r="V39" s="22" t="n">
        <v>1454</v>
      </c>
      <c r="W39" s="18" t="n">
        <v>127</v>
      </c>
      <c r="X39" s="18" t="n">
        <v>800</v>
      </c>
      <c r="Y39" s="18">
        <f>X39*1.1</f>
        <v/>
      </c>
      <c r="Z39" s="20">
        <f>Y39/V39</f>
        <v/>
      </c>
      <c r="AA39" s="20">
        <f>Y39/W39</f>
        <v/>
      </c>
      <c r="AB39" s="18" t="n"/>
      <c r="AC39" s="18" t="n"/>
      <c r="AD39" s="18" t="n"/>
      <c r="AE39" s="18" t="n"/>
    </row>
    <row r="40">
      <c r="A40" s="18" t="n"/>
      <c r="B40" s="18" t="n"/>
      <c r="C40" s="17" t="n">
        <v>46083</v>
      </c>
      <c r="D40" s="18" t="inlineStr">
        <is>
          <t>品牌</t>
        </is>
      </c>
      <c r="E40" s="18" t="inlineStr">
        <is>
          <t>是小满啊🌾</t>
        </is>
      </c>
      <c r="F40" s="19" t="n"/>
      <c r="G40" s="19" t="inlineStr">
        <is>
          <t>https://pgy.xiaohongshu.com/solar/pre-trade/blogger-detail/644d391c000000001f0323bb?track_id=kolMatch_19aecebf69214ff9b95e7ba5cb9b3a6e&amp;source=Advertiser_Kol</t>
        </is>
      </c>
      <c r="H40" s="19" t="inlineStr">
        <is>
          <t>https://www.xiaohongshu.com/user/profile/644d391c000000001f0323bb</t>
        </is>
      </c>
      <c r="I40" s="118" t="n">
        <v>7412996957</v>
      </c>
      <c r="J40" s="18" t="n"/>
      <c r="K40" s="18" t="inlineStr">
        <is>
          <t>家居家装</t>
        </is>
      </c>
      <c r="L40" s="18" t="inlineStr">
        <is>
          <t>koc</t>
        </is>
      </c>
      <c r="M40" s="18" t="n">
        <v>0.36</v>
      </c>
      <c r="N40" s="18" t="n">
        <v>2.3</v>
      </c>
      <c r="O40" s="18" t="inlineStr">
        <is>
          <t>图文</t>
        </is>
      </c>
      <c r="P40" s="21" t="n">
        <v>0.79</v>
      </c>
      <c r="Q40" s="21" t="n">
        <v>0.17</v>
      </c>
      <c r="R40" s="21" t="n">
        <v>0.55</v>
      </c>
      <c r="S40" s="21" t="n">
        <v>0.15</v>
      </c>
      <c r="T40" s="21" t="n">
        <v>0.46</v>
      </c>
      <c r="U40" s="21" t="n">
        <v>0.19</v>
      </c>
      <c r="V40" s="22" t="n">
        <v>3070</v>
      </c>
      <c r="W40" s="18" t="n">
        <v>174</v>
      </c>
      <c r="X40" s="18" t="n">
        <v>500</v>
      </c>
      <c r="Y40" s="18">
        <f>X40*1.1</f>
        <v/>
      </c>
      <c r="Z40" s="20">
        <f>Y40/V40</f>
        <v/>
      </c>
      <c r="AA40" s="20">
        <f>Y40/W40</f>
        <v/>
      </c>
      <c r="AB40" s="18" t="n"/>
      <c r="AC40" s="18" t="n"/>
      <c r="AD40" s="18" t="n"/>
      <c r="AE40" s="18" t="n"/>
    </row>
    <row r="41">
      <c r="A41" s="18" t="n"/>
      <c r="B41" s="18" t="n"/>
      <c r="C41" s="17" t="n">
        <v>46083</v>
      </c>
      <c r="D41" s="18" t="inlineStr">
        <is>
          <t>品牌</t>
        </is>
      </c>
      <c r="E41" s="18" t="inlineStr">
        <is>
          <t>西瓜🍉甜不甜</t>
        </is>
      </c>
      <c r="F41" s="19" t="n"/>
      <c r="G41" s="19" t="inlineStr">
        <is>
          <t>https://pgy.xiaohongshu.com/solar/pre-trade/blogger-detail/5c20b7aa0000000006024d01?track_id=kolMatch_19aecebf69214ff9b95e7ba5cb9b3a6e&amp;source=Advertiser_Kol</t>
        </is>
      </c>
      <c r="H41" s="19" t="inlineStr">
        <is>
          <t>https://www.xiaohongshu.com/user/profile/5c20b7aa0000000006024d01</t>
        </is>
      </c>
      <c r="I41" s="118" t="n">
        <v>540246832</v>
      </c>
      <c r="J41" s="18" t="n"/>
      <c r="K41" s="18" t="inlineStr">
        <is>
          <t>家居家装</t>
        </is>
      </c>
      <c r="L41" s="18" t="inlineStr">
        <is>
          <t>koc</t>
        </is>
      </c>
      <c r="M41" s="18" t="n">
        <v>0.5</v>
      </c>
      <c r="N41" s="18" t="n">
        <v>8.1</v>
      </c>
      <c r="O41" s="18" t="inlineStr">
        <is>
          <t>图文</t>
        </is>
      </c>
      <c r="P41" s="21" t="n">
        <v>0.76</v>
      </c>
      <c r="Q41" s="21" t="n">
        <v>0.1</v>
      </c>
      <c r="R41" s="21" t="n">
        <v>0.42</v>
      </c>
      <c r="S41" s="21" t="n">
        <v>0.2</v>
      </c>
      <c r="T41" s="21" t="n">
        <v>0.21</v>
      </c>
      <c r="U41" s="21" t="n">
        <v>0.22</v>
      </c>
      <c r="V41" s="22" t="n">
        <v>1429</v>
      </c>
      <c r="W41" s="18" t="n">
        <v>417</v>
      </c>
      <c r="X41" s="18" t="n">
        <v>800</v>
      </c>
      <c r="Y41" s="18">
        <f>X41*1.1</f>
        <v/>
      </c>
      <c r="Z41" s="20">
        <f>Y41/V41</f>
        <v/>
      </c>
      <c r="AA41" s="20">
        <f>Y41/W41</f>
        <v/>
      </c>
      <c r="AB41" s="18" t="n"/>
      <c r="AC41" s="18" t="n"/>
      <c r="AD41" s="18" t="n"/>
      <c r="AE41" s="18" t="n"/>
    </row>
    <row r="42">
      <c r="A42" s="18" t="n"/>
      <c r="B42" s="18" t="n"/>
      <c r="C42" s="17" t="n">
        <v>46083</v>
      </c>
      <c r="D42" s="18" t="inlineStr">
        <is>
          <t>品牌</t>
        </is>
      </c>
      <c r="E42" s="18" t="inlineStr">
        <is>
          <t>是娜娜吖</t>
        </is>
      </c>
      <c r="F42" s="19" t="n"/>
      <c r="G42" s="19" t="inlineStr">
        <is>
          <t>https://pgy.xiaohongshu.com/solar/pre-trade/blogger-detail/67a9ad03000000000d00be48?track_id=kolMatch_19aecebf69214ff9b95e7ba5cb9b3a6e&amp;source=Advertiser_Kol</t>
        </is>
      </c>
      <c r="H42" s="19" t="inlineStr">
        <is>
          <t>https://www.xiaohongshu.com/user/profile/67a9ad03000000000d00be48</t>
        </is>
      </c>
      <c r="I42" s="118" t="n">
        <v>95367551179</v>
      </c>
      <c r="J42" s="18" t="n"/>
      <c r="K42" s="18" t="inlineStr">
        <is>
          <t>家居家装</t>
        </is>
      </c>
      <c r="L42" s="18" t="inlineStr">
        <is>
          <t>koc</t>
        </is>
      </c>
      <c r="M42" s="18" t="n">
        <v>1.3</v>
      </c>
      <c r="N42" s="18" t="n">
        <v>7.1</v>
      </c>
      <c r="O42" s="18" t="inlineStr">
        <is>
          <t>图文</t>
        </is>
      </c>
      <c r="P42" s="21" t="n">
        <v>0.78</v>
      </c>
      <c r="Q42" s="21" t="n">
        <v>0.16</v>
      </c>
      <c r="R42" s="21" t="n">
        <v>0.21</v>
      </c>
      <c r="S42" s="21" t="n">
        <v>0.19</v>
      </c>
      <c r="T42" s="21" t="n">
        <v>0.28</v>
      </c>
      <c r="U42" s="21" t="n">
        <v>0.22</v>
      </c>
      <c r="V42" s="22" t="n">
        <v>5440</v>
      </c>
      <c r="W42" s="18" t="n">
        <v>282</v>
      </c>
      <c r="X42" s="18" t="n">
        <v>1000</v>
      </c>
      <c r="Y42" s="18">
        <f>X42*1.1</f>
        <v/>
      </c>
      <c r="Z42" s="20">
        <f>Y42/V42</f>
        <v/>
      </c>
      <c r="AA42" s="20">
        <f>Y42/W42</f>
        <v/>
      </c>
      <c r="AB42" s="18" t="n"/>
      <c r="AC42" s="18" t="n"/>
      <c r="AD42" s="18" t="n"/>
      <c r="AE42" s="18" t="n"/>
    </row>
    <row r="43">
      <c r="A43" s="18" t="n"/>
      <c r="B43" s="18" t="n"/>
      <c r="C43" s="17" t="n">
        <v>46083</v>
      </c>
      <c r="D43" s="18" t="inlineStr">
        <is>
          <t>品牌</t>
        </is>
      </c>
      <c r="E43" s="18" t="inlineStr">
        <is>
          <t>旺旺旺仔</t>
        </is>
      </c>
      <c r="F43" s="19" t="n"/>
      <c r="G43" s="19" t="inlineStr">
        <is>
          <t>https://pgy.xiaohongshu.com/solar/pre-trade/blogger-detail/59bb33d644363b7b96a616df?track_id=kolSimilar_4c91733a2cfc467cbf45644cf17d9996&amp;source=Advertiser_Similar_Kol</t>
        </is>
      </c>
      <c r="H43" s="19" t="inlineStr">
        <is>
          <t>https://www.xiaohongshu.com/user/profile/59bb33d644363b7b96a616df</t>
        </is>
      </c>
      <c r="I43" s="118" t="n">
        <v>278354625</v>
      </c>
      <c r="J43" s="18" t="n"/>
      <c r="K43" s="18" t="inlineStr">
        <is>
          <t>家居家装</t>
        </is>
      </c>
      <c r="L43" s="18" t="inlineStr">
        <is>
          <t>koc</t>
        </is>
      </c>
      <c r="M43" s="18" t="n">
        <v>0.65</v>
      </c>
      <c r="N43" s="18" t="n">
        <v>25</v>
      </c>
      <c r="O43" s="18" t="inlineStr">
        <is>
          <t>图文</t>
        </is>
      </c>
      <c r="P43" s="21" t="n">
        <v>0.87</v>
      </c>
      <c r="Q43" s="21" t="n">
        <v>0.07000000000000001</v>
      </c>
      <c r="R43" s="21" t="n">
        <v>0.54</v>
      </c>
      <c r="S43" s="21" t="n">
        <v>0.28</v>
      </c>
      <c r="T43" s="21" t="n">
        <v>0.48</v>
      </c>
      <c r="U43" s="21" t="n">
        <v>0.16</v>
      </c>
      <c r="V43" s="22" t="n">
        <v>8972</v>
      </c>
      <c r="W43" s="18" t="n">
        <v>678</v>
      </c>
      <c r="X43" s="18" t="n">
        <v>2300</v>
      </c>
      <c r="Y43" s="18">
        <f>X43*1.1</f>
        <v/>
      </c>
      <c r="Z43" s="20">
        <f>Y43/V43</f>
        <v/>
      </c>
      <c r="AA43" s="20">
        <f>Y43/W43</f>
        <v/>
      </c>
      <c r="AB43" s="18" t="n"/>
      <c r="AC43" s="18" t="n"/>
      <c r="AD43" s="18" t="n"/>
      <c r="AE43" s="18" t="n"/>
    </row>
    <row r="44">
      <c r="A44" s="18" t="n"/>
      <c r="B44" s="18" t="n"/>
      <c r="C44" s="17" t="n">
        <v>46083</v>
      </c>
      <c r="D44" s="18" t="inlineStr">
        <is>
          <t>品牌</t>
        </is>
      </c>
      <c r="E44" s="18" t="inlineStr">
        <is>
          <t>添添看家电</t>
        </is>
      </c>
      <c r="F44" s="19" t="n"/>
      <c r="G44" s="19" t="inlineStr">
        <is>
          <t>https://pgy.xiaohongshu.com/solar/pre-trade/blogger-detail/65f431f8000000000d0264ea?track_id=kolSimilar_3956dbac581d45b9ae5895fb24c8b25f&amp;source=Advertiser_Similar_Kol</t>
        </is>
      </c>
      <c r="H44" s="19" t="inlineStr">
        <is>
          <t>https://www.xiaohongshu.com/user/profile/65f431f8000000000d0264ea</t>
        </is>
      </c>
      <c r="I44" s="118" t="n">
        <v>42710939360</v>
      </c>
      <c r="J44" s="18" t="n"/>
      <c r="K44" s="18" t="inlineStr">
        <is>
          <t>家居家装</t>
        </is>
      </c>
      <c r="L44" s="18" t="inlineStr">
        <is>
          <t>koc</t>
        </is>
      </c>
      <c r="M44" s="18" t="n">
        <v>2.6</v>
      </c>
      <c r="N44" s="18" t="n">
        <v>15</v>
      </c>
      <c r="O44" s="18" t="inlineStr">
        <is>
          <t>图文</t>
        </is>
      </c>
      <c r="P44" s="21" t="n">
        <v>0.74</v>
      </c>
      <c r="Q44" s="21" t="n">
        <v>0.16</v>
      </c>
      <c r="R44" s="21" t="n">
        <v>0.3</v>
      </c>
      <c r="S44" s="21" t="n">
        <v>0.25</v>
      </c>
      <c r="T44" s="21" t="n">
        <v>0.23</v>
      </c>
      <c r="U44" s="21" t="n">
        <v>0.22</v>
      </c>
      <c r="V44" s="22" t="n">
        <v>10584</v>
      </c>
      <c r="W44" s="18" t="n">
        <v>369</v>
      </c>
      <c r="X44" s="18" t="n">
        <v>2500</v>
      </c>
      <c r="Y44" s="18">
        <f>X44*1.1</f>
        <v/>
      </c>
      <c r="Z44" s="20">
        <f>Y44/V44</f>
        <v/>
      </c>
      <c r="AA44" s="20">
        <f>Y44/W44</f>
        <v/>
      </c>
      <c r="AB44" s="18" t="n"/>
      <c r="AC44" s="18" t="n"/>
      <c r="AD44" s="18" t="n"/>
      <c r="AE44" s="18" t="n"/>
    </row>
    <row r="45">
      <c r="A45" s="18" t="n"/>
      <c r="B45" s="18" t="n"/>
      <c r="C45" s="17" t="n">
        <v>46083</v>
      </c>
      <c r="D45" s="18" t="inlineStr">
        <is>
          <t>品牌</t>
        </is>
      </c>
      <c r="E45" s="18" t="inlineStr">
        <is>
          <t>咪小团的家</t>
        </is>
      </c>
      <c r="F45" s="19" t="n"/>
      <c r="G45" s="19" t="inlineStr">
        <is>
          <t>https://pgy.xiaohongshu.com/solar/pre-trade/blogger-detail/65e82eee000000000500d4f4?track_id=kolSimilar_3956dbac581d45b9ae5895fb24c8b25f&amp;source=Advertiser_Similar_Kol</t>
        </is>
      </c>
      <c r="H45" s="19" t="inlineStr">
        <is>
          <t>https://www.xiaohongshu.com/user/profile/65e82eee000000000500d4f4</t>
        </is>
      </c>
      <c r="I45" s="118" t="inlineStr">
        <is>
          <t>taozimiao1217</t>
        </is>
      </c>
      <c r="J45" s="18" t="n"/>
      <c r="K45" s="18" t="inlineStr">
        <is>
          <t>家居家装</t>
        </is>
      </c>
      <c r="L45" s="18" t="inlineStr">
        <is>
          <t>koc</t>
        </is>
      </c>
      <c r="M45" s="18" t="n">
        <v>0.64</v>
      </c>
      <c r="N45" s="18" t="n">
        <v>9.300000000000001</v>
      </c>
      <c r="O45" s="18" t="inlineStr">
        <is>
          <t>图文</t>
        </is>
      </c>
      <c r="P45" s="21" t="n">
        <v>0.78</v>
      </c>
      <c r="Q45" s="21" t="n">
        <v>0.13</v>
      </c>
      <c r="R45" s="21" t="n">
        <v>0.61</v>
      </c>
      <c r="S45" s="21" t="n">
        <v>0.17</v>
      </c>
      <c r="T45" s="18" t="n">
        <v>535</v>
      </c>
      <c r="U45" s="21" t="n">
        <v>0.14</v>
      </c>
      <c r="V45" s="22" t="n">
        <v>4295</v>
      </c>
      <c r="W45" s="18" t="n">
        <v>172</v>
      </c>
      <c r="X45" s="18" t="n">
        <v>2500</v>
      </c>
      <c r="Y45" s="18">
        <f>X45*1.1</f>
        <v/>
      </c>
      <c r="Z45" s="20">
        <f>Y45/V45</f>
        <v/>
      </c>
      <c r="AA45" s="20">
        <f>Y45/W45</f>
        <v/>
      </c>
      <c r="AB45" s="18" t="n"/>
      <c r="AC45" s="18" t="n"/>
      <c r="AD45" s="18" t="n"/>
      <c r="AE45" s="18" t="n"/>
    </row>
    <row r="46">
      <c r="A46" s="18" t="n"/>
      <c r="B46" s="18" t="n"/>
      <c r="C46" s="17" t="n">
        <v>46083</v>
      </c>
      <c r="D46" s="18" t="inlineStr">
        <is>
          <t>品牌</t>
        </is>
      </c>
      <c r="E46" s="18" t="inlineStr">
        <is>
          <t>面包聊家电</t>
        </is>
      </c>
      <c r="F46" s="19" t="n"/>
      <c r="G46" s="19" t="inlineStr">
        <is>
          <t>https://pgy.xiaohongshu.com/solar/pre-trade/blogger-detail/676689c0000000001801f2bc?track_id=kolSimilar_3956dbac581d45b9ae5895fb24c8b25f&amp;source=Advertiser_Similar_Kol</t>
        </is>
      </c>
      <c r="H46" s="19" t="inlineStr">
        <is>
          <t>https://www.xiaohongshu.com/user/profile/676689c0000000001801f2bc</t>
        </is>
      </c>
      <c r="I46" s="18" t="n">
        <v>11566289730</v>
      </c>
      <c r="J46" s="18" t="n"/>
      <c r="K46" s="18" t="inlineStr">
        <is>
          <t>家居家装</t>
        </is>
      </c>
      <c r="L46" s="18" t="inlineStr">
        <is>
          <t>koc</t>
        </is>
      </c>
      <c r="M46" s="18" t="n">
        <v>1.7</v>
      </c>
      <c r="N46" s="18" t="n">
        <v>6.1</v>
      </c>
      <c r="O46" s="18" t="inlineStr">
        <is>
          <t>图文</t>
        </is>
      </c>
      <c r="P46" s="21" t="n">
        <v>0.76</v>
      </c>
      <c r="Q46" s="21" t="n">
        <v>0.13</v>
      </c>
      <c r="R46" s="21" t="n">
        <v>0.31</v>
      </c>
      <c r="S46" s="21" t="n">
        <v>0.24</v>
      </c>
      <c r="T46" s="21" t="n">
        <v>0.19</v>
      </c>
      <c r="U46" s="21" t="n">
        <v>0.21</v>
      </c>
      <c r="V46" s="22" t="n">
        <v>37</v>
      </c>
      <c r="W46" s="18" t="n">
        <v>4</v>
      </c>
      <c r="X46" s="18" t="n">
        <v>2500</v>
      </c>
      <c r="Y46" s="18">
        <f>X46*1.1</f>
        <v/>
      </c>
      <c r="Z46" s="20">
        <f>Y46/V46</f>
        <v/>
      </c>
      <c r="AA46" s="20">
        <f>Y46/W46</f>
        <v/>
      </c>
      <c r="AB46" s="18" t="n"/>
      <c r="AC46" s="18" t="n"/>
      <c r="AD46" s="18" t="n"/>
      <c r="AE46" s="18" t="n"/>
    </row>
    <row r="47">
      <c r="A47" s="18" t="n"/>
      <c r="B47" s="18" t="n"/>
      <c r="C47" s="17" t="n">
        <v>46083</v>
      </c>
      <c r="D47" s="18" t="inlineStr">
        <is>
          <t>电商</t>
        </is>
      </c>
      <c r="E47" s="18" t="inlineStr">
        <is>
          <t>小珍珠妈妈</t>
        </is>
      </c>
      <c r="F47" s="19" t="n"/>
      <c r="G47" s="19" t="inlineStr">
        <is>
          <t>https://pgy.xiaohongshu.com/solar/pre-trade/blogger-detail/5c2390eb000000000700cab7?track_id=kolMatch_7674c4980520418ea6c2713a665d0a42&amp;source=Advertiser_Kol</t>
        </is>
      </c>
      <c r="H47" s="19" t="inlineStr">
        <is>
          <t>https://www.xiaohongshu.com/user/profile/5c2390eb000000000700cab7</t>
        </is>
      </c>
      <c r="I47" s="118" t="inlineStr">
        <is>
          <t>hs19980326</t>
        </is>
      </c>
      <c r="J47" s="18" t="n"/>
      <c r="K47" s="18" t="inlineStr">
        <is>
          <t>家居家装</t>
        </is>
      </c>
      <c r="L47" s="18" t="inlineStr">
        <is>
          <t>koc</t>
        </is>
      </c>
      <c r="M47" s="18" t="n">
        <v>0.97</v>
      </c>
      <c r="N47" s="18" t="n">
        <v>7.8</v>
      </c>
      <c r="O47" s="18" t="inlineStr">
        <is>
          <t>图文</t>
        </is>
      </c>
      <c r="P47" s="21" t="n">
        <v>0.92</v>
      </c>
      <c r="Q47" s="21" t="n">
        <v>0.07000000000000001</v>
      </c>
      <c r="R47" s="21" t="n">
        <v>0.75</v>
      </c>
      <c r="S47" s="21" t="n">
        <v>0.07000000000000001</v>
      </c>
      <c r="T47" s="21" t="n">
        <v>0.29</v>
      </c>
      <c r="U47" s="21" t="n">
        <v>0.36</v>
      </c>
      <c r="V47" s="22" t="n">
        <v>3479</v>
      </c>
      <c r="W47" s="18" t="n">
        <v>271</v>
      </c>
      <c r="X47" s="18" t="n">
        <v>1000</v>
      </c>
      <c r="Y47" s="18">
        <f>X47*1.1</f>
        <v/>
      </c>
      <c r="Z47" s="20">
        <f>Y47/V47</f>
        <v/>
      </c>
      <c r="AA47" s="20">
        <f>Y47/W47</f>
        <v/>
      </c>
      <c r="AB47" s="18" t="n"/>
      <c r="AC47" s="18" t="n"/>
      <c r="AD47" s="18" t="n"/>
      <c r="AE47" s="18" t="n"/>
    </row>
    <row r="48">
      <c r="A48" s="18" t="n"/>
      <c r="B48" s="18" t="n"/>
      <c r="C48" s="17" t="n">
        <v>46083</v>
      </c>
      <c r="D48" s="18" t="inlineStr">
        <is>
          <t>电商</t>
        </is>
      </c>
      <c r="E48" s="18" t="inlineStr">
        <is>
          <t>馒头的家🏠</t>
        </is>
      </c>
      <c r="F48" s="19" t="n"/>
      <c r="G48" s="19" t="inlineStr">
        <is>
          <t>https://pgy.xiaohongshu.com/solar/pre-trade/blogger-detail/58a274e57fc5b808dc2335d1?track_id=kolMatch_7674c4980520418ea6c2713a665d0a42&amp;source=Advertiser_Kol</t>
        </is>
      </c>
      <c r="H48" s="19" t="inlineStr">
        <is>
          <t>https://www.xiaohongshu.com/user/profile/58a274e57fc5b808dc2335d1</t>
        </is>
      </c>
      <c r="I48" s="118" t="n">
        <v>426191980</v>
      </c>
      <c r="J48" s="18" t="n"/>
      <c r="K48" s="18" t="inlineStr">
        <is>
          <t>家居家装</t>
        </is>
      </c>
      <c r="L48" s="18" t="inlineStr">
        <is>
          <t>koc</t>
        </is>
      </c>
      <c r="M48" s="18" t="n">
        <v>0.21</v>
      </c>
      <c r="N48" s="18" t="n">
        <v>2.3</v>
      </c>
      <c r="O48" s="18" t="inlineStr">
        <is>
          <t>图文</t>
        </is>
      </c>
      <c r="P48" s="21" t="n">
        <v>0.92</v>
      </c>
      <c r="Q48" s="21" t="n">
        <v>0.04</v>
      </c>
      <c r="R48" s="21" t="n">
        <v>0.83</v>
      </c>
      <c r="S48" s="21" t="n">
        <v>0.07000000000000001</v>
      </c>
      <c r="T48" s="21" t="n">
        <v>0.78</v>
      </c>
      <c r="U48" s="21" t="n">
        <v>0.08</v>
      </c>
      <c r="V48" s="22" t="n">
        <v>1232</v>
      </c>
      <c r="W48" s="18" t="n">
        <v>170</v>
      </c>
      <c r="X48" s="18" t="n">
        <v>1000</v>
      </c>
      <c r="Y48" s="18">
        <f>X48*1.1</f>
        <v/>
      </c>
      <c r="Z48" s="20">
        <f>Y48/V48</f>
        <v/>
      </c>
      <c r="AA48" s="20">
        <f>Y48/W48</f>
        <v/>
      </c>
      <c r="AB48" s="18" t="n"/>
      <c r="AC48" s="18" t="n"/>
      <c r="AD48" s="18" t="n"/>
      <c r="AE48" s="18" t="n"/>
    </row>
    <row r="49" ht="15" customHeight="1" s="151">
      <c r="A49" s="18" t="n"/>
      <c r="B49" s="18" t="n"/>
      <c r="C49" s="17" t="n">
        <v>46083</v>
      </c>
      <c r="D49" s="18" t="inlineStr">
        <is>
          <t>电商</t>
        </is>
      </c>
      <c r="E49" s="18" t="inlineStr">
        <is>
          <t>科技贤仔聊家居</t>
        </is>
      </c>
      <c r="F49" s="19" t="n"/>
      <c r="G49" s="19" t="inlineStr">
        <is>
          <t>https://pgy.xiaohongshu.com/solar/pre-trade/blogger-detail/5f1fd31700000000010052da?track_id=kolMatch_7674c4980520418ea6c2713a665d0a42&amp;source=Advertiser_Kol</t>
        </is>
      </c>
      <c r="H49" s="19" t="inlineStr">
        <is>
          <t>https://www.xiaohongshu.com/user/profile/5f1fd31700000000010052da</t>
        </is>
      </c>
      <c r="I49" s="118" t="n">
        <v>763367738</v>
      </c>
      <c r="J49" s="18" t="n"/>
      <c r="K49" s="18" t="inlineStr">
        <is>
          <t>家居家装</t>
        </is>
      </c>
      <c r="L49" s="18" t="inlineStr">
        <is>
          <t>koc</t>
        </is>
      </c>
      <c r="M49" s="18" t="n">
        <v>2.5</v>
      </c>
      <c r="N49" s="18" t="n">
        <v>15.5</v>
      </c>
      <c r="O49" s="18" t="inlineStr">
        <is>
          <t>图文</t>
        </is>
      </c>
      <c r="P49" s="21" t="n">
        <v>0.75</v>
      </c>
      <c r="Q49" s="21" t="n">
        <v>0.08</v>
      </c>
      <c r="R49" s="21" t="n">
        <v>0.12</v>
      </c>
      <c r="S49" s="21" t="n">
        <v>0.18</v>
      </c>
      <c r="T49" s="21" t="n">
        <v>0.15</v>
      </c>
      <c r="U49" s="21" t="n">
        <v>0.25</v>
      </c>
      <c r="V49" s="120" t="n">
        <v>3273</v>
      </c>
      <c r="W49" s="18" t="n">
        <v>165</v>
      </c>
      <c r="X49" s="18" t="n">
        <v>2000</v>
      </c>
      <c r="Y49" s="18">
        <f>X49*1.1</f>
        <v/>
      </c>
      <c r="Z49" s="20">
        <f>Y49/V49</f>
        <v/>
      </c>
      <c r="AA49" s="20">
        <f>Y49/W49</f>
        <v/>
      </c>
      <c r="AB49" s="18" t="n"/>
      <c r="AC49" s="18" t="n"/>
      <c r="AD49" s="18" t="n"/>
      <c r="AE49" s="18" t="n"/>
    </row>
    <row r="50">
      <c r="A50" s="18" t="n"/>
      <c r="B50" s="18" t="n"/>
      <c r="C50" s="17" t="n">
        <v>46083</v>
      </c>
      <c r="D50" s="18" t="inlineStr">
        <is>
          <t>电商</t>
        </is>
      </c>
      <c r="E50" s="18" t="inlineStr">
        <is>
          <t>测评小星思</t>
        </is>
      </c>
      <c r="F50" s="19" t="n"/>
      <c r="G50" s="19" t="inlineStr">
        <is>
          <t>https://pgy.xiaohongshu.com/solar/pre-trade/blogger-detail/6272568d000000002102b864?track_id=kolMatch_7674c4980520418ea6c2713a665d0a42&amp;source=Advertiser_Kol</t>
        </is>
      </c>
      <c r="H50" s="19" t="inlineStr">
        <is>
          <t>https://www.xiaohongshu.com/user/profile/6272568d000000002102b864</t>
        </is>
      </c>
      <c r="I50" s="118" t="n">
        <v>4185801721</v>
      </c>
      <c r="J50" s="18" t="n"/>
      <c r="K50" s="18" t="inlineStr">
        <is>
          <t>家居家装</t>
        </is>
      </c>
      <c r="L50" s="18" t="inlineStr">
        <is>
          <t>koc</t>
        </is>
      </c>
      <c r="M50" s="18" t="n">
        <v>0.78</v>
      </c>
      <c r="N50" s="18" t="n">
        <v>2.3</v>
      </c>
      <c r="O50" s="18" t="inlineStr">
        <is>
          <t>图文</t>
        </is>
      </c>
      <c r="P50" s="21" t="n">
        <v>0.9399999999999999</v>
      </c>
      <c r="Q50" s="21" t="n">
        <v>0.07000000000000001</v>
      </c>
      <c r="R50" s="21" t="n">
        <v>0.73</v>
      </c>
      <c r="S50" s="21" t="n">
        <v>0.05</v>
      </c>
      <c r="T50" s="21" t="n">
        <v>0.1</v>
      </c>
      <c r="U50" s="21" t="n">
        <v>0.58</v>
      </c>
      <c r="V50" s="22" t="n">
        <v>4389</v>
      </c>
      <c r="W50" s="18" t="n">
        <v>207</v>
      </c>
      <c r="X50" s="18" t="n">
        <v>1000</v>
      </c>
      <c r="Y50" s="18">
        <f>X50*1.1</f>
        <v/>
      </c>
      <c r="Z50" s="20">
        <f>Y50/V50</f>
        <v/>
      </c>
      <c r="AA50" s="20">
        <f>Y50/W50</f>
        <v/>
      </c>
      <c r="AB50" s="18" t="n"/>
      <c r="AC50" s="18" t="n"/>
      <c r="AD50" s="18" t="n"/>
      <c r="AE50" s="18" t="n"/>
    </row>
    <row r="51">
      <c r="A51" s="18" t="n"/>
      <c r="B51" s="18" t="n"/>
      <c r="C51" s="17" t="n">
        <v>46083</v>
      </c>
      <c r="D51" s="18" t="inlineStr">
        <is>
          <t>电商</t>
        </is>
      </c>
      <c r="E51" s="18" t="inlineStr">
        <is>
          <t>暖暖的小宅</t>
        </is>
      </c>
      <c r="F51" s="19" t="n"/>
      <c r="G51" s="19" t="inlineStr">
        <is>
          <t>https://pgy.xiaohongshu.com/solar/pre-trade/blogger-detail/605851b8000000000101c886?track_id=kolMatch_7674c4980520418ea6c2713a665d0a42&amp;source=Advertiser_Kol</t>
        </is>
      </c>
      <c r="H51" s="19" t="inlineStr">
        <is>
          <t>https://www.xiaohongshu.com/user/profile/605851b8000000000101c886</t>
        </is>
      </c>
      <c r="I51" s="118" t="n">
        <v>11561738399</v>
      </c>
      <c r="J51" s="18" t="n"/>
      <c r="K51" s="18" t="inlineStr">
        <is>
          <t>家居家装</t>
        </is>
      </c>
      <c r="L51" s="18" t="inlineStr">
        <is>
          <t>koc</t>
        </is>
      </c>
      <c r="M51" s="18" t="n">
        <v>1</v>
      </c>
      <c r="N51" s="18" t="n">
        <v>4.1</v>
      </c>
      <c r="O51" s="18" t="inlineStr">
        <is>
          <t>图文</t>
        </is>
      </c>
      <c r="P51" s="21" t="n">
        <v>0.75</v>
      </c>
      <c r="Q51" s="21" t="n">
        <v>0.16</v>
      </c>
      <c r="R51" s="21" t="n">
        <v>0.28</v>
      </c>
      <c r="S51" s="21" t="n">
        <v>0.23</v>
      </c>
      <c r="T51" s="21" t="n">
        <v>0.3</v>
      </c>
      <c r="U51" s="21" t="n">
        <v>0.24</v>
      </c>
      <c r="V51" s="22" t="n">
        <v>4325</v>
      </c>
      <c r="W51" s="18" t="n">
        <v>92</v>
      </c>
      <c r="X51" s="18" t="n">
        <v>1000</v>
      </c>
      <c r="Y51" s="18">
        <f>X51*1.1</f>
        <v/>
      </c>
      <c r="Z51" s="20">
        <f>Y51/V51</f>
        <v/>
      </c>
      <c r="AA51" s="20">
        <f>Y51/W51</f>
        <v/>
      </c>
      <c r="AB51" s="18" t="n"/>
      <c r="AC51" s="18" t="n"/>
      <c r="AD51" s="18" t="n"/>
      <c r="AE51" s="18" t="n"/>
    </row>
    <row r="52">
      <c r="A52" s="18" t="n"/>
      <c r="B52" s="18" t="n"/>
      <c r="C52" s="17" t="n">
        <v>46083</v>
      </c>
      <c r="D52" s="18" t="inlineStr">
        <is>
          <t>电商</t>
        </is>
      </c>
      <c r="E52" s="18" t="inlineStr">
        <is>
          <t>七月与微风</t>
        </is>
      </c>
      <c r="F52" s="19" t="n"/>
      <c r="G52" s="19" t="inlineStr">
        <is>
          <t>https://pgy.xiaohongshu.com/solar/pre-trade/blogger-detail/65741019000000002002cb3b?track_id=kolMatch_7674c4980520418ea6c2713a665d0a42&amp;source=Advertiser_Kol</t>
        </is>
      </c>
      <c r="H52" s="19" t="inlineStr">
        <is>
          <t>https://www.xiaohongshu.com/user/profile/65741019000000002002cb3b</t>
        </is>
      </c>
      <c r="I52" s="118" t="n">
        <v>8350209821</v>
      </c>
      <c r="J52" s="18" t="n"/>
      <c r="K52" s="18" t="inlineStr">
        <is>
          <t>家居家装</t>
        </is>
      </c>
      <c r="L52" s="18" t="inlineStr">
        <is>
          <t>koc</t>
        </is>
      </c>
      <c r="M52" s="18" t="n">
        <v>1.6</v>
      </c>
      <c r="N52" s="18" t="n">
        <v>8.4</v>
      </c>
      <c r="O52" s="18" t="inlineStr">
        <is>
          <t>图文</t>
        </is>
      </c>
      <c r="P52" s="21" t="n">
        <v>0.91</v>
      </c>
      <c r="Q52" s="21" t="n">
        <v>0.06</v>
      </c>
      <c r="R52" s="21" t="n">
        <v>0.77</v>
      </c>
      <c r="S52" s="21" t="n">
        <v>0.06</v>
      </c>
      <c r="T52" s="21" t="n">
        <v>0.12</v>
      </c>
      <c r="U52" s="21" t="n">
        <v>0.58</v>
      </c>
      <c r="V52" s="22" t="n">
        <v>8289</v>
      </c>
      <c r="W52" s="18" t="n">
        <v>592</v>
      </c>
      <c r="X52" s="18" t="n">
        <v>1800</v>
      </c>
      <c r="Y52" s="18">
        <f>X52*1.1</f>
        <v/>
      </c>
      <c r="Z52" s="20">
        <f>Y52/V52</f>
        <v/>
      </c>
      <c r="AA52" s="20">
        <f>Y52/W52</f>
        <v/>
      </c>
      <c r="AB52" s="18" t="n"/>
      <c r="AC52" s="18" t="n"/>
      <c r="AD52" s="18" t="n"/>
      <c r="AE52" s="18" t="n"/>
    </row>
    <row r="53">
      <c r="A53" s="18" t="n"/>
      <c r="B53" s="18" t="n"/>
      <c r="C53" s="17" t="n">
        <v>46083</v>
      </c>
      <c r="D53" s="18" t="inlineStr">
        <is>
          <t>电商</t>
        </is>
      </c>
      <c r="E53" s="18" t="inlineStr">
        <is>
          <t>想发疯的咖啡糖</t>
        </is>
      </c>
      <c r="F53" s="19" t="n"/>
      <c r="G53" s="19" t="inlineStr">
        <is>
          <t>https://pgy.xiaohongshu.com/solar/pre-trade/blogger-detail/6717543b000000001d023d06?track_id=kolMatch_7674c4980520418ea6c2713a665d0a42&amp;source=Advertiser_Kol</t>
        </is>
      </c>
      <c r="H53" s="19" t="inlineStr">
        <is>
          <t>https://www.xiaohongshu.com/user/profile/6717543b000000001d023d06</t>
        </is>
      </c>
      <c r="I53" s="118" t="n">
        <v>95474044612</v>
      </c>
      <c r="J53" s="18" t="n"/>
      <c r="K53" s="18" t="inlineStr">
        <is>
          <t>家居家装</t>
        </is>
      </c>
      <c r="L53" s="18" t="inlineStr">
        <is>
          <t>koc</t>
        </is>
      </c>
      <c r="M53" s="18" t="n">
        <v>0.6899999999999999</v>
      </c>
      <c r="N53" s="18" t="n">
        <v>15</v>
      </c>
      <c r="O53" s="18" t="inlineStr">
        <is>
          <t>图文</t>
        </is>
      </c>
      <c r="P53" s="21" t="n">
        <v>0.84</v>
      </c>
      <c r="Q53" s="21" t="n">
        <v>0.07000000000000001</v>
      </c>
      <c r="R53" s="21" t="n">
        <v>0.53</v>
      </c>
      <c r="S53" s="21" t="n">
        <v>0.3</v>
      </c>
      <c r="T53" s="21" t="n">
        <v>0.53</v>
      </c>
      <c r="U53" s="21" t="n">
        <v>0.17</v>
      </c>
      <c r="V53" s="22" t="n">
        <v>8557</v>
      </c>
      <c r="W53" s="18" t="n">
        <v>340</v>
      </c>
      <c r="X53" s="18" t="n">
        <v>1200</v>
      </c>
      <c r="Y53" s="18">
        <f>X53*1.1</f>
        <v/>
      </c>
      <c r="Z53" s="20">
        <f>Y53/V53</f>
        <v/>
      </c>
      <c r="AA53" s="20">
        <f>Y53/W53</f>
        <v/>
      </c>
      <c r="AB53" s="18" t="n"/>
      <c r="AC53" s="18" t="n"/>
      <c r="AD53" s="18" t="n"/>
      <c r="AE53" s="18" t="n"/>
    </row>
    <row r="54">
      <c r="A54" s="18" t="n"/>
      <c r="B54" s="18" t="n"/>
      <c r="C54" s="17" t="n">
        <v>46083</v>
      </c>
      <c r="D54" s="18" t="inlineStr">
        <is>
          <t>电商</t>
        </is>
      </c>
      <c r="E54" s="18" t="inlineStr">
        <is>
          <t>柚柚评测</t>
        </is>
      </c>
      <c r="F54" s="19" t="n"/>
      <c r="G54" s="19" t="inlineStr">
        <is>
          <t>https://pgy.xiaohongshu.com/solar/pre-trade/blogger-detail/674859be000000001d02d449?track_id=kolMatch_7674c4980520418ea6c2713a665d0a42&amp;source=Advertiser_Kol</t>
        </is>
      </c>
      <c r="H54" s="19" t="inlineStr">
        <is>
          <t>https://www.xiaohongshu.com/user/profile/674859be000000001d02d449</t>
        </is>
      </c>
      <c r="I54" s="118" t="n">
        <v>11547372429</v>
      </c>
      <c r="J54" s="18" t="n"/>
      <c r="K54" s="18" t="inlineStr">
        <is>
          <t>家居家装</t>
        </is>
      </c>
      <c r="L54" s="18" t="inlineStr">
        <is>
          <t>koc</t>
        </is>
      </c>
      <c r="M54" s="18" t="n">
        <v>3.4</v>
      </c>
      <c r="N54" s="18" t="n">
        <v>8.300000000000001</v>
      </c>
      <c r="O54" s="18" t="inlineStr">
        <is>
          <t>图文</t>
        </is>
      </c>
      <c r="P54" s="21" t="n">
        <v>0.71</v>
      </c>
      <c r="Q54" s="21" t="n">
        <v>2.44</v>
      </c>
      <c r="R54" s="21" t="n">
        <v>0.28</v>
      </c>
      <c r="S54" s="21" t="n">
        <v>0.16</v>
      </c>
      <c r="T54" s="21" t="n">
        <v>0.19</v>
      </c>
      <c r="U54" s="21" t="n">
        <v>0.27</v>
      </c>
      <c r="V54" s="22" t="n">
        <v>9456</v>
      </c>
      <c r="W54" s="18" t="n">
        <v>429</v>
      </c>
      <c r="X54" s="18" t="n">
        <v>2000</v>
      </c>
      <c r="Y54" s="18">
        <f>X54*1.1</f>
        <v/>
      </c>
      <c r="Z54" s="20">
        <f>Y54/V54</f>
        <v/>
      </c>
      <c r="AA54" s="20">
        <f>Y54/W54</f>
        <v/>
      </c>
      <c r="AB54" s="18" t="n"/>
      <c r="AC54" s="18" t="n"/>
      <c r="AD54" s="18" t="n"/>
      <c r="AE54" s="18" t="n"/>
    </row>
    <row r="55">
      <c r="A55" s="18" t="n"/>
      <c r="B55" s="18" t="n"/>
      <c r="C55" s="17" t="n">
        <v>46083</v>
      </c>
      <c r="D55" s="18" t="inlineStr">
        <is>
          <t>电商</t>
        </is>
      </c>
      <c r="E55" s="18" t="inlineStr">
        <is>
          <t>西蒙仔和JOJO</t>
        </is>
      </c>
      <c r="F55" s="19" t="n"/>
      <c r="G55" s="19" t="inlineStr">
        <is>
          <t>https://pgy.xiaohongshu.com/solar/pre-trade/blogger-detail/5d24a8f50000000011036b97?track_id=kolMatch_7674c4980520418ea6c2713a665d0a42&amp;source=Advertiser_Kol</t>
        </is>
      </c>
      <c r="H55" s="19" t="inlineStr">
        <is>
          <t>https://www.xiaohongshu.com/user/profile/5d24a8f50000000011036b97</t>
        </is>
      </c>
      <c r="I55" s="118" t="n">
        <v>304650600</v>
      </c>
      <c r="J55" s="18" t="n"/>
      <c r="K55" s="18" t="inlineStr">
        <is>
          <t>家居家装</t>
        </is>
      </c>
      <c r="L55" s="18" t="inlineStr">
        <is>
          <t>koc</t>
        </is>
      </c>
      <c r="M55" s="18" t="n">
        <v>0.78</v>
      </c>
      <c r="N55" s="18" t="n">
        <v>11.1</v>
      </c>
      <c r="O55" s="18" t="inlineStr">
        <is>
          <t>图文</t>
        </is>
      </c>
      <c r="P55" s="21" t="n">
        <v>0.86</v>
      </c>
      <c r="Q55" s="21" t="n">
        <v>0.07000000000000001</v>
      </c>
      <c r="R55" s="21" t="n">
        <v>0.73</v>
      </c>
      <c r="S55" s="21" t="n">
        <v>0.09</v>
      </c>
      <c r="T55" s="21" t="n">
        <v>0.34</v>
      </c>
      <c r="U55" s="21" t="n">
        <v>0.3</v>
      </c>
      <c r="V55" s="22" t="n">
        <v>4754</v>
      </c>
      <c r="W55" s="18" t="n">
        <v>412</v>
      </c>
      <c r="X55" s="18" t="n">
        <v>1100</v>
      </c>
      <c r="Y55" s="18">
        <f>X55*1.1</f>
        <v/>
      </c>
      <c r="Z55" s="20">
        <f>Y55/V55</f>
        <v/>
      </c>
      <c r="AA55" s="20">
        <f>Y55/W55</f>
        <v/>
      </c>
      <c r="AB55" s="18" t="n"/>
      <c r="AC55" s="18" t="n"/>
      <c r="AD55" s="18" t="n"/>
      <c r="AE55" s="18" t="n"/>
    </row>
    <row r="56">
      <c r="A56" s="18" t="n"/>
      <c r="B56" s="18" t="n"/>
      <c r="C56" s="17" t="n">
        <v>46083</v>
      </c>
      <c r="D56" s="18" t="inlineStr">
        <is>
          <t>电商</t>
        </is>
      </c>
      <c r="E56" s="18" t="inlineStr">
        <is>
          <t>陈子很甜的家🏠</t>
        </is>
      </c>
      <c r="F56" s="19" t="n"/>
      <c r="G56" s="19" t="inlineStr">
        <is>
          <t>https://pgy.xiaohongshu.com/solar/pre-trade/blogger-detail/59ded007de5fb452c18dffc1?track_id=kolMatch_7674c4980520418ea6c2713a665d0a42&amp;source=Advertiser_Kol</t>
        </is>
      </c>
      <c r="H56" s="19" t="inlineStr">
        <is>
          <t>https://www.xiaohongshu.com/user/profile/59ded007de5fb452c18dffc1</t>
        </is>
      </c>
      <c r="I56" s="118" t="inlineStr">
        <is>
          <t>Lib814yy</t>
        </is>
      </c>
      <c r="J56" s="18" t="n"/>
      <c r="K56" s="18" t="inlineStr">
        <is>
          <t>家居家装</t>
        </is>
      </c>
      <c r="L56" s="18" t="inlineStr">
        <is>
          <t>koc</t>
        </is>
      </c>
      <c r="M56" s="18" t="n">
        <v>0.32</v>
      </c>
      <c r="N56" s="18" t="n">
        <v>4.8</v>
      </c>
      <c r="O56" s="18" t="inlineStr">
        <is>
          <t>图文</t>
        </is>
      </c>
      <c r="P56" s="21" t="n">
        <v>0.83</v>
      </c>
      <c r="Q56" s="21" t="n">
        <v>0.12</v>
      </c>
      <c r="R56" s="21" t="n">
        <v>0.61</v>
      </c>
      <c r="S56" s="21" t="n">
        <v>0.17</v>
      </c>
      <c r="T56" s="21" t="n">
        <v>0.63</v>
      </c>
      <c r="U56" s="21" t="n">
        <v>0.13</v>
      </c>
      <c r="V56" s="22" t="n">
        <v>2610</v>
      </c>
      <c r="W56" s="18" t="n">
        <v>104</v>
      </c>
      <c r="X56" s="18" t="n">
        <v>600</v>
      </c>
      <c r="Y56" s="18">
        <f>X56*1.1</f>
        <v/>
      </c>
      <c r="Z56" s="20">
        <f>Y56/V56</f>
        <v/>
      </c>
      <c r="AA56" s="20">
        <f>Y56/W56</f>
        <v/>
      </c>
      <c r="AB56" s="18" t="n"/>
      <c r="AC56" s="18" t="n"/>
      <c r="AD56" s="18" t="n"/>
      <c r="AE56" s="18" t="n"/>
    </row>
    <row r="57">
      <c r="A57" s="18" t="n"/>
      <c r="B57" s="18" t="n"/>
      <c r="C57" s="17" t="n">
        <v>46083</v>
      </c>
      <c r="D57" s="18" t="inlineStr">
        <is>
          <t>电商</t>
        </is>
      </c>
      <c r="E57" s="18" t="inlineStr">
        <is>
          <t>喜圆圆一家🏠</t>
        </is>
      </c>
      <c r="F57" s="19" t="n"/>
      <c r="G57" s="19" t="inlineStr">
        <is>
          <t>https://pgy.xiaohongshu.com/solar/pre-trade/blogger-detail/675538d5000000001d02ce1c?track_id=kolMatch_a0eb7724d8304aee9ca1cc93a1707c6b&amp;source=Advertiser_Kol</t>
        </is>
      </c>
      <c r="H57" s="19" t="inlineStr">
        <is>
          <t>https://www.xiaohongshu.com/user/profile/675538d5000000001d02ce1c</t>
        </is>
      </c>
      <c r="I57" s="118" t="n">
        <v>95620298020</v>
      </c>
      <c r="J57" s="18" t="n"/>
      <c r="K57" s="18" t="inlineStr">
        <is>
          <t>家居家装</t>
        </is>
      </c>
      <c r="L57" s="18" t="inlineStr">
        <is>
          <t>koc</t>
        </is>
      </c>
      <c r="M57" s="18" t="n">
        <v>0.28</v>
      </c>
      <c r="N57" s="18" t="n">
        <v>3.3</v>
      </c>
      <c r="O57" s="18" t="inlineStr">
        <is>
          <t>图文</t>
        </is>
      </c>
      <c r="P57" s="21" t="n">
        <v>0.77</v>
      </c>
      <c r="Q57" s="21" t="n">
        <v>0.13</v>
      </c>
      <c r="R57" s="21" t="n">
        <v>0.52</v>
      </c>
      <c r="S57" s="21" t="n">
        <v>0.19</v>
      </c>
      <c r="T57" s="21" t="n">
        <v>0.52</v>
      </c>
      <c r="U57" s="21" t="n">
        <v>0.14</v>
      </c>
      <c r="V57" s="22" t="n">
        <v>2153</v>
      </c>
      <c r="W57" s="18" t="n">
        <v>199</v>
      </c>
      <c r="X57" s="18" t="n">
        <v>1180</v>
      </c>
      <c r="Y57" s="18">
        <f>X57*1.1</f>
        <v/>
      </c>
      <c r="Z57" s="20">
        <f>Y57/V57</f>
        <v/>
      </c>
      <c r="AA57" s="20">
        <f>Y57/W57</f>
        <v/>
      </c>
      <c r="AB57" s="18" t="n"/>
      <c r="AC57" s="18" t="n"/>
      <c r="AD57" s="18" t="n"/>
      <c r="AE57" s="18" t="n"/>
    </row>
    <row r="58">
      <c r="A58" s="18" t="n"/>
      <c r="B58" s="18" t="n"/>
      <c r="C58" s="17" t="n">
        <v>46083</v>
      </c>
      <c r="D58" s="18" t="inlineStr">
        <is>
          <t>电商</t>
        </is>
      </c>
      <c r="E58" s="18" t="inlineStr">
        <is>
          <t>萱萱的家🏠软装中</t>
        </is>
      </c>
      <c r="F58" s="19" t="n"/>
      <c r="G58" s="19" t="inlineStr">
        <is>
          <t>https://pgy.xiaohongshu.com/solar/pre-trade/blogger-detail/673c354d000000001d02d017?track_id=kolMatch_a0eb7724d8304aee9ca1cc93a1707c6b&amp;source=Advertiser_Kol</t>
        </is>
      </c>
      <c r="H58" s="19" t="inlineStr">
        <is>
          <t>https://www.xiaohongshu.com/user/profile/673c354d000000001d02d017</t>
        </is>
      </c>
      <c r="I58" s="118" t="n">
        <v>26294366823</v>
      </c>
      <c r="J58" s="18" t="n"/>
      <c r="K58" s="18" t="inlineStr">
        <is>
          <t>家居家装</t>
        </is>
      </c>
      <c r="L58" s="18" t="inlineStr">
        <is>
          <t>koc</t>
        </is>
      </c>
      <c r="M58" s="18" t="n">
        <v>0.91</v>
      </c>
      <c r="N58" s="18" t="n">
        <v>9.9</v>
      </c>
      <c r="O58" s="18" t="inlineStr">
        <is>
          <t>图文</t>
        </is>
      </c>
      <c r="P58" s="21" t="n">
        <v>0.89</v>
      </c>
      <c r="Q58" s="21" t="n">
        <v>0.1</v>
      </c>
      <c r="R58" s="21" t="n">
        <v>0.53</v>
      </c>
      <c r="S58" s="21" t="n">
        <v>0.17</v>
      </c>
      <c r="T58" s="21" t="n">
        <v>0.14</v>
      </c>
      <c r="U58" s="21" t="n">
        <v>0.42</v>
      </c>
      <c r="V58" s="22" t="n">
        <v>8618</v>
      </c>
      <c r="W58" s="18" t="n">
        <v>286</v>
      </c>
      <c r="X58" s="18" t="n">
        <v>1500</v>
      </c>
      <c r="Y58" s="18">
        <f>X58*1.1</f>
        <v/>
      </c>
      <c r="Z58" s="20">
        <f>Y58/V58</f>
        <v/>
      </c>
      <c r="AA58" s="20">
        <f>Y58/W58</f>
        <v/>
      </c>
      <c r="AB58" s="18" t="n"/>
      <c r="AC58" s="18" t="n"/>
      <c r="AD58" s="18" t="n"/>
      <c r="AE58" s="18" t="n"/>
    </row>
    <row r="59">
      <c r="A59" s="18" t="n"/>
      <c r="B59" s="18" t="n"/>
      <c r="C59" s="17" t="n">
        <v>46083</v>
      </c>
      <c r="D59" s="18" t="inlineStr">
        <is>
          <t>电商</t>
        </is>
      </c>
      <c r="E59" s="18" t="inlineStr">
        <is>
          <t>小兔十一的家</t>
        </is>
      </c>
      <c r="F59" s="19" t="n"/>
      <c r="G59" s="19" t="inlineStr">
        <is>
          <t>https://pgy.xiaohongshu.com/solar/pre-trade/blogger-detail/63b21ea3000000002702b145?track_id=kolMatch_a0eb7724d8304aee9ca1cc93a1707c6b&amp;source=Advertiser_Kol</t>
        </is>
      </c>
      <c r="H59" s="19" t="inlineStr">
        <is>
          <t>https://www.xiaohongshu.com/user/profile/63b21ea3000000002702b145</t>
        </is>
      </c>
      <c r="I59" s="118" t="n">
        <v>5398579442</v>
      </c>
      <c r="J59" s="18" t="n"/>
      <c r="K59" s="18" t="inlineStr">
        <is>
          <t>家居家装</t>
        </is>
      </c>
      <c r="L59" s="18" t="inlineStr">
        <is>
          <t>koc</t>
        </is>
      </c>
      <c r="M59" s="18" t="n">
        <v>1.2</v>
      </c>
      <c r="N59" s="18" t="n">
        <v>6.6</v>
      </c>
      <c r="O59" s="18" t="inlineStr">
        <is>
          <t>图文</t>
        </is>
      </c>
      <c r="P59" s="21" t="n">
        <v>0.86</v>
      </c>
      <c r="Q59" s="21" t="n">
        <v>0.07000000000000001</v>
      </c>
      <c r="R59" s="21" t="n">
        <v>0.35</v>
      </c>
      <c r="S59" s="21" t="n">
        <v>0.29</v>
      </c>
      <c r="T59" s="21" t="n">
        <v>0.28</v>
      </c>
      <c r="U59" s="21" t="n">
        <v>0.27</v>
      </c>
      <c r="V59" s="22" t="n">
        <v>5544</v>
      </c>
      <c r="W59" s="18" t="n">
        <v>285</v>
      </c>
      <c r="X59" s="18" t="n">
        <v>2000</v>
      </c>
      <c r="Y59" s="18">
        <f>X59*1.1</f>
        <v/>
      </c>
      <c r="Z59" s="20">
        <f>Y59/V59</f>
        <v/>
      </c>
      <c r="AA59" s="20">
        <f>Y59/W59</f>
        <v/>
      </c>
      <c r="AB59" s="18" t="n"/>
      <c r="AC59" s="18" t="n"/>
      <c r="AD59" s="18" t="n"/>
      <c r="AE59" s="18" t="n"/>
    </row>
    <row r="60">
      <c r="A60" s="18" t="n"/>
      <c r="B60" s="18" t="n"/>
      <c r="C60" s="17" t="n">
        <v>46083</v>
      </c>
      <c r="D60" s="18" t="inlineStr">
        <is>
          <t>电商</t>
        </is>
      </c>
      <c r="E60" s="18" t="inlineStr">
        <is>
          <t>乐乐爱宅家🏠</t>
        </is>
      </c>
      <c r="F60" s="19" t="n"/>
      <c r="G60" s="19" t="inlineStr">
        <is>
          <t>https://pgy.xiaohongshu.com/solar/pre-trade/blogger-detail/5fc5a26e00000000010015c3?track_id=kolMatch_a0eb7724d8304aee9ca1cc93a1707c6b&amp;source=Advertiser_Kol</t>
        </is>
      </c>
      <c r="H60" s="19" t="inlineStr">
        <is>
          <t>https://www.xiaohongshu.com/user/profile/5fc5a26e00000000010015c3</t>
        </is>
      </c>
      <c r="I60" s="118" t="n">
        <v>1081763675</v>
      </c>
      <c r="J60" s="18" t="n"/>
      <c r="K60" s="18" t="inlineStr">
        <is>
          <t>家居家装</t>
        </is>
      </c>
      <c r="L60" s="18" t="inlineStr">
        <is>
          <t>koc</t>
        </is>
      </c>
      <c r="M60" s="18" t="n">
        <v>1.2</v>
      </c>
      <c r="N60" s="18" t="n">
        <v>3.5</v>
      </c>
      <c r="O60" s="18" t="inlineStr">
        <is>
          <t>图文</t>
        </is>
      </c>
      <c r="P60" s="21" t="n">
        <v>0.93</v>
      </c>
      <c r="Q60" s="21" t="n">
        <v>0.07000000000000001</v>
      </c>
      <c r="R60" s="21" t="n">
        <v>0.82</v>
      </c>
      <c r="S60" s="21" t="n">
        <v>0.07000000000000001</v>
      </c>
      <c r="T60" s="21" t="n">
        <v>0.37</v>
      </c>
      <c r="U60" s="21" t="n">
        <v>0.42</v>
      </c>
      <c r="V60" s="22" t="n">
        <v>4010</v>
      </c>
      <c r="W60" s="18" t="n">
        <v>253</v>
      </c>
      <c r="X60" s="18" t="n">
        <v>1200</v>
      </c>
      <c r="Y60" s="18">
        <f>X60*1.1</f>
        <v/>
      </c>
      <c r="Z60" s="20">
        <f>Y60/V60</f>
        <v/>
      </c>
      <c r="AA60" s="20">
        <f>Y60/W60</f>
        <v/>
      </c>
      <c r="AB60" s="18" t="n"/>
      <c r="AC60" s="18" t="n"/>
      <c r="AD60" s="18" t="n"/>
      <c r="AE60" s="18" t="n"/>
    </row>
    <row r="61">
      <c r="A61" s="18" t="n"/>
      <c r="B61" s="18" t="n"/>
      <c r="C61" s="17" t="n">
        <v>46083</v>
      </c>
      <c r="D61" s="18" t="inlineStr">
        <is>
          <t>电商</t>
        </is>
      </c>
      <c r="E61" s="18" t="inlineStr">
        <is>
          <t>朱花花的Home</t>
        </is>
      </c>
      <c r="F61" s="19" t="n"/>
      <c r="G61" s="19" t="inlineStr">
        <is>
          <t>https://pgy.xiaohongshu.com/solar/pre-trade/blogger-detail/5dad1e34000000000100427d?track_id=kolMatch_a0eb7724d8304aee9ca1cc93a1707c6b&amp;source=Advertiser_Kol</t>
        </is>
      </c>
      <c r="H61" s="19" t="inlineStr">
        <is>
          <t>https://www.xiaohongshu.com/user/profile/5dad1e34000000000100427d</t>
        </is>
      </c>
      <c r="I61" s="118" t="n">
        <v>879381009</v>
      </c>
      <c r="J61" s="18" t="n"/>
      <c r="K61" s="18" t="inlineStr">
        <is>
          <t>家居家装</t>
        </is>
      </c>
      <c r="L61" s="18" t="inlineStr">
        <is>
          <t>koc</t>
        </is>
      </c>
      <c r="M61" s="18" t="n">
        <v>0.8100000000000001</v>
      </c>
      <c r="N61" s="18" t="n">
        <v>8.9</v>
      </c>
      <c r="O61" s="18" t="inlineStr">
        <is>
          <t>图文</t>
        </is>
      </c>
      <c r="P61" s="21" t="n">
        <v>0.79</v>
      </c>
      <c r="Q61" s="21" t="n">
        <v>0.13</v>
      </c>
      <c r="R61" s="21" t="n">
        <v>0.55</v>
      </c>
      <c r="S61" s="21" t="n">
        <v>0.24</v>
      </c>
      <c r="T61" s="21" t="n">
        <v>0.61</v>
      </c>
      <c r="U61" s="21" t="n">
        <v>0.11</v>
      </c>
      <c r="V61" s="22" t="n">
        <v>7132</v>
      </c>
      <c r="W61" s="18" t="n">
        <v>153</v>
      </c>
      <c r="X61" s="18" t="n">
        <v>190</v>
      </c>
      <c r="Y61" s="18">
        <f>X61*1.1</f>
        <v/>
      </c>
      <c r="Z61" s="20">
        <f>Y61/V61</f>
        <v/>
      </c>
      <c r="AA61" s="20">
        <f>Y61/W61</f>
        <v/>
      </c>
      <c r="AB61" s="18" t="n"/>
      <c r="AC61" s="18" t="n"/>
      <c r="AD61" s="18" t="n"/>
      <c r="AE61" s="18" t="n"/>
    </row>
    <row r="62">
      <c r="A62" s="18" t="n"/>
      <c r="B62" s="18" t="n"/>
      <c r="C62" s="17" t="n">
        <v>46083</v>
      </c>
      <c r="D62" s="18" t="inlineStr">
        <is>
          <t>电商</t>
        </is>
      </c>
      <c r="E62" s="18" t="inlineStr">
        <is>
          <t>李小喵的窝</t>
        </is>
      </c>
      <c r="F62" s="19" t="n"/>
      <c r="G62" s="19" t="inlineStr">
        <is>
          <t>https://pgy.xiaohongshu.com/solar/pre-trade/blogger-detail/5c22cca70000000007027acb?track_id=kolMatch_a0eb7724d8304aee9ca1cc93a1707c6b&amp;source=Advertiser_Kol</t>
        </is>
      </c>
      <c r="H62" s="19" t="inlineStr">
        <is>
          <t>https://www.xiaohongshu.com/user/profile/5c22cca70000000007027acb</t>
        </is>
      </c>
      <c r="I62" s="118" t="inlineStr">
        <is>
          <t>Rachael_yg</t>
        </is>
      </c>
      <c r="J62" s="18" t="n"/>
      <c r="K62" s="18" t="inlineStr">
        <is>
          <t>家居家装</t>
        </is>
      </c>
      <c r="L62" s="18" t="inlineStr">
        <is>
          <t>koc</t>
        </is>
      </c>
      <c r="M62" s="18" t="n">
        <v>0.43</v>
      </c>
      <c r="N62" s="18" t="n">
        <v>1.8</v>
      </c>
      <c r="O62" s="18" t="inlineStr">
        <is>
          <t>图文</t>
        </is>
      </c>
      <c r="P62" s="21" t="n">
        <v>0.82</v>
      </c>
      <c r="Q62" s="21" t="n">
        <v>0.16</v>
      </c>
      <c r="R62" s="21" t="n">
        <v>0.62</v>
      </c>
      <c r="S62" s="21" t="n">
        <v>0.12</v>
      </c>
      <c r="T62" s="21" t="n">
        <v>0.62</v>
      </c>
      <c r="U62" s="21" t="n">
        <v>0.08</v>
      </c>
      <c r="V62" s="22" t="n">
        <v>6170</v>
      </c>
      <c r="W62" s="18" t="n">
        <v>287</v>
      </c>
      <c r="X62" s="18" t="n">
        <v>1288</v>
      </c>
      <c r="Y62" s="18">
        <f>X62*1.1</f>
        <v/>
      </c>
      <c r="Z62" s="20">
        <f>Y62/V62</f>
        <v/>
      </c>
      <c r="AA62" s="20">
        <f>Y62/W62</f>
        <v/>
      </c>
      <c r="AB62" s="18" t="n"/>
      <c r="AC62" s="18" t="n"/>
      <c r="AD62" s="18" t="n"/>
      <c r="AE62" s="18" t="n"/>
    </row>
    <row r="63">
      <c r="A63" s="18" t="n"/>
      <c r="B63" s="18" t="n"/>
      <c r="C63" s="17" t="n">
        <v>46083</v>
      </c>
      <c r="D63" s="18" t="inlineStr">
        <is>
          <t>电商</t>
        </is>
      </c>
      <c r="E63" s="18" t="inlineStr">
        <is>
          <t>冰箱里的白日梦</t>
        </is>
      </c>
      <c r="F63" s="19" t="n"/>
      <c r="G63" s="19" t="inlineStr">
        <is>
          <t>https://pgy.xiaohongshu.com/solar/pre-trade/blogger-detail/650f91900000000016038706?track_id=kolMatch_a0eb7724d8304aee9ca1cc93a1707c6b&amp;source=Advertiser_Kol</t>
        </is>
      </c>
      <c r="H63" s="19" t="inlineStr">
        <is>
          <t>https://www.xiaohongshu.com/user/profile/650f91900000000016038706</t>
        </is>
      </c>
      <c r="I63" s="118" t="n">
        <v>6405337817</v>
      </c>
      <c r="J63" s="18" t="n"/>
      <c r="K63" s="18" t="inlineStr">
        <is>
          <t>家居家装</t>
        </is>
      </c>
      <c r="L63" s="18" t="inlineStr">
        <is>
          <t>koc</t>
        </is>
      </c>
      <c r="M63" s="18" t="n">
        <v>1.4</v>
      </c>
      <c r="N63" s="18" t="n">
        <v>9.9</v>
      </c>
      <c r="O63" s="18" t="inlineStr">
        <is>
          <t>图文</t>
        </is>
      </c>
      <c r="P63" s="21" t="n">
        <v>0.87</v>
      </c>
      <c r="Q63" s="21" t="n">
        <v>0.08</v>
      </c>
      <c r="R63" s="21" t="n">
        <v>0.75</v>
      </c>
      <c r="S63" s="21" t="n">
        <v>0.06</v>
      </c>
      <c r="T63" s="21" t="n">
        <v>0.21</v>
      </c>
      <c r="U63" s="21" t="n">
        <v>0.5</v>
      </c>
      <c r="V63" s="22" t="n">
        <v>10522</v>
      </c>
      <c r="W63" s="18" t="n">
        <v>443</v>
      </c>
      <c r="X63" s="18" t="n">
        <v>1800</v>
      </c>
      <c r="Y63" s="18">
        <f>X63*1.1</f>
        <v/>
      </c>
      <c r="Z63" s="20">
        <f>Y63/V63</f>
        <v/>
      </c>
      <c r="AA63" s="20">
        <f>Y63/W63</f>
        <v/>
      </c>
      <c r="AB63" s="18" t="n"/>
      <c r="AC63" s="18" t="n"/>
      <c r="AD63" s="18" t="n"/>
      <c r="AE63" s="18" t="n"/>
    </row>
    <row r="64">
      <c r="A64" s="18" t="n"/>
      <c r="B64" s="18" t="n"/>
      <c r="C64" s="17" t="n">
        <v>46083</v>
      </c>
      <c r="D64" s="18" t="inlineStr">
        <is>
          <t>电商</t>
        </is>
      </c>
      <c r="E64" s="18" t="inlineStr">
        <is>
          <t>十一月（孕期）</t>
        </is>
      </c>
      <c r="F64" s="19" t="n"/>
      <c r="G64" s="19" t="inlineStr">
        <is>
          <t>https://pgy.xiaohongshu.com/solar/pre-trade/blogger-detail/6299c5680000000021028183?track_id=kolMatch_a0eb7724d8304aee9ca1cc93a1707c6b&amp;source=Advertiser_Kol</t>
        </is>
      </c>
      <c r="H64" s="19" t="inlineStr">
        <is>
          <t>https://www.xiaohongshu.com/user/profile/6299c5680000000021028183</t>
        </is>
      </c>
      <c r="I64" s="118" t="n">
        <v>6285566134</v>
      </c>
      <c r="J64" s="18" t="n"/>
      <c r="K64" s="18" t="inlineStr">
        <is>
          <t>家居家装</t>
        </is>
      </c>
      <c r="L64" s="18" t="inlineStr">
        <is>
          <t>koc</t>
        </is>
      </c>
      <c r="M64" s="18" t="n">
        <v>1.1</v>
      </c>
      <c r="N64" s="18" t="n">
        <v>12.7</v>
      </c>
      <c r="O64" s="18" t="inlineStr">
        <is>
          <t>图文</t>
        </is>
      </c>
      <c r="P64" s="21" t="n">
        <v>0.89</v>
      </c>
      <c r="Q64" s="21" t="n">
        <v>0.17</v>
      </c>
      <c r="R64" s="21" t="n">
        <v>0.61</v>
      </c>
      <c r="S64" s="21" t="n">
        <v>0.09</v>
      </c>
      <c r="T64" s="21" t="n">
        <v>0.52</v>
      </c>
      <c r="U64" s="21" t="n">
        <v>0.23</v>
      </c>
      <c r="V64" s="22" t="n">
        <v>8773</v>
      </c>
      <c r="W64" s="18" t="n">
        <v>239</v>
      </c>
      <c r="X64" s="18" t="n">
        <v>1500</v>
      </c>
      <c r="Y64" s="18">
        <f>X64*1.1</f>
        <v/>
      </c>
      <c r="Z64" s="20">
        <f>Y64/V64</f>
        <v/>
      </c>
      <c r="AA64" s="20">
        <f>Y64/W64</f>
        <v/>
      </c>
      <c r="AB64" s="18" t="n"/>
      <c r="AC64" s="18" t="n"/>
      <c r="AD64" s="18" t="n"/>
      <c r="AE64" s="18" t="n"/>
    </row>
    <row r="65">
      <c r="A65" s="18" t="n"/>
      <c r="B65" s="18" t="n"/>
      <c r="C65" s="17" t="n">
        <v>46083</v>
      </c>
      <c r="D65" s="18" t="inlineStr">
        <is>
          <t>电商</t>
        </is>
      </c>
      <c r="E65" s="18" t="inlineStr">
        <is>
          <t>十二月🍊</t>
        </is>
      </c>
      <c r="F65" s="19" t="n"/>
      <c r="G65" s="19" t="inlineStr">
        <is>
          <t>https://pgy.xiaohongshu.com/solar/pre-trade/blogger-detail/68e650f8000000003702b8a4?track_id=kolMatch_18e414f8a1444dc19c2653c383d046e6&amp;source=Advertiser_Kol</t>
        </is>
      </c>
      <c r="H65" s="19" t="inlineStr">
        <is>
          <t>https://www.xiaohongshu.com/user/profile/68e650f8000000003702b8a4</t>
        </is>
      </c>
      <c r="I65" s="118" t="n">
        <v>49716526412</v>
      </c>
      <c r="J65" s="18" t="n"/>
      <c r="K65" s="18" t="inlineStr">
        <is>
          <t>家居家装</t>
        </is>
      </c>
      <c r="L65" s="18" t="inlineStr">
        <is>
          <t>koc</t>
        </is>
      </c>
      <c r="M65" s="18" t="n">
        <v>1.8</v>
      </c>
      <c r="N65" s="18" t="n">
        <v>18</v>
      </c>
      <c r="O65" s="18" t="inlineStr">
        <is>
          <t>图文</t>
        </is>
      </c>
      <c r="P65" s="21" t="n">
        <v>0.74</v>
      </c>
      <c r="Q65" s="21" t="n">
        <v>0.14</v>
      </c>
      <c r="R65" s="21" t="n">
        <v>0.29</v>
      </c>
      <c r="S65" s="21" t="n">
        <v>0.26</v>
      </c>
      <c r="T65" s="21" t="n">
        <v>0.29</v>
      </c>
      <c r="U65" s="21" t="n">
        <v>0.23</v>
      </c>
      <c r="V65" s="22" t="n">
        <v>10970</v>
      </c>
      <c r="W65" s="18" t="n">
        <v>380</v>
      </c>
      <c r="X65" s="18" t="n">
        <v>1500</v>
      </c>
      <c r="Y65" s="18">
        <f>X65*1.1</f>
        <v/>
      </c>
      <c r="Z65" s="20">
        <f>Y65/V65</f>
        <v/>
      </c>
      <c r="AA65" s="20">
        <f>Y65/W65</f>
        <v/>
      </c>
      <c r="AB65" s="18" t="n"/>
      <c r="AC65" s="18" t="n"/>
      <c r="AD65" s="18" t="n"/>
      <c r="AE65" s="18" t="n"/>
    </row>
    <row r="66">
      <c r="A66" s="18" t="n"/>
      <c r="B66" s="18" t="n"/>
      <c r="C66" s="17" t="n">
        <v>46083</v>
      </c>
      <c r="D66" s="18" t="inlineStr">
        <is>
          <t>电商</t>
        </is>
      </c>
      <c r="E66" s="18" t="inlineStr">
        <is>
          <t>桔子和桃子</t>
        </is>
      </c>
      <c r="F66" s="19" t="n"/>
      <c r="G66" s="19" t="inlineStr">
        <is>
          <t>https://pgy.xiaohongshu.com/solar/pre-trade/blogger-detail/66a33382000000000b0328dd?track_id=kolMatch_18e414f8a1444dc19c2653c383d046e6&amp;source=Advertiser_Kol</t>
        </is>
      </c>
      <c r="H66" s="19" t="inlineStr">
        <is>
          <t>https://www.xiaohongshu.com/user/profile/66a33382000000000b0328dd</t>
        </is>
      </c>
      <c r="I66" s="118" t="n">
        <v>95674822938</v>
      </c>
      <c r="J66" s="18" t="n"/>
      <c r="K66" s="18" t="inlineStr">
        <is>
          <t>家居家装</t>
        </is>
      </c>
      <c r="L66" s="18" t="inlineStr">
        <is>
          <t>koc</t>
        </is>
      </c>
      <c r="M66" s="18" t="n">
        <v>1.7</v>
      </c>
      <c r="N66" s="18" t="n">
        <v>8.699999999999999</v>
      </c>
      <c r="O66" s="18" t="inlineStr">
        <is>
          <t>图文</t>
        </is>
      </c>
      <c r="P66" s="21" t="n">
        <v>0.8100000000000001</v>
      </c>
      <c r="Q66" s="21" t="n">
        <v>0.12</v>
      </c>
      <c r="R66" s="21" t="n">
        <v>0.4</v>
      </c>
      <c r="S66" s="21" t="n">
        <v>0.2</v>
      </c>
      <c r="T66" s="21" t="n">
        <v>0.23</v>
      </c>
      <c r="U66" s="21" t="n">
        <v>0.3</v>
      </c>
      <c r="V66" s="22" t="n">
        <v>7527</v>
      </c>
      <c r="W66" s="18" t="n">
        <v>286</v>
      </c>
      <c r="X66" s="18" t="n">
        <v>1800</v>
      </c>
      <c r="Y66" s="18">
        <f>X66*1.1</f>
        <v/>
      </c>
      <c r="Z66" s="20">
        <f>Y66/V66</f>
        <v/>
      </c>
      <c r="AA66" s="20">
        <f>Y66/W66</f>
        <v/>
      </c>
      <c r="AB66" s="18" t="n"/>
      <c r="AC66" s="18" t="n"/>
      <c r="AD66" s="18" t="n"/>
      <c r="AE66" s="18" t="n"/>
    </row>
    <row r="67">
      <c r="A67" s="18" t="n"/>
      <c r="B67" s="18" t="n"/>
      <c r="C67" s="17" t="n">
        <v>46083</v>
      </c>
      <c r="D67" s="18" t="inlineStr">
        <is>
          <t>电商</t>
        </is>
      </c>
      <c r="E67" s="18" t="inlineStr">
        <is>
          <t>源源的法式小家</t>
        </is>
      </c>
      <c r="F67" s="19" t="n"/>
      <c r="G67" s="19" t="inlineStr">
        <is>
          <t>https://pgy.xiaohongshu.com/solar/pre-trade/blogger-detail/63f8d451000000000f0111bc?track_id=kolMatch_18e414f8a1444dc19c2653c383d046e6&amp;source=Advertiser_Kol</t>
        </is>
      </c>
      <c r="H67" s="19" t="inlineStr">
        <is>
          <t>https://www.xiaohongshu.com/user/profile/63f8d451000000000f0111bc</t>
        </is>
      </c>
      <c r="I67" s="118" t="n">
        <v>2274784613</v>
      </c>
      <c r="J67" s="18" t="n"/>
      <c r="K67" s="18" t="inlineStr">
        <is>
          <t>家居家装</t>
        </is>
      </c>
      <c r="L67" s="18" t="inlineStr">
        <is>
          <t>koc</t>
        </is>
      </c>
      <c r="M67" s="18" t="n">
        <v>0.7</v>
      </c>
      <c r="N67" s="18" t="n">
        <v>1.6</v>
      </c>
      <c r="O67" s="18" t="inlineStr">
        <is>
          <t>图文</t>
        </is>
      </c>
      <c r="P67" s="21" t="n">
        <v>0.09</v>
      </c>
      <c r="Q67" s="21" t="n">
        <v>0.06</v>
      </c>
      <c r="R67" s="21" t="n">
        <v>0.82</v>
      </c>
      <c r="S67" s="21" t="n">
        <v>0.06</v>
      </c>
      <c r="T67" s="21" t="n">
        <v>0.21</v>
      </c>
      <c r="U67" s="21" t="n">
        <v>0.45</v>
      </c>
      <c r="V67" s="22" t="n">
        <v>4881</v>
      </c>
      <c r="W67" s="18" t="n">
        <v>172</v>
      </c>
      <c r="X67" s="18" t="n">
        <v>1500</v>
      </c>
      <c r="Y67" s="18">
        <f>X67*1.1</f>
        <v/>
      </c>
      <c r="Z67" s="20">
        <f>Y67/V67</f>
        <v/>
      </c>
      <c r="AA67" s="20">
        <f>Y67/W67</f>
        <v/>
      </c>
      <c r="AB67" s="18" t="n"/>
      <c r="AC67" s="18" t="n"/>
      <c r="AD67" s="18" t="n"/>
      <c r="AE67" s="18" t="n"/>
    </row>
    <row r="68">
      <c r="A68" s="37" t="n"/>
      <c r="B68" s="37" t="n"/>
      <c r="C68" s="37" t="n"/>
      <c r="D68" s="38" t="n"/>
      <c r="E68" s="37" t="n"/>
      <c r="F68" s="121" t="n"/>
      <c r="G68" s="121" t="n"/>
      <c r="H68" s="121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40" t="n"/>
      <c r="AA68" s="40" t="n"/>
      <c r="AB68" s="37" t="n"/>
      <c r="AC68" s="37" t="n"/>
      <c r="AD68" s="37" t="n"/>
      <c r="AE68" s="37" t="n"/>
    </row>
    <row r="69">
      <c r="A69" s="18" t="n"/>
      <c r="B69" s="18" t="n"/>
      <c r="C69" s="17" t="n">
        <v>46085</v>
      </c>
      <c r="D69" s="18" t="inlineStr">
        <is>
          <t>品牌</t>
        </is>
      </c>
      <c r="E69" s="18" t="inlineStr">
        <is>
          <t>Molly的慢生活</t>
        </is>
      </c>
      <c r="F69" s="19" t="n"/>
      <c r="G69" s="19" t="inlineStr">
        <is>
          <t>https://pgy.xiaohongshu.com/solar/pre-trade/blogger-detail/5ff1e5df00000000010044ef?track_id=kolMatch_dd8c9e8c989a45939e5a259b006f2e4d&amp;source=Advertiser_Kol</t>
        </is>
      </c>
      <c r="H69" s="19" t="inlineStr">
        <is>
          <t>https://www.xiaohongshu.com/user/profile/5ff1e5df00000000010044ef</t>
        </is>
      </c>
      <c r="I69" s="118" t="n">
        <v>1104038314</v>
      </c>
      <c r="J69" s="18" t="n"/>
      <c r="K69" s="18" t="inlineStr">
        <is>
          <t>家居家装</t>
        </is>
      </c>
      <c r="L69" s="18" t="inlineStr">
        <is>
          <t>koc</t>
        </is>
      </c>
      <c r="M69" s="18" t="n">
        <v>0.3</v>
      </c>
      <c r="N69" s="18" t="n">
        <v>4.3</v>
      </c>
      <c r="O69" s="18" t="inlineStr">
        <is>
          <t xml:space="preserve">图文 </t>
        </is>
      </c>
      <c r="P69" s="21" t="n">
        <v>0.89</v>
      </c>
      <c r="Q69" s="21" t="n">
        <v>0.06</v>
      </c>
      <c r="R69" s="21" t="n">
        <v>0.41</v>
      </c>
      <c r="S69" s="21" t="n">
        <v>0.43</v>
      </c>
      <c r="T69" s="21" t="n">
        <v>0.53</v>
      </c>
      <c r="U69" s="21" t="n">
        <v>0.18</v>
      </c>
      <c r="V69" s="22" t="n">
        <v>5433</v>
      </c>
      <c r="W69" s="18" t="n">
        <v>246</v>
      </c>
      <c r="X69" s="18" t="n">
        <v>1500</v>
      </c>
      <c r="Y69" s="18">
        <f>X69*1.1</f>
        <v/>
      </c>
      <c r="Z69" s="20">
        <f>Y69/V69</f>
        <v/>
      </c>
      <c r="AA69" s="20">
        <f>Y69/W69</f>
        <v/>
      </c>
      <c r="AB69" s="18" t="n"/>
      <c r="AC69" s="18" t="n"/>
      <c r="AD69" s="18" t="n"/>
      <c r="AE69" s="18" t="n"/>
    </row>
    <row r="70" ht="20" customHeight="1" s="151">
      <c r="A70" s="18" t="n"/>
      <c r="B70" s="18" t="n"/>
      <c r="C70" s="17" t="n">
        <v>46085</v>
      </c>
      <c r="D70" s="18" t="inlineStr">
        <is>
          <t>品牌</t>
        </is>
      </c>
      <c r="E70" s="18" t="inlineStr">
        <is>
          <t>一只梨🍐（软装中）</t>
        </is>
      </c>
      <c r="F70" s="19" t="n"/>
      <c r="G70" s="19" t="inlineStr">
        <is>
          <t>https://pgy.xiaohongshu.com/solar/pre-trade/blogger-detail/6231c8bd0000000010005fd3?track_id=kolMatch_8230e88bdb4b486db85bb62517de76b6&amp;source=Advertiser_Kol</t>
        </is>
      </c>
      <c r="H70" s="19" t="inlineStr">
        <is>
          <t>https://www.xiaohongshu.com/user/profile/6231c8bd0000000010005fd3</t>
        </is>
      </c>
      <c r="I70" s="118" t="n">
        <v>4796615823</v>
      </c>
      <c r="J70" s="18" t="n"/>
      <c r="K70" s="18" t="inlineStr">
        <is>
          <t>家居家装</t>
        </is>
      </c>
      <c r="L70" s="18" t="inlineStr">
        <is>
          <t>koc</t>
        </is>
      </c>
      <c r="M70" s="18" t="n">
        <v>0.7</v>
      </c>
      <c r="N70" s="18" t="n">
        <v>2.8</v>
      </c>
      <c r="O70" s="18" t="inlineStr">
        <is>
          <t xml:space="preserve">图文 </t>
        </is>
      </c>
      <c r="P70" s="21" t="n">
        <v>0.82</v>
      </c>
      <c r="Q70" s="21" t="n">
        <v>0.04</v>
      </c>
      <c r="R70" s="21" t="n">
        <v>0.33</v>
      </c>
      <c r="S70" s="21" t="n">
        <v>0.37</v>
      </c>
      <c r="T70" s="21" t="n">
        <v>0.42</v>
      </c>
      <c r="U70" s="21" t="n">
        <v>0.23</v>
      </c>
      <c r="V70" s="22" t="n">
        <v>2860</v>
      </c>
      <c r="W70" s="18" t="n">
        <v>393</v>
      </c>
      <c r="X70" s="18" t="n">
        <v>1400</v>
      </c>
      <c r="Y70" s="18">
        <f>X70*1.1</f>
        <v/>
      </c>
      <c r="Z70" s="20">
        <f>Y70/V70</f>
        <v/>
      </c>
      <c r="AA70" s="20">
        <f>Y70/W70</f>
        <v/>
      </c>
      <c r="AB70" s="18" t="n"/>
      <c r="AC70" s="18" t="n"/>
      <c r="AD70" s="18" t="n"/>
      <c r="AE70" s="18" t="n"/>
    </row>
    <row r="71">
      <c r="A71" s="18" t="n"/>
      <c r="B71" s="18" t="n"/>
      <c r="C71" s="17" t="n">
        <v>46085</v>
      </c>
      <c r="D71" s="18" t="inlineStr">
        <is>
          <t>品牌</t>
        </is>
      </c>
      <c r="E71" s="18" t="inlineStr">
        <is>
          <t>小韩Floracasa</t>
        </is>
      </c>
      <c r="F71" s="19" t="n"/>
      <c r="G71" s="19" t="inlineStr">
        <is>
          <t>https://pgy.xiaohongshu.com/solar/pre-trade/blogger-detail/5fab63e10000000001008558?track_id=kolMatch_8230e88bdb4b486db85bb62517de76b6&amp;source=Advertiser_Kol</t>
        </is>
      </c>
      <c r="H71" s="19" t="inlineStr">
        <is>
          <t>https://www.xiaohongshu.com/user/profile/5fab63e10000000001008558</t>
        </is>
      </c>
      <c r="I71" s="118" t="inlineStr">
        <is>
          <t>hanleihuahui</t>
        </is>
      </c>
      <c r="J71" s="18" t="n"/>
      <c r="K71" s="18" t="inlineStr">
        <is>
          <t>家居家装</t>
        </is>
      </c>
      <c r="L71" s="18" t="inlineStr">
        <is>
          <t>koc</t>
        </is>
      </c>
      <c r="M71" s="18" t="n">
        <v>0.5</v>
      </c>
      <c r="N71" s="18" t="n">
        <v>2.6</v>
      </c>
      <c r="O71" s="18" t="inlineStr">
        <is>
          <t xml:space="preserve">图文 </t>
        </is>
      </c>
      <c r="P71" s="21" t="n">
        <v>0.83</v>
      </c>
      <c r="Q71" s="21" t="n">
        <v>0.06</v>
      </c>
      <c r="R71" s="21" t="n">
        <v>0.37</v>
      </c>
      <c r="S71" s="21" t="n">
        <v>0.38</v>
      </c>
      <c r="T71" s="21" t="n">
        <v>0.35</v>
      </c>
      <c r="U71" s="21" t="n">
        <v>0.21</v>
      </c>
      <c r="V71" s="22" t="n">
        <v>1009</v>
      </c>
      <c r="W71" s="18" t="n">
        <v>107</v>
      </c>
      <c r="X71" s="18" t="n">
        <v>1500</v>
      </c>
      <c r="Y71" s="18">
        <f>X71*1.1</f>
        <v/>
      </c>
      <c r="Z71" s="20">
        <f>Y71/V71</f>
        <v/>
      </c>
      <c r="AA71" s="20">
        <f>Y71/W71</f>
        <v/>
      </c>
      <c r="AB71" s="18" t="n"/>
      <c r="AC71" s="18" t="n"/>
      <c r="AD71" s="18" t="n"/>
      <c r="AE71" s="18" t="n"/>
    </row>
    <row r="72">
      <c r="A72" s="18" t="n"/>
      <c r="B72" s="18" t="n"/>
      <c r="C72" s="17" t="n">
        <v>46085</v>
      </c>
      <c r="D72" s="18" t="inlineStr">
        <is>
          <t>品牌</t>
        </is>
      </c>
      <c r="E72" s="18" t="inlineStr">
        <is>
          <t>小猪的大房子</t>
        </is>
      </c>
      <c r="F72" s="19" t="n"/>
      <c r="G72" s="19" t="inlineStr">
        <is>
          <t>https://pgy.xiaohongshu.com/solar/pre-trade/blogger-detail/64cd22af000000002b0086c3?track_id=kolMatch_8230e88bdb4b486db85bb62517de76b6&amp;source=Advertiser_Kol</t>
        </is>
      </c>
      <c r="H72" s="19" t="inlineStr">
        <is>
          <t>https://www.xiaohongshu.com/user/profile/64cd22af000000002b0086c3</t>
        </is>
      </c>
      <c r="I72" s="118" t="n">
        <v>4393184456</v>
      </c>
      <c r="J72" s="18" t="n"/>
      <c r="K72" s="18" t="inlineStr">
        <is>
          <t>家居家装</t>
        </is>
      </c>
      <c r="L72" s="18" t="inlineStr">
        <is>
          <t>koc</t>
        </is>
      </c>
      <c r="M72" s="18" t="n">
        <v>0.1</v>
      </c>
      <c r="N72" s="18" t="n">
        <v>3.5</v>
      </c>
      <c r="O72" s="18" t="inlineStr">
        <is>
          <t xml:space="preserve">图文 </t>
        </is>
      </c>
      <c r="P72" s="21" t="n">
        <v>0.73</v>
      </c>
      <c r="Q72" s="21" t="n">
        <v>0.06</v>
      </c>
      <c r="R72" s="21" t="n">
        <v>0.37</v>
      </c>
      <c r="S72" s="21" t="n">
        <v>0.41</v>
      </c>
      <c r="T72" s="21" t="n">
        <v>0.54</v>
      </c>
      <c r="U72" s="21" t="n">
        <v>0.18</v>
      </c>
      <c r="V72" s="22" t="n">
        <v>2312</v>
      </c>
      <c r="W72" s="18" t="n">
        <v>106</v>
      </c>
      <c r="X72" s="18" t="n">
        <v>600</v>
      </c>
      <c r="Y72" s="18">
        <f>X72*1.1</f>
        <v/>
      </c>
      <c r="Z72" s="20">
        <f>Y72/V72</f>
        <v/>
      </c>
      <c r="AA72" s="20">
        <f>Y72/W72</f>
        <v/>
      </c>
      <c r="AB72" s="18" t="n"/>
      <c r="AC72" s="18" t="n"/>
      <c r="AD72" s="18" t="n"/>
      <c r="AE72" s="18" t="n"/>
    </row>
    <row r="73">
      <c r="A73" s="18" t="n"/>
      <c r="B73" s="18" t="n"/>
      <c r="C73" s="17" t="n">
        <v>46085</v>
      </c>
      <c r="D73" s="18" t="inlineStr">
        <is>
          <t>品牌</t>
        </is>
      </c>
      <c r="E73" s="18" t="inlineStr">
        <is>
          <t>大木木呀</t>
        </is>
      </c>
      <c r="F73" s="19" t="n"/>
      <c r="G73" s="19" t="inlineStr">
        <is>
          <t>https://pgy.xiaohongshu.com/solar/pre-trade/blogger-detail/5c7273060000000010003bd8?track_id=kolMatch_8230e88bdb4b486db85bb62517de76b6&amp;source=Advertiser_Kol</t>
        </is>
      </c>
      <c r="H73" s="19" t="inlineStr">
        <is>
          <t>https://www.xiaohongshu.com/user/profile/5c7273060000000010003bd8</t>
        </is>
      </c>
      <c r="I73" s="118" t="inlineStr">
        <is>
          <t>damumu1201</t>
        </is>
      </c>
      <c r="J73" s="18" t="n"/>
      <c r="K73" s="18" t="inlineStr">
        <is>
          <t>家居家装</t>
        </is>
      </c>
      <c r="L73" s="18" t="inlineStr">
        <is>
          <t>koc</t>
        </is>
      </c>
      <c r="M73" s="18" t="n">
        <v>0.2</v>
      </c>
      <c r="N73" s="18" t="n">
        <v>7.1</v>
      </c>
      <c r="O73" s="18" t="inlineStr">
        <is>
          <t xml:space="preserve">图文 </t>
        </is>
      </c>
      <c r="P73" s="21" t="n">
        <v>0.76</v>
      </c>
      <c r="Q73" s="21" t="n">
        <v>0.03</v>
      </c>
      <c r="R73" s="21" t="n">
        <v>0.38</v>
      </c>
      <c r="S73" s="21" t="n">
        <v>0.42</v>
      </c>
      <c r="T73" s="21" t="n">
        <v>0.5</v>
      </c>
      <c r="U73" s="21" t="n">
        <v>0.22</v>
      </c>
      <c r="V73" s="18" t="n">
        <v>3583</v>
      </c>
      <c r="W73" s="18" t="n">
        <v>185</v>
      </c>
      <c r="X73" s="18" t="n">
        <v>1500</v>
      </c>
      <c r="Y73" s="18">
        <f>X73*1.1</f>
        <v/>
      </c>
      <c r="Z73" s="20">
        <f>Y73/V73</f>
        <v/>
      </c>
      <c r="AA73" s="20">
        <f>Y73/W73</f>
        <v/>
      </c>
      <c r="AB73" s="18" t="n"/>
      <c r="AC73" s="18" t="n"/>
      <c r="AD73" s="18" t="n"/>
      <c r="AE73" s="18" t="n"/>
    </row>
    <row r="74">
      <c r="A74" s="18" t="n"/>
      <c r="B74" s="18" t="n"/>
      <c r="C74" s="17" t="n">
        <v>46085</v>
      </c>
      <c r="D74" s="18" t="inlineStr">
        <is>
          <t>品牌</t>
        </is>
      </c>
      <c r="E74" s="18" t="inlineStr">
        <is>
          <t>小花的小家</t>
        </is>
      </c>
      <c r="F74" s="19" t="n"/>
      <c r="G74" s="19" t="inlineStr">
        <is>
          <t>https://pgy.xiaohongshu.com/solar/pre-trade/blogger-detail/6673fe0f0000000007004e4f?track_id=kolMatch_8230e88bdb4b486db85bb62517de76b6&amp;source=Advertiser_Kol</t>
        </is>
      </c>
      <c r="H74" s="19" t="inlineStr">
        <is>
          <t>https://www.xiaohongshu.com/user/profile/6673fe0f0000000007004e4f</t>
        </is>
      </c>
      <c r="I74" s="118" t="n">
        <v>95227685187</v>
      </c>
      <c r="J74" s="18" t="n"/>
      <c r="K74" s="18" t="inlineStr">
        <is>
          <t>家居家装</t>
        </is>
      </c>
      <c r="L74" s="18" t="inlineStr">
        <is>
          <t>koc</t>
        </is>
      </c>
      <c r="M74" s="18" t="n">
        <v>0.4</v>
      </c>
      <c r="N74" s="18" t="n">
        <v>4.4</v>
      </c>
      <c r="O74" s="18" t="inlineStr">
        <is>
          <t xml:space="preserve">图文 </t>
        </is>
      </c>
      <c r="P74" s="21" t="n">
        <v>0.5</v>
      </c>
      <c r="Q74" s="21" t="n">
        <v>0.04</v>
      </c>
      <c r="R74" s="21" t="n">
        <v>0.25</v>
      </c>
      <c r="S74" s="21" t="n">
        <v>0.36</v>
      </c>
      <c r="T74" s="21" t="n">
        <v>0.21</v>
      </c>
      <c r="U74" s="21" t="n">
        <v>0.25</v>
      </c>
      <c r="V74" s="18" t="n">
        <v>3381</v>
      </c>
      <c r="W74" s="18" t="n">
        <v>141</v>
      </c>
      <c r="X74" s="18" t="n">
        <v>1300</v>
      </c>
      <c r="Y74" s="18">
        <f>X74*1.1</f>
        <v/>
      </c>
      <c r="Z74" s="20">
        <f>Y74/V74</f>
        <v/>
      </c>
      <c r="AA74" s="20">
        <f>Y74/W74</f>
        <v/>
      </c>
      <c r="AB74" s="18" t="n"/>
      <c r="AC74" s="18" t="n"/>
      <c r="AD74" s="18" t="n"/>
      <c r="AE74" s="18" t="n"/>
    </row>
    <row r="75">
      <c r="A75" s="18" t="n"/>
      <c r="B75" s="18" t="n"/>
      <c r="C75" s="17" t="n">
        <v>46085</v>
      </c>
      <c r="D75" s="18" t="inlineStr">
        <is>
          <t>品牌</t>
        </is>
      </c>
      <c r="E75" s="18" t="inlineStr">
        <is>
          <t>张小姐的新家</t>
        </is>
      </c>
      <c r="F75" s="19" t="n"/>
      <c r="G75" s="19" t="inlineStr">
        <is>
          <t>https://pgy.xiaohongshu.com/solar/pre-trade/blogger-detail/649bf748000000000b016212?track_id=kolMatch_8230e88bdb4b486db85bb62517de76b6&amp;source=Advertiser_Kol</t>
        </is>
      </c>
      <c r="H75" s="19" t="inlineStr">
        <is>
          <t>https://www.xiaohongshu.com/user/profile/649bf748000000000b016212</t>
        </is>
      </c>
      <c r="I75" s="118" t="n">
        <v>9643630602</v>
      </c>
      <c r="J75" s="18" t="n"/>
      <c r="K75" s="18" t="inlineStr">
        <is>
          <t>家居家装</t>
        </is>
      </c>
      <c r="L75" s="18" t="inlineStr">
        <is>
          <t>koc</t>
        </is>
      </c>
      <c r="M75" s="18" t="n">
        <v>0.6</v>
      </c>
      <c r="N75" s="18" t="n">
        <v>10.9</v>
      </c>
      <c r="O75" s="18" t="inlineStr">
        <is>
          <t xml:space="preserve">图文 </t>
        </is>
      </c>
      <c r="P75" s="21" t="n">
        <v>0.71</v>
      </c>
      <c r="Q75" s="21" t="n">
        <v>0.04</v>
      </c>
      <c r="R75" s="21" t="n">
        <v>0.36</v>
      </c>
      <c r="S75" s="21" t="n">
        <v>0.39</v>
      </c>
      <c r="T75" s="21" t="n">
        <v>0.35</v>
      </c>
      <c r="U75" s="21" t="n">
        <v>0.23</v>
      </c>
      <c r="V75" s="18" t="n">
        <v>1850</v>
      </c>
      <c r="W75" s="18" t="n">
        <v>102</v>
      </c>
      <c r="X75" s="18" t="n">
        <v>800</v>
      </c>
      <c r="Y75" s="18">
        <f>X75*1.1</f>
        <v/>
      </c>
      <c r="Z75" s="20">
        <f>Y75/V75</f>
        <v/>
      </c>
      <c r="AA75" s="20">
        <f>Y75/W75</f>
        <v/>
      </c>
      <c r="AB75" s="18" t="n"/>
      <c r="AC75" s="18" t="n"/>
      <c r="AD75" s="18" t="n"/>
      <c r="AE75" s="18" t="n"/>
    </row>
    <row r="76">
      <c r="A76" s="18" t="n"/>
      <c r="B76" s="18" t="n"/>
      <c r="C76" s="17" t="n">
        <v>46085</v>
      </c>
      <c r="D76" s="18" t="inlineStr">
        <is>
          <t>品牌</t>
        </is>
      </c>
      <c r="E76" s="18" t="inlineStr">
        <is>
          <t>不一样的芊</t>
        </is>
      </c>
      <c r="F76" s="19" t="n"/>
      <c r="G76" s="19" t="inlineStr">
        <is>
          <t>https://pgy.xiaohongshu.com/solar/pre-trade/blogger-detail/599e830c6a6a696da5a56754?track_id=kolMatch_8230e88bdb4b486db85bb62517de76b6&amp;source=Advertiser_Kol</t>
        </is>
      </c>
      <c r="H76" s="19" t="inlineStr">
        <is>
          <t>https://www.xiaohongshu.com/user/profile/599e830c6a6a696da5a56754</t>
        </is>
      </c>
      <c r="I76" s="118" t="inlineStr">
        <is>
          <t>Gxdqianqian</t>
        </is>
      </c>
      <c r="J76" s="18" t="n"/>
      <c r="K76" s="18" t="inlineStr">
        <is>
          <t>家居家装</t>
        </is>
      </c>
      <c r="L76" s="18" t="inlineStr">
        <is>
          <t>koc</t>
        </is>
      </c>
      <c r="M76" s="18" t="n">
        <v>1.2</v>
      </c>
      <c r="N76" s="18" t="n">
        <v>14.8</v>
      </c>
      <c r="O76" s="18" t="inlineStr">
        <is>
          <t xml:space="preserve">图文 </t>
        </is>
      </c>
      <c r="P76" s="21" t="n">
        <v>0.74</v>
      </c>
      <c r="Q76" s="21" t="n">
        <v>0.04</v>
      </c>
      <c r="R76" s="21" t="n">
        <v>0.38</v>
      </c>
      <c r="S76" s="21" t="n">
        <v>0.43</v>
      </c>
      <c r="T76" s="21" t="n">
        <v>0.58</v>
      </c>
      <c r="U76" s="21" t="n">
        <v>0.2</v>
      </c>
      <c r="V76" s="18" t="n">
        <v>1415</v>
      </c>
      <c r="W76" s="18" t="n">
        <v>118</v>
      </c>
      <c r="X76" s="18" t="n">
        <v>1200</v>
      </c>
      <c r="Y76" s="18">
        <f>X76*1.1</f>
        <v/>
      </c>
      <c r="Z76" s="20">
        <f>Y76/V76</f>
        <v/>
      </c>
      <c r="AA76" s="20">
        <f>Y76/W76</f>
        <v/>
      </c>
      <c r="AB76" s="18" t="n"/>
      <c r="AC76" s="18" t="n"/>
      <c r="AD76" s="18" t="n"/>
      <c r="AE76" s="18" t="n"/>
    </row>
    <row r="77">
      <c r="A77" s="18" t="n"/>
      <c r="B77" s="18" t="n"/>
      <c r="C77" s="17" t="n">
        <v>46085</v>
      </c>
      <c r="D77" s="18" t="inlineStr">
        <is>
          <t>品牌</t>
        </is>
      </c>
      <c r="E77" s="18" t="inlineStr">
        <is>
          <t>小威威</t>
        </is>
      </c>
      <c r="F77" s="19" t="n"/>
      <c r="G77" s="19" t="inlineStr">
        <is>
          <t>https://pgy.xiaohongshu.com/solar/pre-trade/blogger-detail/680ce0b3000000000a03d5f0?track_id=kolMatch_8230e88bdb4b486db85bb62517de76b6&amp;source=Advertiser_Kol</t>
        </is>
      </c>
      <c r="H77" s="19" t="inlineStr">
        <is>
          <t>https://www.xiaohongshu.com/user/profile/680ce0b3000000000a03d5f0</t>
        </is>
      </c>
      <c r="I77" s="118" t="inlineStr">
        <is>
          <t>araiwien</t>
        </is>
      </c>
      <c r="J77" s="18" t="n"/>
      <c r="K77" s="18" t="inlineStr">
        <is>
          <t>家居家装</t>
        </is>
      </c>
      <c r="L77" s="18" t="inlineStr">
        <is>
          <t>koc</t>
        </is>
      </c>
      <c r="M77" s="18" t="n">
        <v>0.5</v>
      </c>
      <c r="N77" s="18" t="n">
        <v>2.1</v>
      </c>
      <c r="O77" s="18" t="inlineStr">
        <is>
          <t xml:space="preserve">图文 </t>
        </is>
      </c>
      <c r="P77" s="21" t="n">
        <v>0.86</v>
      </c>
      <c r="Q77" s="21" t="n">
        <v>0.04</v>
      </c>
      <c r="R77" s="21" t="n">
        <v>0.37</v>
      </c>
      <c r="S77" s="21" t="n">
        <v>0.41</v>
      </c>
      <c r="T77" s="21" t="n">
        <v>0.68</v>
      </c>
      <c r="U77" s="21" t="n">
        <v>0.15</v>
      </c>
      <c r="V77" s="18" t="n">
        <v>3553</v>
      </c>
      <c r="W77" s="18" t="n">
        <v>187</v>
      </c>
      <c r="X77" s="18" t="n">
        <v>1080</v>
      </c>
      <c r="Y77" s="18">
        <f>X77*1.1</f>
        <v/>
      </c>
      <c r="Z77" s="20">
        <f>Y77/V77</f>
        <v/>
      </c>
      <c r="AA77" s="20">
        <f>Y77/W77</f>
        <v/>
      </c>
      <c r="AB77" s="18" t="n"/>
      <c r="AC77" s="18" t="n"/>
      <c r="AD77" s="18" t="n"/>
      <c r="AE77" s="18" t="n"/>
    </row>
    <row r="78">
      <c r="A78" s="18" t="n"/>
      <c r="B78" s="18" t="n"/>
      <c r="C78" s="17" t="n">
        <v>46085</v>
      </c>
      <c r="D78" s="18" t="inlineStr">
        <is>
          <t>品牌</t>
        </is>
      </c>
      <c r="E78" s="18" t="inlineStr">
        <is>
          <t>甜甜的🍬</t>
        </is>
      </c>
      <c r="F78" s="19" t="n"/>
      <c r="G78" s="19" t="inlineStr">
        <is>
          <t>https://pgy.xiaohongshu.com/solar/pre-trade/blogger-detail/5db43bbc000000000100547b?track_id=kolMatch_dd8c9e8c989a45939e5a259b006f2e4d&amp;source=Advertiser_Kol</t>
        </is>
      </c>
      <c r="H78" s="19" t="inlineStr">
        <is>
          <t>https://www.xiaohongshu.com/user/profile/5db43bbc000000000100547b</t>
        </is>
      </c>
      <c r="I78" s="118" t="n">
        <v>590418462</v>
      </c>
      <c r="J78" s="18" t="n"/>
      <c r="K78" s="18" t="inlineStr">
        <is>
          <t>家居家装</t>
        </is>
      </c>
      <c r="L78" s="18" t="inlineStr">
        <is>
          <t>koc</t>
        </is>
      </c>
      <c r="M78" s="18" t="n">
        <v>0.7</v>
      </c>
      <c r="N78" s="18" t="n">
        <v>5.5</v>
      </c>
      <c r="O78" s="18" t="inlineStr">
        <is>
          <t xml:space="preserve">图文 </t>
        </is>
      </c>
      <c r="P78" s="21" t="n">
        <v>0.92</v>
      </c>
      <c r="Q78" s="21" t="n">
        <v>0.04</v>
      </c>
      <c r="R78" s="21" t="n">
        <v>0.3</v>
      </c>
      <c r="S78" s="21" t="n">
        <v>0.43</v>
      </c>
      <c r="T78" s="21" t="n">
        <v>0.34</v>
      </c>
      <c r="U78" s="21" t="n">
        <v>0.28</v>
      </c>
      <c r="V78" s="18" t="n">
        <v>2127</v>
      </c>
      <c r="W78" s="18" t="n">
        <v>148</v>
      </c>
      <c r="X78" s="18" t="n">
        <v>1500</v>
      </c>
      <c r="Y78" s="18">
        <f>X78*1.1</f>
        <v/>
      </c>
      <c r="Z78" s="20">
        <f>Y78/V78</f>
        <v/>
      </c>
      <c r="AA78" s="20">
        <f>Y78/W78</f>
        <v/>
      </c>
      <c r="AB78" s="18" t="n"/>
      <c r="AC78" s="18" t="n"/>
      <c r="AD78" s="18" t="n"/>
      <c r="AE78" s="18" t="n"/>
    </row>
    <row r="79" ht="19" customHeight="1" s="151">
      <c r="A79" s="18" t="n"/>
      <c r="B79" s="18" t="n"/>
      <c r="C79" s="17" t="n">
        <v>46085</v>
      </c>
      <c r="D79" s="18" t="inlineStr">
        <is>
          <t>品牌</t>
        </is>
      </c>
      <c r="E79" s="18" t="inlineStr">
        <is>
          <t>Little Burger</t>
        </is>
      </c>
      <c r="F79" s="19" t="n"/>
      <c r="G79" s="19" t="inlineStr">
        <is>
          <t>https://pgy.xiaohongshu.com/solar/pre-trade/blogger-detail/5afac32011be1044f1c0cbcb?track_id=kolMatch_d78519dc2d86498690b1f22927c28c53&amp;source=Advertiser_Kol</t>
        </is>
      </c>
      <c r="H79" s="19" t="inlineStr">
        <is>
          <t>https://www.xiaohongshu.com/user/profile/5afac32011be1044f1c0cbcb</t>
        </is>
      </c>
      <c r="I79" s="118" t="inlineStr">
        <is>
          <t>LittleBurger</t>
        </is>
      </c>
      <c r="J79" s="18" t="n"/>
      <c r="K79" s="18" t="inlineStr">
        <is>
          <t>家居家装</t>
        </is>
      </c>
      <c r="L79" s="18" t="inlineStr">
        <is>
          <t>koc</t>
        </is>
      </c>
      <c r="M79" s="18" t="n">
        <v>1.5</v>
      </c>
      <c r="N79" s="18" t="n">
        <v>18.2</v>
      </c>
      <c r="O79" s="18" t="inlineStr">
        <is>
          <t xml:space="preserve">图文 </t>
        </is>
      </c>
      <c r="P79" s="21" t="n">
        <v>0.9399999999999999</v>
      </c>
      <c r="Q79" s="21" t="n">
        <v>0.03</v>
      </c>
      <c r="R79" s="21" t="n">
        <v>0.38</v>
      </c>
      <c r="S79" s="21" t="n">
        <v>0.51</v>
      </c>
      <c r="T79" s="21" t="n">
        <v>0.68</v>
      </c>
      <c r="U79" s="21" t="n">
        <v>0.15</v>
      </c>
      <c r="V79" s="18" t="n">
        <v>2365</v>
      </c>
      <c r="W79" s="18" t="n">
        <v>109</v>
      </c>
      <c r="X79" s="18" t="n">
        <v>1000</v>
      </c>
      <c r="Y79" s="18">
        <f>X79*1.1</f>
        <v/>
      </c>
      <c r="Z79" s="20">
        <f>Y79/V79</f>
        <v/>
      </c>
      <c r="AA79" s="20">
        <f>Y79/W79</f>
        <v/>
      </c>
      <c r="AB79" s="18" t="n"/>
      <c r="AC79" s="18" t="n"/>
      <c r="AD79" s="18" t="n"/>
      <c r="AE79" s="18" t="n"/>
    </row>
    <row r="80" ht="19" customHeight="1" s="151">
      <c r="A80" s="18" t="n"/>
      <c r="B80" s="18" t="n"/>
      <c r="C80" s="17" t="n">
        <v>46085</v>
      </c>
      <c r="D80" s="18" t="inlineStr">
        <is>
          <t>品牌</t>
        </is>
      </c>
      <c r="E80" s="18" t="inlineStr">
        <is>
          <t>四娃妈Eva</t>
        </is>
      </c>
      <c r="F80" s="19" t="n"/>
      <c r="G80" s="19" t="inlineStr">
        <is>
          <t>https://pgy.xiaohongshu.com/solar/pre-trade/blogger-detail/5fae7dca000000000101d8c5?track_id=kolMatch_4d0f177ed4254c2a896e9d60d484124d&amp;source=Advertiser_Kol</t>
        </is>
      </c>
      <c r="H80" s="19" t="inlineStr">
        <is>
          <t>https://www.xiaohongshu.com/user/profile/5fae7dca000000000101d8c5</t>
        </is>
      </c>
      <c r="I80" s="118" t="n">
        <v>1096637310</v>
      </c>
      <c r="J80" s="18" t="n"/>
      <c r="K80" s="18" t="inlineStr">
        <is>
          <t>家居家装</t>
        </is>
      </c>
      <c r="L80" s="18" t="inlineStr">
        <is>
          <t>koc</t>
        </is>
      </c>
      <c r="M80" s="18" t="n">
        <v>0.1</v>
      </c>
      <c r="N80" s="18" t="n">
        <v>1.3</v>
      </c>
      <c r="O80" s="18" t="inlineStr">
        <is>
          <t xml:space="preserve">图文 </t>
        </is>
      </c>
      <c r="P80" s="21" t="n">
        <v>0.78</v>
      </c>
      <c r="Q80" s="21" t="n">
        <v>0.03</v>
      </c>
      <c r="R80" s="21" t="n">
        <v>0.43</v>
      </c>
      <c r="S80" s="21" t="n">
        <v>0.45</v>
      </c>
      <c r="T80" s="21" t="n">
        <v>0.64</v>
      </c>
      <c r="U80" s="21" t="n">
        <v>0.15</v>
      </c>
      <c r="V80" s="18" t="n">
        <v>1231</v>
      </c>
      <c r="W80" s="18" t="n">
        <v>187</v>
      </c>
      <c r="X80" s="18" t="n">
        <v>500</v>
      </c>
      <c r="Y80" s="18">
        <f>X80*1.1</f>
        <v/>
      </c>
      <c r="Z80" s="20">
        <f>Y80/V80</f>
        <v/>
      </c>
      <c r="AA80" s="20">
        <f>Y80/W80</f>
        <v/>
      </c>
      <c r="AB80" s="18" t="n"/>
      <c r="AC80" s="18" t="n"/>
      <c r="AD80" s="18" t="n"/>
      <c r="AE80" s="18" t="n"/>
    </row>
    <row r="81" ht="19" customHeight="1" s="151">
      <c r="A81" s="18" t="n"/>
      <c r="B81" s="18" t="n"/>
      <c r="C81" s="17" t="n">
        <v>46085</v>
      </c>
      <c r="D81" s="18" t="inlineStr">
        <is>
          <t>品牌</t>
        </is>
      </c>
      <c r="E81" s="18" t="inlineStr">
        <is>
          <t>Kristina的小屋（软装中）</t>
        </is>
      </c>
      <c r="F81" s="19" t="n"/>
      <c r="G81" s="19" t="inlineStr">
        <is>
          <t>https://pgy.xiaohongshu.com/solar/pre-trade/blogger-detail/5ceff0c10000000011027153?track_id=kolMatch_4d0f177ed4254c2a896e9d60d484124d&amp;source=Advertiser_Kol</t>
        </is>
      </c>
      <c r="H81" s="19" t="inlineStr">
        <is>
          <t>https://www.xiaohongshu.com/user/profile/5ceff0c10000000011027153</t>
        </is>
      </c>
      <c r="I81" s="118" t="n">
        <v>861444880</v>
      </c>
      <c r="J81" s="18" t="n"/>
      <c r="K81" s="18" t="inlineStr">
        <is>
          <t>家居家装</t>
        </is>
      </c>
      <c r="L81" s="18" t="inlineStr">
        <is>
          <t>koc</t>
        </is>
      </c>
      <c r="M81" s="18" t="n">
        <v>0.5</v>
      </c>
      <c r="N81" s="18" t="n">
        <v>2.1</v>
      </c>
      <c r="O81" s="18" t="inlineStr">
        <is>
          <t xml:space="preserve">图文 </t>
        </is>
      </c>
      <c r="P81" s="21" t="n">
        <v>0.76</v>
      </c>
      <c r="Q81" s="21" t="n">
        <v>0.04</v>
      </c>
      <c r="R81" s="21" t="n">
        <v>0.36</v>
      </c>
      <c r="S81" s="21" t="n">
        <v>0.37</v>
      </c>
      <c r="T81" s="21" t="n">
        <v>0.48</v>
      </c>
      <c r="U81" s="21" t="n">
        <v>0.2</v>
      </c>
      <c r="V81" s="18" t="n">
        <v>4019</v>
      </c>
      <c r="W81" s="18" t="n">
        <v>100</v>
      </c>
      <c r="X81" s="18" t="n">
        <v>850</v>
      </c>
      <c r="Y81" s="18">
        <f>X81*1.1</f>
        <v/>
      </c>
      <c r="Z81" s="20">
        <f>Y81/V81</f>
        <v/>
      </c>
      <c r="AA81" s="20">
        <f>Y81/W81</f>
        <v/>
      </c>
      <c r="AB81" s="18" t="n"/>
      <c r="AC81" s="18" t="n"/>
      <c r="AD81" s="18" t="n"/>
      <c r="AE81" s="18" t="n"/>
    </row>
    <row r="82" ht="19" customHeight="1" s="151">
      <c r="A82" s="18" t="n"/>
      <c r="B82" s="18" t="n"/>
      <c r="C82" s="17" t="n">
        <v>46085</v>
      </c>
      <c r="D82" s="18" t="inlineStr">
        <is>
          <t>品牌</t>
        </is>
      </c>
      <c r="E82" s="18" t="inlineStr">
        <is>
          <t>萝卜头呀</t>
        </is>
      </c>
      <c r="F82" s="19" t="n"/>
      <c r="G82" s="19" t="inlineStr">
        <is>
          <t>https://pgy.xiaohongshu.com/solar/pre-trade/blogger-detail/61a9d194000000001000c9a2?track_id=kolMatch_dd8c9e8c989a45939e5a259b006f2e4d&amp;source=Advertiser_Kol</t>
        </is>
      </c>
      <c r="H82" s="19" t="inlineStr">
        <is>
          <t>https://www.xiaohongshu.com/user/profile/61a9d194000000001000c9a2</t>
        </is>
      </c>
      <c r="I82" s="118" t="n">
        <v>8044377243</v>
      </c>
      <c r="J82" s="18" t="n"/>
      <c r="K82" s="18" t="inlineStr">
        <is>
          <t>家居家装</t>
        </is>
      </c>
      <c r="L82" s="18" t="inlineStr">
        <is>
          <t>koc</t>
        </is>
      </c>
      <c r="M82" s="18" t="n">
        <v>0.3</v>
      </c>
      <c r="N82" s="18" t="n">
        <v>4.2</v>
      </c>
      <c r="O82" s="18" t="inlineStr">
        <is>
          <t xml:space="preserve">图文 </t>
        </is>
      </c>
      <c r="P82" s="21" t="n">
        <v>0.87</v>
      </c>
      <c r="Q82" s="21" t="n">
        <v>0.04</v>
      </c>
      <c r="R82" s="21" t="n">
        <v>0.33</v>
      </c>
      <c r="S82" s="21" t="n">
        <v>0.36</v>
      </c>
      <c r="T82" s="21" t="n">
        <v>0.6</v>
      </c>
      <c r="U82" s="21" t="n">
        <v>0.19</v>
      </c>
      <c r="V82" s="18" t="n">
        <v>4288</v>
      </c>
      <c r="W82" s="18" t="n">
        <v>109</v>
      </c>
      <c r="X82" s="18" t="n">
        <v>1000</v>
      </c>
      <c r="Y82" s="18">
        <f>X82*1.1</f>
        <v/>
      </c>
      <c r="Z82" s="20">
        <f>Y82/V82</f>
        <v/>
      </c>
      <c r="AA82" s="20">
        <f>Y82/W82</f>
        <v/>
      </c>
      <c r="AB82" s="18" t="n"/>
      <c r="AC82" s="18" t="n"/>
      <c r="AD82" s="18" t="n"/>
      <c r="AE82" s="18" t="n"/>
    </row>
    <row r="83" ht="19" customHeight="1" s="151">
      <c r="A83" s="18" t="n"/>
      <c r="B83" s="18" t="n"/>
      <c r="C83" s="17" t="n">
        <v>46085</v>
      </c>
      <c r="D83" s="18" t="inlineStr">
        <is>
          <t>品牌</t>
        </is>
      </c>
      <c r="E83" s="18" t="inlineStr">
        <is>
          <t>三吉吉</t>
        </is>
      </c>
      <c r="F83" s="19" t="n"/>
      <c r="G83" s="19" t="inlineStr">
        <is>
          <t>https://pgy.xiaohongshu.com/solar/pre-trade/blogger-detail/6591216b0000000022003c19?track_id=kolMatch_dd8c9e8c989a45939e5a259b006f2e4d&amp;source=Advertiser_Kol</t>
        </is>
      </c>
      <c r="H83" s="19" t="inlineStr">
        <is>
          <t>https://www.xiaohongshu.com/user/profile/6591216b0000000022003c19</t>
        </is>
      </c>
      <c r="I83" s="118" t="inlineStr">
        <is>
          <t>X57788317</t>
        </is>
      </c>
      <c r="J83" s="18" t="n"/>
      <c r="K83" s="18" t="inlineStr">
        <is>
          <t>家居家装</t>
        </is>
      </c>
      <c r="L83" s="18" t="inlineStr">
        <is>
          <t>koc</t>
        </is>
      </c>
      <c r="M83" s="18" t="n">
        <v>1.2</v>
      </c>
      <c r="N83" s="18" t="n">
        <v>6</v>
      </c>
      <c r="O83" s="18" t="inlineStr">
        <is>
          <t xml:space="preserve">图文 </t>
        </is>
      </c>
      <c r="P83" s="21" t="n">
        <v>0.77</v>
      </c>
      <c r="Q83" s="21" t="n">
        <v>0.15</v>
      </c>
      <c r="R83" s="21" t="n">
        <v>0.22</v>
      </c>
      <c r="S83" s="21" t="n">
        <v>0.28</v>
      </c>
      <c r="T83" s="21" t="n">
        <v>0.19</v>
      </c>
      <c r="U83" s="21" t="n">
        <v>0.25</v>
      </c>
      <c r="V83" s="18" t="n">
        <v>4744</v>
      </c>
      <c r="W83" s="18" t="n">
        <v>198</v>
      </c>
      <c r="X83" s="18" t="n">
        <v>1500</v>
      </c>
      <c r="Y83" s="18">
        <f>X83*1.1</f>
        <v/>
      </c>
      <c r="Z83" s="20">
        <f>Y83/V83</f>
        <v/>
      </c>
      <c r="AA83" s="20">
        <f>Y83/W83</f>
        <v/>
      </c>
      <c r="AB83" s="18" t="n"/>
      <c r="AC83" s="18" t="n"/>
      <c r="AD83" s="18" t="n"/>
      <c r="AE83" s="18" t="n"/>
    </row>
    <row r="84" ht="19" customHeight="1" s="151">
      <c r="A84" s="18" t="n"/>
      <c r="B84" s="18" t="n"/>
      <c r="C84" s="17" t="n">
        <v>46085</v>
      </c>
      <c r="D84" s="18" t="inlineStr">
        <is>
          <t>品牌</t>
        </is>
      </c>
      <c r="E84" s="18" t="inlineStr">
        <is>
          <t>大梦梦又在家🏡</t>
        </is>
      </c>
      <c r="F84" s="19" t="n"/>
      <c r="G84" s="19" t="inlineStr">
        <is>
          <t>https://pgy.xiaohongshu.com/solar/pre-trade/blogger-detail/633adc63000000001802a8ba?track_id=kolMatch_dd8c9e8c989a45939e5a259b006f2e4d&amp;source=Advertiser_Kol</t>
        </is>
      </c>
      <c r="H84" s="19" t="inlineStr">
        <is>
          <t>https://www.xiaohongshu.com/user/profile/633adc63000000001802a8ba</t>
        </is>
      </c>
      <c r="I84" s="118" t="n">
        <v>5446590149</v>
      </c>
      <c r="J84" s="18" t="n"/>
      <c r="K84" s="18" t="inlineStr">
        <is>
          <t>家居家装</t>
        </is>
      </c>
      <c r="L84" s="18" t="inlineStr">
        <is>
          <t>koc</t>
        </is>
      </c>
      <c r="M84" s="18" t="n">
        <v>4.5</v>
      </c>
      <c r="N84" s="18" t="n">
        <v>9.5</v>
      </c>
      <c r="O84" s="18" t="inlineStr">
        <is>
          <t xml:space="preserve">图文 </t>
        </is>
      </c>
      <c r="P84" s="21" t="n">
        <v>0.76</v>
      </c>
      <c r="Q84" s="21" t="n">
        <v>0.12</v>
      </c>
      <c r="R84" s="21" t="n">
        <v>0.27</v>
      </c>
      <c r="S84" s="21" t="n">
        <v>0.31</v>
      </c>
      <c r="T84" s="21" t="n">
        <v>0.23</v>
      </c>
      <c r="U84" s="21" t="n">
        <v>0.23</v>
      </c>
      <c r="V84" s="18" t="n">
        <v>2786</v>
      </c>
      <c r="W84" s="18" t="n">
        <v>213</v>
      </c>
      <c r="X84" s="18" t="n">
        <v>1500</v>
      </c>
      <c r="Y84" s="18">
        <f>X84*1.1</f>
        <v/>
      </c>
      <c r="Z84" s="20">
        <f>Y84/V84</f>
        <v/>
      </c>
      <c r="AA84" s="20">
        <f>Y84/W84</f>
        <v/>
      </c>
      <c r="AB84" s="18" t="n"/>
      <c r="AC84" s="18" t="n"/>
      <c r="AD84" s="18" t="n"/>
      <c r="AE84" s="18" t="n"/>
    </row>
    <row r="85">
      <c r="A85" s="18" t="n"/>
      <c r="B85" s="18" t="n"/>
      <c r="C85" s="17" t="n">
        <v>46085</v>
      </c>
      <c r="D85" s="18" t="inlineStr">
        <is>
          <t>品牌</t>
        </is>
      </c>
      <c r="E85" s="18" t="inlineStr">
        <is>
          <t>喵喵的法式小家</t>
        </is>
      </c>
      <c r="F85" s="19" t="n"/>
      <c r="G85" s="19" t="inlineStr">
        <is>
          <t>https://pgy.xiaohongshu.com/solar/pre-trade/blogger-detail/567565369eb57844adfcea1f?track_id=kolMatch_dd8c9e8c989a45939e5a259b006f2e4d&amp;source=Advertiser_Kol</t>
        </is>
      </c>
      <c r="H85" s="19" t="inlineStr">
        <is>
          <t>https://www.xiaohongshu.com/user/profile/567565369eb57844adfcea1f</t>
        </is>
      </c>
      <c r="I85" s="118" t="n">
        <v>490087367</v>
      </c>
      <c r="J85" s="18" t="n"/>
      <c r="K85" s="18" t="inlineStr">
        <is>
          <t>家居家装</t>
        </is>
      </c>
      <c r="L85" s="18" t="inlineStr">
        <is>
          <t>koc</t>
        </is>
      </c>
      <c r="M85" s="18" t="n">
        <v>0.5</v>
      </c>
      <c r="N85" s="18" t="n">
        <v>4.2</v>
      </c>
      <c r="O85" s="18" t="inlineStr">
        <is>
          <t xml:space="preserve">图文 </t>
        </is>
      </c>
      <c r="P85" s="21" t="n">
        <v>0.7</v>
      </c>
      <c r="Q85" s="21" t="n">
        <v>0.06</v>
      </c>
      <c r="R85" s="21" t="n">
        <v>0.32</v>
      </c>
      <c r="S85" s="21" t="n">
        <v>0.37</v>
      </c>
      <c r="T85" s="21" t="n">
        <v>0.46</v>
      </c>
      <c r="U85" s="21" t="n">
        <v>0.25</v>
      </c>
      <c r="V85" s="18" t="n">
        <v>2557</v>
      </c>
      <c r="W85" s="18" t="n">
        <v>180</v>
      </c>
      <c r="X85" s="18" t="n">
        <v>1200</v>
      </c>
      <c r="Y85" s="18">
        <f>X85*1.1</f>
        <v/>
      </c>
      <c r="Z85" s="20">
        <f>Y85/V85</f>
        <v/>
      </c>
      <c r="AA85" s="20">
        <f>Y85/W85</f>
        <v/>
      </c>
      <c r="AB85" s="18" t="n"/>
      <c r="AC85" s="18" t="n"/>
      <c r="AD85" s="18" t="n"/>
      <c r="AE85" s="18" t="n"/>
    </row>
    <row r="86">
      <c r="A86" s="18" t="n"/>
      <c r="B86" s="18" t="n"/>
      <c r="C86" s="17" t="n">
        <v>46085</v>
      </c>
      <c r="D86" s="18" t="inlineStr">
        <is>
          <t>品牌</t>
        </is>
      </c>
      <c r="E86" s="18" t="inlineStr">
        <is>
          <t>麵包酥</t>
        </is>
      </c>
      <c r="F86" s="19" t="n"/>
      <c r="G86" s="19" t="inlineStr">
        <is>
          <t>https://pgy.xiaohongshu.com/solar/pre-trade/blogger-detail/664819040000000007004c29?track_id=kolMatch_dd8c9e8c989a45939e5a259b006f2e4d&amp;source=Advertiser_Kol</t>
        </is>
      </c>
      <c r="H86" s="19" t="inlineStr">
        <is>
          <t>https://www.xiaohongshu.com/user/profile/664819040000000007004c29</t>
        </is>
      </c>
      <c r="I86" s="118" t="n">
        <v>95292689834</v>
      </c>
      <c r="J86" s="18" t="n"/>
      <c r="K86" s="18" t="inlineStr">
        <is>
          <t>家居家装</t>
        </is>
      </c>
      <c r="L86" s="18" t="inlineStr">
        <is>
          <t>koc</t>
        </is>
      </c>
      <c r="M86" s="18" t="n">
        <v>0.9</v>
      </c>
      <c r="N86" s="18" t="n">
        <v>3.9</v>
      </c>
      <c r="O86" s="18" t="inlineStr">
        <is>
          <t xml:space="preserve">图文 </t>
        </is>
      </c>
      <c r="P86" s="21" t="n">
        <v>0.08</v>
      </c>
      <c r="Q86" s="21" t="n">
        <v>0.09</v>
      </c>
      <c r="R86" s="21" t="n">
        <v>0.2</v>
      </c>
      <c r="S86" s="21" t="n">
        <v>0.37</v>
      </c>
      <c r="T86" s="21" t="n">
        <v>0.24</v>
      </c>
      <c r="U86" s="21" t="n">
        <v>0.24</v>
      </c>
      <c r="V86" s="18" t="n">
        <v>2978</v>
      </c>
      <c r="W86" s="18" t="n">
        <v>109</v>
      </c>
      <c r="X86" s="18" t="n">
        <v>900</v>
      </c>
      <c r="Y86" s="18">
        <f>X86*1.1</f>
        <v/>
      </c>
      <c r="Z86" s="20">
        <f>Y86/V86</f>
        <v/>
      </c>
      <c r="AA86" s="20">
        <f>Y86/W86</f>
        <v/>
      </c>
      <c r="AB86" s="18" t="n"/>
      <c r="AC86" s="18" t="n"/>
      <c r="AD86" s="18" t="n"/>
      <c r="AE86" s="18" t="n"/>
    </row>
    <row r="87" ht="19" customHeight="1" s="151">
      <c r="A87" s="18" t="n"/>
      <c r="B87" s="18" t="n"/>
      <c r="C87" s="17" t="n">
        <v>46085</v>
      </c>
      <c r="D87" s="18" t="inlineStr">
        <is>
          <t>品牌</t>
        </is>
      </c>
      <c r="E87" s="18" t="inlineStr">
        <is>
          <t>栖心小筑</t>
        </is>
      </c>
      <c r="F87" s="19" t="n"/>
      <c r="G87" s="19" t="inlineStr">
        <is>
          <t>https://pgy.xiaohongshu.com/solar/pre-trade/blogger-detail/5fabc44c0000000001001024?track_id=kolMatch_b3070604ce7340b7961df4a2c7add478&amp;source=Advertiser_Kol</t>
        </is>
      </c>
      <c r="H87" s="19" t="inlineStr">
        <is>
          <t>https://www.xiaohongshu.com/user/profile/5fabc44c0000000001001024</t>
        </is>
      </c>
      <c r="I87" s="118" t="inlineStr">
        <is>
          <t>JKX123</t>
        </is>
      </c>
      <c r="J87" s="18" t="n"/>
      <c r="K87" s="18" t="inlineStr">
        <is>
          <t>家居家装</t>
        </is>
      </c>
      <c r="L87" s="18" t="inlineStr">
        <is>
          <t>koc</t>
        </is>
      </c>
      <c r="M87" s="18" t="n">
        <v>1.3</v>
      </c>
      <c r="N87" s="18" t="n">
        <v>6.8</v>
      </c>
      <c r="O87" s="18" t="inlineStr">
        <is>
          <t xml:space="preserve">图文 </t>
        </is>
      </c>
      <c r="P87" s="21" t="n">
        <v>0.86</v>
      </c>
      <c r="Q87" s="21" t="n">
        <v>0.04</v>
      </c>
      <c r="R87" s="21" t="n">
        <v>0.22</v>
      </c>
      <c r="S87" s="21" t="n">
        <v>0.34</v>
      </c>
      <c r="T87" s="21" t="n">
        <v>0.12</v>
      </c>
      <c r="U87" s="21" t="n">
        <v>0.21</v>
      </c>
      <c r="V87" s="18" t="n">
        <v>2146</v>
      </c>
      <c r="W87" s="18" t="n">
        <v>144</v>
      </c>
      <c r="X87" s="18" t="n">
        <v>1000</v>
      </c>
      <c r="Y87" s="18">
        <f>X87*1.1</f>
        <v/>
      </c>
      <c r="Z87" s="20">
        <f>Y87/V87</f>
        <v/>
      </c>
      <c r="AA87" s="20">
        <f>Y87/W87</f>
        <v/>
      </c>
      <c r="AB87" s="18" t="n"/>
      <c r="AC87" s="18" t="n"/>
      <c r="AD87" s="18" t="n"/>
      <c r="AE87" s="18" t="n"/>
    </row>
    <row r="88" ht="19" customHeight="1" s="151">
      <c r="A88" s="18" t="n"/>
      <c r="B88" s="18" t="n"/>
      <c r="C88" s="17" t="n">
        <v>46085</v>
      </c>
      <c r="D88" s="18" t="inlineStr">
        <is>
          <t>品牌</t>
        </is>
      </c>
      <c r="E88" s="18" t="inlineStr">
        <is>
          <t>测评家居班班酱</t>
        </is>
      </c>
      <c r="F88" s="19" t="n"/>
      <c r="G88" s="19" t="inlineStr">
        <is>
          <t>https://pgy.xiaohongshu.com/solar/pre-trade/blogger-detail/67c17493000000000e02c98b?track_id=kolMatch_5a8b798434114d7aa20688dcd095b104&amp;source=Advertiser_Kol</t>
        </is>
      </c>
      <c r="H88" s="19" t="inlineStr">
        <is>
          <t>https://www.xiaohongshu.com/user/profile/67c17493000000000e02c98b</t>
        </is>
      </c>
      <c r="I88" s="118" t="n">
        <v>26794533592</v>
      </c>
      <c r="J88" s="18" t="n"/>
      <c r="K88" s="18" t="inlineStr">
        <is>
          <t>家居家装</t>
        </is>
      </c>
      <c r="L88" s="18" t="inlineStr">
        <is>
          <t>koc</t>
        </is>
      </c>
      <c r="M88" s="18" t="n">
        <v>1.2</v>
      </c>
      <c r="N88" s="18" t="n">
        <v>5.5</v>
      </c>
      <c r="O88" s="18" t="inlineStr">
        <is>
          <t xml:space="preserve">图文 </t>
        </is>
      </c>
      <c r="P88" s="21" t="n">
        <v>0.92</v>
      </c>
      <c r="Q88" s="21" t="n">
        <v>0.04</v>
      </c>
      <c r="R88" s="21" t="n">
        <v>0.26</v>
      </c>
      <c r="S88" s="21" t="n">
        <v>0.42</v>
      </c>
      <c r="T88" s="21" t="n">
        <v>0.32</v>
      </c>
      <c r="U88" s="21" t="n">
        <v>0.23</v>
      </c>
      <c r="V88" s="18" t="n">
        <v>1444</v>
      </c>
      <c r="W88" s="18" t="n">
        <v>310</v>
      </c>
      <c r="X88" s="18" t="n">
        <v>1000</v>
      </c>
      <c r="Y88" s="18">
        <f>X88*1.1</f>
        <v/>
      </c>
      <c r="Z88" s="20">
        <f>Y88/V88</f>
        <v/>
      </c>
      <c r="AA88" s="20">
        <f>Y88/W88</f>
        <v/>
      </c>
      <c r="AB88" s="18" t="n"/>
      <c r="AC88" s="18" t="n"/>
      <c r="AD88" s="18" t="n"/>
      <c r="AE88" s="18" t="n"/>
    </row>
    <row r="89">
      <c r="A89" s="18" t="n"/>
      <c r="B89" s="18" t="n"/>
      <c r="C89" s="17" t="n">
        <v>46085</v>
      </c>
      <c r="D89" s="18" t="inlineStr">
        <is>
          <t>电商</t>
        </is>
      </c>
      <c r="E89" s="18" t="inlineStr">
        <is>
          <t>大橙子的家</t>
        </is>
      </c>
      <c r="F89" s="19" t="n"/>
      <c r="G89" s="19" t="inlineStr">
        <is>
          <t>https://pgy.xiaohongshu.com/solar/pre-trade/blogger-detail/634821d7000000001901cf1c?track_id=kolMatch_8230e88bdb4b486db85bb62517de76b6&amp;source=Advertiser_Kol</t>
        </is>
      </c>
      <c r="H89" s="19" t="inlineStr">
        <is>
          <t>https://www.xiaohongshu.com/user/profile/634821d7000000001901cf1c</t>
        </is>
      </c>
      <c r="I89" s="118" t="n">
        <v>5469514825</v>
      </c>
      <c r="J89" s="18" t="n"/>
      <c r="K89" s="18" t="inlineStr">
        <is>
          <t>家居家装</t>
        </is>
      </c>
      <c r="L89" s="18" t="inlineStr">
        <is>
          <t>koc</t>
        </is>
      </c>
      <c r="M89" s="18" t="n">
        <v>1.5</v>
      </c>
      <c r="N89" s="18" t="n">
        <v>8.5</v>
      </c>
      <c r="O89" s="18" t="inlineStr">
        <is>
          <t xml:space="preserve">图文 </t>
        </is>
      </c>
      <c r="P89" s="21" t="n">
        <v>0.79</v>
      </c>
      <c r="Q89" s="21" t="n">
        <v>0.03</v>
      </c>
      <c r="R89" s="21" t="n">
        <v>0.43</v>
      </c>
      <c r="S89" s="21" t="n">
        <v>0.45</v>
      </c>
      <c r="T89" s="21" t="n">
        <v>0.62</v>
      </c>
      <c r="U89" s="21" t="n">
        <v>0.16</v>
      </c>
      <c r="V89" s="18" t="n">
        <v>7401</v>
      </c>
      <c r="W89" s="18" t="n">
        <v>302</v>
      </c>
      <c r="X89" s="18" t="n">
        <v>1500</v>
      </c>
      <c r="Y89" s="18">
        <f>X89*1.1</f>
        <v/>
      </c>
      <c r="Z89" s="20">
        <f>Y89/V89</f>
        <v/>
      </c>
      <c r="AA89" s="20">
        <f>Y89/W89</f>
        <v/>
      </c>
      <c r="AB89" s="18" t="n"/>
      <c r="AC89" s="18" t="n"/>
      <c r="AD89" s="18" t="n"/>
      <c r="AE89" s="18" t="n"/>
    </row>
    <row r="90">
      <c r="A90" s="18" t="n"/>
      <c r="B90" s="18" t="n"/>
      <c r="C90" s="17" t="n">
        <v>46085</v>
      </c>
      <c r="D90" s="18" t="inlineStr">
        <is>
          <t>电商</t>
        </is>
      </c>
      <c r="E90" s="18" t="inlineStr">
        <is>
          <t>慢跑的花椒</t>
        </is>
      </c>
      <c r="F90" s="19" t="n"/>
      <c r="G90" s="19" t="inlineStr">
        <is>
          <t>https://pgy.xiaohongshu.com/solar/pre-trade/blogger-detail/578307cb5e87e71b46c90c7e?track_id=kolMatch_dd8c9e8c989a45939e5a259b006f2e4d&amp;source=Advertiser_Kol</t>
        </is>
      </c>
      <c r="H90" s="19" t="inlineStr">
        <is>
          <t>https://www.xiaohongshu.com/user/profile/578307cb5e87e71b46c90c7e</t>
        </is>
      </c>
      <c r="I90" s="118" t="n">
        <v>105143194</v>
      </c>
      <c r="J90" s="18" t="n"/>
      <c r="K90" s="18" t="inlineStr">
        <is>
          <t>家居家装</t>
        </is>
      </c>
      <c r="L90" s="18" t="inlineStr">
        <is>
          <t>koc</t>
        </is>
      </c>
      <c r="M90" s="18" t="n">
        <v>0.5</v>
      </c>
      <c r="N90" s="18" t="n">
        <v>5.6</v>
      </c>
      <c r="O90" s="18" t="inlineStr">
        <is>
          <t xml:space="preserve">图文 </t>
        </is>
      </c>
      <c r="P90" s="21" t="n">
        <v>0.87</v>
      </c>
      <c r="Q90" s="21" t="n">
        <v>0.04</v>
      </c>
      <c r="R90" s="21" t="n">
        <v>0.31</v>
      </c>
      <c r="S90" s="21" t="n">
        <v>0.45</v>
      </c>
      <c r="T90" s="21" t="n">
        <v>0.54</v>
      </c>
      <c r="U90" s="21" t="n">
        <v>0.2</v>
      </c>
      <c r="V90" s="18" t="n">
        <v>4218</v>
      </c>
      <c r="W90" s="18" t="n">
        <v>218</v>
      </c>
      <c r="X90" s="18" t="n">
        <v>990</v>
      </c>
      <c r="Y90" s="18">
        <f>X90*1.1</f>
        <v/>
      </c>
      <c r="Z90" s="20">
        <f>Y90/V90</f>
        <v/>
      </c>
      <c r="AA90" s="20">
        <f>Y90/W90</f>
        <v/>
      </c>
      <c r="AB90" s="18" t="n"/>
      <c r="AC90" s="18" t="n"/>
      <c r="AD90" s="18" t="n"/>
      <c r="AE90" s="18" t="n"/>
    </row>
    <row r="91" ht="86.34999999999999" customHeight="1" s="151">
      <c r="A91" s="18" t="n"/>
      <c r="B91" s="18" t="n"/>
      <c r="C91" s="17" t="n">
        <v>46085</v>
      </c>
      <c r="D91" s="18" t="inlineStr">
        <is>
          <t>电商</t>
        </is>
      </c>
      <c r="E91" s="18" t="inlineStr">
        <is>
          <t>秋天的宅家日记</t>
        </is>
      </c>
      <c r="F91" s="19" t="n"/>
      <c r="G91" s="19" t="inlineStr">
        <is>
          <t>https://pgy.xiaohongshu.com/solar/pre-trade/blogger-detail/58eca05b5e87e77358557276?track_id=kolMatch_dd8c9e8c989a45939e5a259b006f2e4d&amp;source=Advertiser_Kol</t>
        </is>
      </c>
      <c r="H91" s="19" t="inlineStr">
        <is>
          <t>https://www.xiaohongshu.com/user/profile/58eca05b5e87e77358557276</t>
        </is>
      </c>
      <c r="I91" s="118" t="n">
        <v>180280680</v>
      </c>
      <c r="J91" s="18" t="n"/>
      <c r="K91" s="18" t="inlineStr">
        <is>
          <t>家居家装</t>
        </is>
      </c>
      <c r="L91" s="18" t="inlineStr">
        <is>
          <t>koc</t>
        </is>
      </c>
      <c r="M91" s="18" t="n">
        <v>2.4</v>
      </c>
      <c r="N91" s="18" t="n">
        <v>12.7</v>
      </c>
      <c r="O91" s="18" t="inlineStr">
        <is>
          <t xml:space="preserve">图文 </t>
        </is>
      </c>
      <c r="P91" s="21" t="n">
        <v>0.59</v>
      </c>
      <c r="Q91" s="18" t="n"/>
      <c r="R91" s="18" t="n"/>
      <c r="S91" s="18" t="n"/>
      <c r="T91" s="21" t="n">
        <v>0.23</v>
      </c>
      <c r="U91" s="21" t="n">
        <v>0.27</v>
      </c>
      <c r="V91" s="18" t="n">
        <v>8248</v>
      </c>
      <c r="W91" s="18" t="n">
        <v>204</v>
      </c>
      <c r="X91" s="18" t="n">
        <v>1500</v>
      </c>
      <c r="Y91" s="18">
        <f>X91*1.1</f>
        <v/>
      </c>
      <c r="Z91" s="20">
        <f>Y91/V91</f>
        <v/>
      </c>
      <c r="AA91" s="20">
        <f>Y91/W91</f>
        <v/>
      </c>
      <c r="AB91" s="18" t="n"/>
      <c r="AC91" s="18" t="n"/>
      <c r="AD91" s="18" t="n"/>
      <c r="AE91" s="18" t="n"/>
    </row>
    <row r="92" ht="85.15000000000001" customHeight="1" s="151">
      <c r="A92" s="18" t="n"/>
      <c r="B92" s="18" t="n"/>
      <c r="C92" s="17" t="n">
        <v>46085</v>
      </c>
      <c r="D92" s="18" t="inlineStr">
        <is>
          <t>电商</t>
        </is>
      </c>
      <c r="E92" s="18" t="inlineStr">
        <is>
          <t>幸运的Am（软装中）</t>
        </is>
      </c>
      <c r="F92" s="19" t="n"/>
      <c r="G92" s="19" t="inlineStr">
        <is>
          <t>https://pgy.xiaohongshu.com/solar/pre-trade/blogger-detail/66e50a5e000000001b0390ec?track_id=kolMatch_dd8c9e8c989a45939e5a259b006f2e4d&amp;source=Advertiser_Kol</t>
        </is>
      </c>
      <c r="H92" s="19" t="inlineStr">
        <is>
          <t>https://www.xiaohongshu.com/user/profile/66e50a5e000000001b0390ec</t>
        </is>
      </c>
      <c r="I92" s="118" t="n">
        <v>63801528884</v>
      </c>
      <c r="J92" s="18" t="n"/>
      <c r="K92" s="18" t="inlineStr">
        <is>
          <t>家居家装</t>
        </is>
      </c>
      <c r="L92" s="18" t="inlineStr">
        <is>
          <t>koc</t>
        </is>
      </c>
      <c r="M92" s="18" t="n">
        <v>0.3</v>
      </c>
      <c r="N92" s="18" t="n">
        <v>3.7</v>
      </c>
      <c r="O92" s="18" t="inlineStr">
        <is>
          <t>视频</t>
        </is>
      </c>
      <c r="P92" s="21" t="n">
        <v>0.82</v>
      </c>
      <c r="Q92" s="18" t="n"/>
      <c r="R92" s="18" t="n"/>
      <c r="S92" s="18" t="n"/>
      <c r="T92" s="21" t="n">
        <v>0.49</v>
      </c>
      <c r="U92" s="21" t="n">
        <v>0.22</v>
      </c>
      <c r="V92" s="18" t="n">
        <v>3314</v>
      </c>
      <c r="W92" s="18" t="n">
        <v>224</v>
      </c>
      <c r="X92" s="18" t="n">
        <v>2000</v>
      </c>
      <c r="Y92" s="18">
        <f>X92*1.1</f>
        <v/>
      </c>
      <c r="Z92" s="20">
        <f>Y92/V92</f>
        <v/>
      </c>
      <c r="AA92" s="20">
        <f>Y92/W92</f>
        <v/>
      </c>
      <c r="AB92" s="18" t="n"/>
      <c r="AC92" s="18" t="n"/>
      <c r="AD92" s="18" t="n"/>
      <c r="AE92" s="18" t="n"/>
    </row>
    <row r="93" ht="87.7" customHeight="1" s="151">
      <c r="A93" s="18" t="n"/>
      <c r="B93" s="18" t="n"/>
      <c r="C93" s="17" t="n">
        <v>46085</v>
      </c>
      <c r="D93" s="18" t="inlineStr">
        <is>
          <t>电商</t>
        </is>
      </c>
      <c r="E93" s="18" t="inlineStr">
        <is>
          <t>慢慢好宅</t>
        </is>
      </c>
      <c r="F93" s="19" t="n"/>
      <c r="G93" s="19" t="inlineStr">
        <is>
          <t>https://pgy.xiaohongshu.com/solar/pre-trade/blogger-detail/65eb3513000000000500eafd?track_id=kolMatch_8230e88bdb4b486db85bb62517de76b6&amp;source=Advertiser_Kol</t>
        </is>
      </c>
      <c r="H93" s="19" t="inlineStr">
        <is>
          <t>https://www.xiaohongshu.com/user/profile/65eb3513000000000500eafd</t>
        </is>
      </c>
      <c r="I93" s="118" t="n">
        <v>11838756417</v>
      </c>
      <c r="J93" s="18" t="n"/>
      <c r="K93" s="18" t="inlineStr">
        <is>
          <t>家居家装</t>
        </is>
      </c>
      <c r="L93" s="18" t="inlineStr">
        <is>
          <t>koc</t>
        </is>
      </c>
      <c r="M93" s="18" t="n">
        <v>0.4</v>
      </c>
      <c r="N93" s="18" t="n">
        <v>3.1</v>
      </c>
      <c r="O93" s="18" t="inlineStr">
        <is>
          <t xml:space="preserve">图文 </t>
        </is>
      </c>
      <c r="P93" s="21" t="n">
        <v>0.68</v>
      </c>
      <c r="Q93" s="18" t="n"/>
      <c r="R93" s="18" t="n"/>
      <c r="S93" s="18" t="n"/>
      <c r="T93" s="21" t="n">
        <v>0.27</v>
      </c>
      <c r="U93" s="21" t="n">
        <v>0.28</v>
      </c>
      <c r="V93" s="18" t="n">
        <v>3590</v>
      </c>
      <c r="W93" s="18" t="n">
        <v>127</v>
      </c>
      <c r="X93" s="18" t="n">
        <v>800</v>
      </c>
      <c r="Y93" s="18">
        <f>X93*1.1</f>
        <v/>
      </c>
      <c r="Z93" s="20">
        <f>Y93/V93</f>
        <v/>
      </c>
      <c r="AA93" s="20">
        <f>Y93/W93</f>
        <v/>
      </c>
      <c r="AB93" s="18" t="n"/>
      <c r="AC93" s="18" t="n"/>
      <c r="AD93" s="18" t="n"/>
      <c r="AE93" s="18" t="n"/>
    </row>
    <row r="94" ht="77.8" customHeight="1" s="151">
      <c r="A94" s="18" t="n"/>
      <c r="B94" s="18" t="n"/>
      <c r="C94" s="17" t="n">
        <v>46085</v>
      </c>
      <c r="D94" s="18" t="inlineStr">
        <is>
          <t>电商</t>
        </is>
      </c>
      <c r="E94" s="18" t="inlineStr">
        <is>
          <t>Momo的小家</t>
        </is>
      </c>
      <c r="F94" s="19" t="n"/>
      <c r="G94" s="19" t="inlineStr">
        <is>
          <t>https://pgy.xiaohongshu.com/solar/pre-trade/blogger-detail/598c568c82ec3975a3bccfcd?track_id=kolMatch_db732fc4b30841309affcefcf916006c&amp;source=Advertiser_Kol</t>
        </is>
      </c>
      <c r="H94" s="19" t="inlineStr">
        <is>
          <t>https://www.xiaohongshu.com/user/profile/598c568c82ec3975a3bccfcd</t>
        </is>
      </c>
      <c r="I94" s="118" t="n">
        <v>956980129</v>
      </c>
      <c r="J94" s="18" t="n"/>
      <c r="K94" s="18" t="inlineStr">
        <is>
          <t>家居家装</t>
        </is>
      </c>
      <c r="L94" s="18" t="inlineStr">
        <is>
          <t>koc</t>
        </is>
      </c>
      <c r="M94" s="18" t="n">
        <v>0.3</v>
      </c>
      <c r="N94" s="18" t="n">
        <v>3.5</v>
      </c>
      <c r="O94" s="18" t="inlineStr">
        <is>
          <t xml:space="preserve">图文 </t>
        </is>
      </c>
      <c r="P94" s="21" t="n">
        <v>0.84</v>
      </c>
      <c r="Q94" s="18" t="n"/>
      <c r="R94" s="18" t="n"/>
      <c r="S94" s="18" t="n"/>
      <c r="T94" s="21" t="n">
        <v>0.45</v>
      </c>
      <c r="U94" s="21" t="n">
        <v>0.19</v>
      </c>
      <c r="V94" s="18" t="n">
        <v>5210</v>
      </c>
      <c r="W94" s="18" t="n">
        <v>110</v>
      </c>
      <c r="X94" s="18" t="n">
        <v>600</v>
      </c>
      <c r="Y94" s="18">
        <f>X94*1.1</f>
        <v/>
      </c>
      <c r="Z94" s="20">
        <f>Y94/V94</f>
        <v/>
      </c>
      <c r="AA94" s="20">
        <f>Y94/W94</f>
        <v/>
      </c>
      <c r="AB94" s="18" t="n"/>
      <c r="AC94" s="18" t="n"/>
      <c r="AD94" s="18" t="n"/>
      <c r="AE94" s="18" t="n"/>
    </row>
    <row r="95" ht="85.45" customHeight="1" s="151">
      <c r="A95" s="18" t="n"/>
      <c r="B95" s="18" t="n"/>
      <c r="C95" s="17" t="n">
        <v>46085</v>
      </c>
      <c r="D95" s="18" t="inlineStr">
        <is>
          <t>电商</t>
        </is>
      </c>
      <c r="E95" s="18" t="inlineStr">
        <is>
          <t>薯条的家🏠</t>
        </is>
      </c>
      <c r="F95" s="19" t="n"/>
      <c r="G95" s="19" t="inlineStr">
        <is>
          <t>https://pgy.xiaohongshu.com/solar/pre-trade/blogger-detail/606f10ad0000000001000b8d?track_id=kolMatch_db732fc4b30841309affcefcf916006c&amp;source=Advertiser_Kol</t>
        </is>
      </c>
      <c r="H95" s="19" t="inlineStr">
        <is>
          <t>https://www.xiaohongshu.com/user/profile/606f10ad0000000001000b8d</t>
        </is>
      </c>
      <c r="I95" s="118" t="inlineStr">
        <is>
          <t>21240925ST</t>
        </is>
      </c>
      <c r="J95" s="18" t="n"/>
      <c r="K95" s="18" t="inlineStr">
        <is>
          <t>家居家装</t>
        </is>
      </c>
      <c r="L95" s="18" t="inlineStr">
        <is>
          <t>koc</t>
        </is>
      </c>
      <c r="M95" s="18" t="n">
        <v>2.7</v>
      </c>
      <c r="N95" s="18" t="n">
        <v>11.5</v>
      </c>
      <c r="O95" s="18" t="inlineStr">
        <is>
          <t xml:space="preserve">图文 </t>
        </is>
      </c>
      <c r="P95" s="21" t="n">
        <v>0.71</v>
      </c>
      <c r="Q95" s="18" t="n"/>
      <c r="R95" s="18" t="n"/>
      <c r="S95" s="18" t="n"/>
      <c r="T95" s="21" t="n">
        <v>0.17</v>
      </c>
      <c r="U95" s="21" t="n">
        <v>0.25</v>
      </c>
      <c r="V95" s="18" t="n">
        <v>2737</v>
      </c>
      <c r="W95" s="18" t="n">
        <v>215</v>
      </c>
      <c r="X95" s="18" t="n">
        <v>1500</v>
      </c>
      <c r="Y95" s="18">
        <f>X95*1.1</f>
        <v/>
      </c>
      <c r="Z95" s="20">
        <f>Y95/V95</f>
        <v/>
      </c>
      <c r="AA95" s="20">
        <f>Y95/W95</f>
        <v/>
      </c>
      <c r="AB95" s="18" t="n"/>
      <c r="AC95" s="18" t="n"/>
      <c r="AD95" s="18" t="n"/>
      <c r="AE95" s="18" t="n"/>
    </row>
    <row r="96" ht="85.15000000000001" customHeight="1" s="151">
      <c r="A96" s="18" t="n"/>
      <c r="B96" s="18" t="n"/>
      <c r="C96" s="17" t="n">
        <v>46085</v>
      </c>
      <c r="D96" s="18" t="inlineStr">
        <is>
          <t>电商</t>
        </is>
      </c>
      <c r="E96" s="18" t="inlineStr">
        <is>
          <t>番茄日记00</t>
        </is>
      </c>
      <c r="F96" s="19" t="n"/>
      <c r="G96" s="19" t="inlineStr">
        <is>
          <t>https://pgy.xiaohongshu.com/solar/pre-trade/blogger-detail/5754e9b85e87e7791baf499c?track_id=kolMatch_b3070604ce7340b7961df4a2c7add478&amp;source=Advertiser_Kol</t>
        </is>
      </c>
      <c r="H96" s="19" t="inlineStr">
        <is>
          <t>https://www.xiaohongshu.com/user/profile/5754e9b85e87e7791baf499c</t>
        </is>
      </c>
      <c r="I96" s="118" t="n">
        <v>104730914</v>
      </c>
      <c r="J96" s="18" t="n"/>
      <c r="K96" s="18" t="inlineStr">
        <is>
          <t>家居家装</t>
        </is>
      </c>
      <c r="L96" s="18" t="inlineStr">
        <is>
          <t>koc</t>
        </is>
      </c>
      <c r="M96" s="18" t="n">
        <v>0.2</v>
      </c>
      <c r="N96" s="18" t="n">
        <v>2.2</v>
      </c>
      <c r="O96" s="18" t="inlineStr">
        <is>
          <t xml:space="preserve">图文 </t>
        </is>
      </c>
      <c r="P96" s="21" t="n">
        <v>0.77</v>
      </c>
      <c r="Q96" s="18" t="n"/>
      <c r="R96" s="18" t="n"/>
      <c r="S96" s="18" t="n"/>
      <c r="T96" s="21" t="n">
        <v>0.55</v>
      </c>
      <c r="U96" s="21" t="n">
        <v>0.19</v>
      </c>
      <c r="V96" s="18" t="n">
        <v>7585</v>
      </c>
      <c r="W96" s="18" t="n">
        <v>410</v>
      </c>
      <c r="X96" s="18" t="n">
        <v>500</v>
      </c>
      <c r="Y96" s="18">
        <f>X96*1.1</f>
        <v/>
      </c>
      <c r="Z96" s="20">
        <f>Y96/V96</f>
        <v/>
      </c>
      <c r="AA96" s="20">
        <f>Y96/W96</f>
        <v/>
      </c>
      <c r="AB96" s="18" t="n"/>
      <c r="AC96" s="18" t="n"/>
      <c r="AD96" s="18" t="n"/>
      <c r="AE96" s="18" t="n"/>
    </row>
    <row r="97" ht="74.34999999999999" customHeight="1" s="151">
      <c r="A97" s="18" t="n"/>
      <c r="B97" s="18" t="n"/>
      <c r="C97" s="17" t="n">
        <v>46085</v>
      </c>
      <c r="D97" s="18" t="inlineStr">
        <is>
          <t>电商</t>
        </is>
      </c>
      <c r="E97" s="18" t="inlineStr">
        <is>
          <t>薇然</t>
        </is>
      </c>
      <c r="F97" s="19" t="n"/>
      <c r="G97" s="19" t="inlineStr">
        <is>
          <t>https://pgy.xiaohongshu.com/solar/pre-trade/blogger-detail/5fca1f1d000000000100478a?track_id=kolMatch_db732fc4b30841309affcefcf916006c&amp;source=Advertiser_Kol</t>
        </is>
      </c>
      <c r="H97" s="19" t="inlineStr">
        <is>
          <t>https://www.xiaohongshu.com/user/profile/5fca1f1d000000000100478a</t>
        </is>
      </c>
      <c r="I97" s="118" t="n">
        <v>1091463520</v>
      </c>
      <c r="J97" s="18" t="n"/>
      <c r="K97" s="18" t="inlineStr">
        <is>
          <t>家居家装</t>
        </is>
      </c>
      <c r="L97" s="18" t="inlineStr">
        <is>
          <t>koc</t>
        </is>
      </c>
      <c r="M97" s="18" t="n">
        <v>1.1</v>
      </c>
      <c r="N97" s="18" t="n">
        <v>4.8</v>
      </c>
      <c r="O97" s="18" t="inlineStr">
        <is>
          <t xml:space="preserve">图文 </t>
        </is>
      </c>
      <c r="P97" s="21" t="n">
        <v>0.7</v>
      </c>
      <c r="Q97" s="18" t="n"/>
      <c r="R97" s="18" t="n"/>
      <c r="S97" s="18" t="n"/>
      <c r="T97" s="21" t="n">
        <v>0.34</v>
      </c>
      <c r="U97" s="21" t="n">
        <v>0.28</v>
      </c>
      <c r="V97" s="18" t="n">
        <v>3453</v>
      </c>
      <c r="W97" s="18" t="n">
        <v>256</v>
      </c>
      <c r="X97" s="18" t="n">
        <v>1500</v>
      </c>
      <c r="Y97" s="18">
        <f>X97*1.1</f>
        <v/>
      </c>
      <c r="Z97" s="20">
        <f>Y97/V97</f>
        <v/>
      </c>
      <c r="AA97" s="20">
        <f>Y97/W97</f>
        <v/>
      </c>
      <c r="AB97" s="18" t="n"/>
      <c r="AC97" s="18" t="n"/>
      <c r="AD97" s="18" t="n"/>
      <c r="AE97" s="18" t="n"/>
    </row>
    <row r="98" ht="81.45" customHeight="1" s="151">
      <c r="A98" s="18" t="n"/>
      <c r="B98" s="18" t="n"/>
      <c r="C98" s="17" t="n">
        <v>46085</v>
      </c>
      <c r="D98" s="18" t="inlineStr">
        <is>
          <t>电商</t>
        </is>
      </c>
      <c r="E98" s="18" t="inlineStr">
        <is>
          <t>人间小迷糊</t>
        </is>
      </c>
      <c r="F98" s="19" t="n"/>
      <c r="G98" s="19" t="inlineStr">
        <is>
          <t>https://pgy.xiaohongshu.com/solar/pre-trade/blogger-detail/67877bbc000000000803ed71?track_id=kolMatch_4d0f177ed4254c2a896e9d60d484124d&amp;source=Advertiser_Kol</t>
        </is>
      </c>
      <c r="H98" s="19" t="inlineStr">
        <is>
          <t>https://www.xiaohongshu.com/user/profile/67877bbc000000000803ed71</t>
        </is>
      </c>
      <c r="I98" s="118" t="n">
        <v>95433083046</v>
      </c>
      <c r="J98" s="18" t="n"/>
      <c r="K98" s="18" t="inlineStr">
        <is>
          <t>家居家装</t>
        </is>
      </c>
      <c r="L98" s="18" t="inlineStr">
        <is>
          <t>koc</t>
        </is>
      </c>
      <c r="M98" s="18" t="n">
        <v>1.4</v>
      </c>
      <c r="N98" s="18" t="n">
        <v>6.3</v>
      </c>
      <c r="O98" s="18" t="inlineStr">
        <is>
          <t xml:space="preserve">图文 </t>
        </is>
      </c>
      <c r="P98" s="21" t="n">
        <v>0.73</v>
      </c>
      <c r="Q98" s="18" t="n"/>
      <c r="R98" s="18" t="n"/>
      <c r="S98" s="18" t="n"/>
      <c r="T98" s="21" t="n">
        <v>0.17</v>
      </c>
      <c r="U98" s="21" t="n">
        <v>0.24</v>
      </c>
      <c r="V98" s="18" t="n">
        <v>2087</v>
      </c>
      <c r="W98" s="18" t="n">
        <v>173</v>
      </c>
      <c r="X98" s="18" t="n">
        <v>1000</v>
      </c>
      <c r="Y98" s="18">
        <f>X98*1.1</f>
        <v/>
      </c>
      <c r="Z98" s="20">
        <f>Y98/V98</f>
        <v/>
      </c>
      <c r="AA98" s="20">
        <f>Y98/W98</f>
        <v/>
      </c>
      <c r="AB98" s="18" t="n"/>
      <c r="AC98" s="18" t="n"/>
      <c r="AD98" s="18" t="n"/>
      <c r="AE98" s="18" t="n"/>
    </row>
    <row r="99" ht="76.65000000000001" customHeight="1" s="151">
      <c r="A99" s="18" t="n"/>
      <c r="B99" s="18" t="n"/>
      <c r="C99" s="17" t="n">
        <v>46085</v>
      </c>
      <c r="D99" s="18" t="inlineStr">
        <is>
          <t>电商</t>
        </is>
      </c>
      <c r="E99" s="18" t="inlineStr">
        <is>
          <t>蜂蜜罐罐</t>
        </is>
      </c>
      <c r="F99" s="19" t="n"/>
      <c r="G99" s="19" t="inlineStr">
        <is>
          <t>https://pgy.xiaohongshu.com/solar/pre-trade/blogger-detail/6611eb4b00000000070042cd?track_id=kolMatch_42f1f035a1004bbfb823f2cdf06cc96a&amp;source=Advertiser_Kol</t>
        </is>
      </c>
      <c r="H99" s="19" t="inlineStr">
        <is>
          <t>https://www.xiaohongshu.com/user/profile/6611eb4b00000000070042cd</t>
        </is>
      </c>
      <c r="I99" s="118" t="n">
        <v>11538790615</v>
      </c>
      <c r="J99" s="18" t="n"/>
      <c r="K99" s="18" t="inlineStr">
        <is>
          <t>家居家装</t>
        </is>
      </c>
      <c r="L99" s="18" t="inlineStr">
        <is>
          <t>koc</t>
        </is>
      </c>
      <c r="M99" s="18" t="n">
        <v>1.5</v>
      </c>
      <c r="N99" s="18" t="n">
        <v>5.5</v>
      </c>
      <c r="O99" s="18" t="inlineStr">
        <is>
          <t xml:space="preserve">图文 </t>
        </is>
      </c>
      <c r="P99" s="21" t="n">
        <v>0.73</v>
      </c>
      <c r="Q99" s="18" t="n"/>
      <c r="R99" s="18" t="n"/>
      <c r="S99" s="18" t="n"/>
      <c r="T99" s="21" t="n">
        <v>0.17</v>
      </c>
      <c r="U99" s="21" t="n">
        <v>0.25</v>
      </c>
      <c r="V99" s="18" t="n">
        <v>3986</v>
      </c>
      <c r="W99" s="18" t="n">
        <v>390</v>
      </c>
      <c r="X99" s="18" t="n">
        <v>1500</v>
      </c>
      <c r="Y99" s="18">
        <f>X99*1.1</f>
        <v/>
      </c>
      <c r="Z99" s="20">
        <f>Y99/V99</f>
        <v/>
      </c>
      <c r="AA99" s="20">
        <f>Y99/W99</f>
        <v/>
      </c>
      <c r="AB99" s="18" t="n"/>
      <c r="AC99" s="18" t="n"/>
      <c r="AD99" s="18" t="n"/>
      <c r="AE99" s="18" t="n"/>
    </row>
    <row r="100" ht="85.55" customHeight="1" s="151">
      <c r="A100" s="18" t="n"/>
      <c r="B100" s="18" t="n"/>
      <c r="C100" s="17" t="n">
        <v>46085</v>
      </c>
      <c r="D100" s="18" t="inlineStr">
        <is>
          <t>电商</t>
        </is>
      </c>
      <c r="E100" s="18" t="inlineStr">
        <is>
          <t>慢吞吞整理家</t>
        </is>
      </c>
      <c r="F100" s="19" t="n"/>
      <c r="G100" s="19" t="inlineStr">
        <is>
          <t>https://pgy.xiaohongshu.com/solar/pre-trade/blogger-detail/61740316000000000201a47f?track_id=kolMatch_b3070604ce7340b7961df4a2c7add478&amp;source=Advertiser_Kol</t>
        </is>
      </c>
      <c r="H100" s="19" t="inlineStr">
        <is>
          <t>https://www.xiaohongshu.com/user/profile/61740316000000000201a47f</t>
        </is>
      </c>
      <c r="I100" s="118" t="n">
        <v>1198694323</v>
      </c>
      <c r="J100" s="18" t="n"/>
      <c r="K100" s="18" t="inlineStr">
        <is>
          <t>家居家装</t>
        </is>
      </c>
      <c r="L100" s="18" t="inlineStr">
        <is>
          <t>koc</t>
        </is>
      </c>
      <c r="M100" s="18" t="n">
        <v>3.1</v>
      </c>
      <c r="N100" s="18" t="n">
        <v>20.5</v>
      </c>
      <c r="O100" s="18" t="inlineStr">
        <is>
          <t xml:space="preserve">图文 </t>
        </is>
      </c>
      <c r="P100" s="21" t="n">
        <v>0.52</v>
      </c>
      <c r="Q100" s="18" t="n"/>
      <c r="R100" s="18" t="n"/>
      <c r="S100" s="18" t="n"/>
      <c r="T100" s="21" t="n">
        <v>0.16</v>
      </c>
      <c r="U100" s="21" t="n">
        <v>0.23</v>
      </c>
      <c r="V100" s="18" t="n">
        <v>5471</v>
      </c>
      <c r="W100" s="18" t="n">
        <v>307</v>
      </c>
      <c r="X100" s="18" t="n">
        <v>1000</v>
      </c>
      <c r="Y100" s="18">
        <f>X100*1.1</f>
        <v/>
      </c>
      <c r="Z100" s="20">
        <f>Y100/V100</f>
        <v/>
      </c>
      <c r="AA100" s="20">
        <f>Y100/W100</f>
        <v/>
      </c>
      <c r="AB100" s="18" t="n"/>
      <c r="AC100" s="18" t="n"/>
      <c r="AD100" s="18" t="n"/>
      <c r="AE100" s="18" t="n"/>
    </row>
    <row r="101" ht="85.40000000000001" customHeight="1" s="151">
      <c r="A101" s="18" t="n"/>
      <c r="B101" s="18" t="n"/>
      <c r="C101" s="17" t="n">
        <v>46085</v>
      </c>
      <c r="D101" s="18" t="inlineStr">
        <is>
          <t>电商</t>
        </is>
      </c>
      <c r="E101" s="18" t="inlineStr">
        <is>
          <t>惹了咚天</t>
        </is>
      </c>
      <c r="F101" s="19" t="n"/>
      <c r="G101" s="19" t="inlineStr">
        <is>
          <t>https://pgy.xiaohongshu.com/solar/pre-trade/blogger-detail/6784e981000000000801eb1a?track_id=kolMatch_b3070604ce7340b7961df4a2c7add478&amp;source=Advertiser_Kol</t>
        </is>
      </c>
      <c r="H101" s="19" t="inlineStr">
        <is>
          <t>https://www.xiaohongshu.com/user/profile/6784e981000000000801eb1a</t>
        </is>
      </c>
      <c r="I101" s="118" t="n">
        <v>11515685498</v>
      </c>
      <c r="J101" s="18" t="n"/>
      <c r="K101" s="18" t="inlineStr">
        <is>
          <t>家居家装</t>
        </is>
      </c>
      <c r="L101" s="18" t="inlineStr">
        <is>
          <t>koc</t>
        </is>
      </c>
      <c r="M101" s="18" t="n">
        <v>1.2</v>
      </c>
      <c r="N101" s="18" t="n">
        <v>5.8</v>
      </c>
      <c r="O101" s="18" t="inlineStr">
        <is>
          <t xml:space="preserve">图文 </t>
        </is>
      </c>
      <c r="P101" s="21" t="n">
        <v>0.72</v>
      </c>
      <c r="Q101" s="18" t="n"/>
      <c r="R101" s="18" t="n"/>
      <c r="S101" s="18" t="n"/>
      <c r="T101" s="21" t="n">
        <v>0.16</v>
      </c>
      <c r="U101" s="21" t="n">
        <v>0.24</v>
      </c>
      <c r="V101" s="18" t="n">
        <v>1369</v>
      </c>
      <c r="W101" s="18" t="n">
        <v>138</v>
      </c>
      <c r="X101" s="18" t="n">
        <v>1000</v>
      </c>
      <c r="Y101" s="18">
        <f>X101*1.1</f>
        <v/>
      </c>
      <c r="Z101" s="20">
        <f>Y101/V101</f>
        <v/>
      </c>
      <c r="AA101" s="20">
        <f>Y101/W101</f>
        <v/>
      </c>
      <c r="AB101" s="18" t="n"/>
      <c r="AC101" s="18" t="n"/>
      <c r="AD101" s="18" t="n"/>
      <c r="AE101" s="18" t="n"/>
    </row>
    <row r="102" ht="72.7" customHeight="1" s="151">
      <c r="A102" s="18" t="n"/>
      <c r="B102" s="18" t="n"/>
      <c r="C102" s="17" t="n">
        <v>46085</v>
      </c>
      <c r="D102" s="18" t="inlineStr">
        <is>
          <t>电商</t>
        </is>
      </c>
      <c r="E102" s="18" t="inlineStr">
        <is>
          <t>赵可可</t>
        </is>
      </c>
      <c r="F102" s="19" t="n"/>
      <c r="G102" s="19" t="inlineStr">
        <is>
          <t>https://pgy.xiaohongshu.com/solar/pre-trade/blogger-detail/5c77f657000000001601e325?track_id=kolMatch_b3070604ce7340b7961df4a2c7add478&amp;source=Advertiser_Kol</t>
        </is>
      </c>
      <c r="H102" s="19" t="inlineStr">
        <is>
          <t>https://www.xiaohongshu.com/user/profile/5c77f657000000001601e325</t>
        </is>
      </c>
      <c r="I102" s="118" t="inlineStr">
        <is>
          <t>hana1442</t>
        </is>
      </c>
      <c r="J102" s="18" t="n"/>
      <c r="K102" s="18" t="inlineStr">
        <is>
          <t>家居家装</t>
        </is>
      </c>
      <c r="L102" s="18" t="inlineStr">
        <is>
          <t>koc</t>
        </is>
      </c>
      <c r="M102" s="18" t="n">
        <v>0.2</v>
      </c>
      <c r="N102" s="18" t="n">
        <v>4.3</v>
      </c>
      <c r="O102" s="18" t="inlineStr">
        <is>
          <t xml:space="preserve">图文 </t>
        </is>
      </c>
      <c r="P102" s="21" t="n">
        <v>0.89</v>
      </c>
      <c r="Q102" s="18" t="n"/>
      <c r="R102" s="18" t="n"/>
      <c r="S102" s="18" t="n"/>
      <c r="T102" s="21" t="n">
        <v>0.68</v>
      </c>
      <c r="U102" s="21" t="n">
        <v>0.13</v>
      </c>
      <c r="V102" s="18" t="n">
        <v>3979</v>
      </c>
      <c r="W102" s="18" t="n">
        <v>286</v>
      </c>
      <c r="X102" s="18" t="n">
        <v>1200</v>
      </c>
      <c r="Y102" s="18">
        <f>X102*1.1</f>
        <v/>
      </c>
      <c r="Z102" s="20">
        <f>Y102/V102</f>
        <v/>
      </c>
      <c r="AA102" s="20">
        <f>Y102/W102</f>
        <v/>
      </c>
      <c r="AB102" s="18" t="n"/>
      <c r="AC102" s="18" t="n"/>
      <c r="AD102" s="18" t="n"/>
      <c r="AE102" s="18" t="n"/>
    </row>
    <row r="103" ht="84.05" customHeight="1" s="151">
      <c r="A103" s="18" t="n"/>
      <c r="B103" s="18" t="n"/>
      <c r="C103" s="17" t="n">
        <v>46085</v>
      </c>
      <c r="D103" s="18" t="inlineStr">
        <is>
          <t>电商</t>
        </is>
      </c>
      <c r="E103" s="18" t="inlineStr">
        <is>
          <t>静厚</t>
        </is>
      </c>
      <c r="F103" s="19" t="n"/>
      <c r="G103" s="19" t="inlineStr">
        <is>
          <t>https://pgy.xiaohongshu.com/solar/pre-trade/blogger-detail/58a96b1750c4b459fe772475?track_id=kolMatch_b3070604ce7340b7961df4a2c7add478&amp;source=Advertiser_Kol</t>
        </is>
      </c>
      <c r="H103" s="19" t="inlineStr">
        <is>
          <t>https://www.xiaohongshu.com/user/profile/58a96b1750c4b459fe772475</t>
        </is>
      </c>
      <c r="I103" s="118" t="n">
        <v>949304167</v>
      </c>
      <c r="J103" s="18" t="n"/>
      <c r="K103" s="18" t="inlineStr">
        <is>
          <t>家居家装</t>
        </is>
      </c>
      <c r="L103" s="18" t="inlineStr">
        <is>
          <t>koc</t>
        </is>
      </c>
      <c r="M103" s="18" t="n">
        <v>0.6</v>
      </c>
      <c r="N103" s="18" t="n">
        <v>6.7</v>
      </c>
      <c r="O103" s="18" t="inlineStr">
        <is>
          <t xml:space="preserve">图文 </t>
        </is>
      </c>
      <c r="P103" s="21" t="n">
        <v>0.88</v>
      </c>
      <c r="Q103" s="18" t="n"/>
      <c r="R103" s="18" t="n"/>
      <c r="S103" s="18" t="n"/>
      <c r="T103" s="21" t="n">
        <v>0.5</v>
      </c>
      <c r="U103" s="21" t="n">
        <v>0.21</v>
      </c>
      <c r="V103" s="18" t="n">
        <v>3950</v>
      </c>
      <c r="W103" s="18" t="n">
        <v>191</v>
      </c>
      <c r="X103" s="18" t="n">
        <v>1200</v>
      </c>
      <c r="Y103" s="18">
        <f>X103*1.1</f>
        <v/>
      </c>
      <c r="Z103" s="20">
        <f>Y103/V103</f>
        <v/>
      </c>
      <c r="AA103" s="20">
        <f>Y103/W103</f>
        <v/>
      </c>
      <c r="AB103" s="18" t="n"/>
      <c r="AC103" s="18" t="n"/>
      <c r="AD103" s="18" t="n"/>
      <c r="AE103" s="18" t="n"/>
    </row>
    <row r="104" ht="80.05" customHeight="1" s="151">
      <c r="A104" s="18" t="n"/>
      <c r="B104" s="18" t="n"/>
      <c r="C104" s="17" t="n">
        <v>46085</v>
      </c>
      <c r="D104" s="18" t="inlineStr">
        <is>
          <t>电商</t>
        </is>
      </c>
      <c r="E104" s="18" t="inlineStr">
        <is>
          <t>李三碗的小家</t>
        </is>
      </c>
      <c r="F104" s="19" t="n"/>
      <c r="G104" s="19" t="inlineStr">
        <is>
          <t>https://pgy.xiaohongshu.com/solar/pre-trade/blogger-detail/666a4cb3000000000303290a?track_id=kolMatch_b3070604ce7340b7961df4a2c7add478&amp;source=Advertiser_Kol</t>
        </is>
      </c>
      <c r="H104" s="19" t="inlineStr">
        <is>
          <t>https://www.xiaohongshu.com/user/profile/666a4cb3000000000303290a</t>
        </is>
      </c>
      <c r="I104" s="118" t="n">
        <v>95672915161</v>
      </c>
      <c r="J104" s="18" t="n"/>
      <c r="K104" s="18" t="inlineStr">
        <is>
          <t>家居家装</t>
        </is>
      </c>
      <c r="L104" s="18" t="inlineStr">
        <is>
          <t>koc</t>
        </is>
      </c>
      <c r="M104" s="18" t="n">
        <v>0.3</v>
      </c>
      <c r="N104" s="18" t="n">
        <v>2.8</v>
      </c>
      <c r="O104" s="18" t="inlineStr">
        <is>
          <t xml:space="preserve">图文 </t>
        </is>
      </c>
      <c r="P104" s="21" t="n">
        <v>0.75</v>
      </c>
      <c r="Q104" s="18" t="n"/>
      <c r="R104" s="18" t="n"/>
      <c r="S104" s="18" t="n"/>
      <c r="T104" s="21" t="n">
        <v>0.2</v>
      </c>
      <c r="U104" s="21" t="n">
        <v>0.26</v>
      </c>
      <c r="V104" s="18" t="n">
        <v>1835</v>
      </c>
      <c r="W104" s="18" t="n">
        <v>187</v>
      </c>
      <c r="X104" s="18" t="n">
        <v>500</v>
      </c>
      <c r="Y104" s="18">
        <f>X104*1.1</f>
        <v/>
      </c>
      <c r="Z104" s="20">
        <f>Y104/V104</f>
        <v/>
      </c>
      <c r="AA104" s="20">
        <f>Y104/W104</f>
        <v/>
      </c>
      <c r="AB104" s="18" t="n"/>
      <c r="AC104" s="18" t="n"/>
      <c r="AD104" s="18" t="n"/>
      <c r="AE104" s="18" t="n"/>
    </row>
    <row r="105" ht="98.59999999999999" customHeight="1" s="151">
      <c r="A105" s="18" t="n"/>
      <c r="B105" s="18" t="n"/>
      <c r="C105" s="17" t="n">
        <v>46085</v>
      </c>
      <c r="D105" s="18" t="inlineStr">
        <is>
          <t>电商</t>
        </is>
      </c>
      <c r="E105" s="18" t="inlineStr">
        <is>
          <t>小麦的家居生活</t>
        </is>
      </c>
      <c r="F105" s="19" t="n"/>
      <c r="G105" s="19" t="inlineStr">
        <is>
          <t>https://pgy.xiaohongshu.com/solar/pre-trade/blogger-detail/5ded0479000000000100633a?track_id=kolMatch_ec078e3113554f988acfa97112146279&amp;source=Advertiser_Kol</t>
        </is>
      </c>
      <c r="H105" s="19" t="inlineStr">
        <is>
          <t>https://www.xiaohongshu.com/user/profile/5ded0479000000000100633a</t>
        </is>
      </c>
      <c r="I105" s="118" t="n">
        <v>669390166</v>
      </c>
      <c r="J105" s="18" t="n"/>
      <c r="K105" s="18" t="inlineStr">
        <is>
          <t>家居家装</t>
        </is>
      </c>
      <c r="L105" s="18" t="inlineStr">
        <is>
          <t>koc</t>
        </is>
      </c>
      <c r="M105" s="18" t="n">
        <v>1.5</v>
      </c>
      <c r="N105" s="18" t="n">
        <v>9.4</v>
      </c>
      <c r="O105" s="18" t="inlineStr">
        <is>
          <t xml:space="preserve">图文 </t>
        </is>
      </c>
      <c r="P105" s="21" t="n">
        <v>0.73</v>
      </c>
      <c r="Q105" s="18" t="n"/>
      <c r="R105" s="18" t="n"/>
      <c r="S105" s="18" t="n"/>
      <c r="T105" s="21" t="n">
        <v>0.27</v>
      </c>
      <c r="U105" s="21" t="n">
        <v>0.27</v>
      </c>
      <c r="V105" s="18" t="n">
        <v>3638</v>
      </c>
      <c r="W105" s="18" t="n">
        <v>214</v>
      </c>
      <c r="X105" s="18" t="n">
        <v>1500</v>
      </c>
      <c r="Y105" s="18">
        <f>X105*1.1</f>
        <v/>
      </c>
      <c r="Z105" s="20">
        <f>Y105/V105</f>
        <v/>
      </c>
      <c r="AA105" s="20">
        <f>Y105/W105</f>
        <v/>
      </c>
      <c r="AB105" s="18" t="n"/>
      <c r="AC105" s="18" t="n"/>
      <c r="AD105" s="18" t="n"/>
      <c r="AE105" s="18" t="n"/>
    </row>
    <row r="106" ht="89.09999999999999" customHeight="1" s="151">
      <c r="A106" s="18" t="n"/>
      <c r="B106" s="18" t="n"/>
      <c r="C106" s="17" t="n">
        <v>46085</v>
      </c>
      <c r="D106" s="18" t="inlineStr">
        <is>
          <t>电商</t>
        </is>
      </c>
      <c r="E106" s="18" t="inlineStr">
        <is>
          <t>小芙蝶</t>
        </is>
      </c>
      <c r="F106" s="19" t="n"/>
      <c r="G106" s="19" t="inlineStr">
        <is>
          <t>https://pgy.xiaohongshu.com/solar/pre-trade/blogger-detail/675e3238000000001403369d?track_id=kolMatch_ec078e3113554f988acfa97112146279&amp;source=Advertiser_Kol</t>
        </is>
      </c>
      <c r="H106" s="19" t="inlineStr">
        <is>
          <t>https://www.xiaohongshu.com/user/profile/675e3238000000001403369d</t>
        </is>
      </c>
      <c r="I106" s="118" t="n">
        <v>26292891895</v>
      </c>
      <c r="J106" s="18" t="n"/>
      <c r="K106" s="18" t="inlineStr">
        <is>
          <t>家居家装</t>
        </is>
      </c>
      <c r="L106" s="18" t="inlineStr">
        <is>
          <t>koc</t>
        </is>
      </c>
      <c r="M106" s="18" t="n">
        <v>2</v>
      </c>
      <c r="N106" s="18" t="n">
        <v>22.3</v>
      </c>
      <c r="O106" s="18" t="inlineStr">
        <is>
          <t xml:space="preserve">图文 </t>
        </is>
      </c>
      <c r="P106" s="21" t="n">
        <v>0.7</v>
      </c>
      <c r="Q106" s="18" t="n"/>
      <c r="R106" s="18" t="n"/>
      <c r="S106" s="18" t="n"/>
      <c r="T106" s="21" t="n">
        <v>0.18</v>
      </c>
      <c r="U106" s="21" t="n">
        <v>0.26</v>
      </c>
      <c r="V106" s="18" t="n">
        <v>28027</v>
      </c>
      <c r="W106" s="18" t="n">
        <v>237</v>
      </c>
      <c r="X106" s="18" t="n">
        <v>1000</v>
      </c>
      <c r="Y106" s="18">
        <f>X106*1.1</f>
        <v/>
      </c>
      <c r="Z106" s="20">
        <f>Y106/V106</f>
        <v/>
      </c>
      <c r="AA106" s="20">
        <f>Y106/W106</f>
        <v/>
      </c>
      <c r="AB106" s="18" t="n"/>
      <c r="AC106" s="18" t="n"/>
      <c r="AD106" s="18" t="n"/>
      <c r="AE106" s="18" t="n"/>
    </row>
    <row r="107" ht="96.25" customHeight="1" s="151">
      <c r="A107" s="18" t="n"/>
      <c r="B107" s="18" t="n"/>
      <c r="C107" s="17" t="n">
        <v>46085</v>
      </c>
      <c r="D107" s="18" t="inlineStr">
        <is>
          <t>电商</t>
        </is>
      </c>
      <c r="E107" s="18" t="inlineStr">
        <is>
          <t>安然同学的小窝儿～</t>
        </is>
      </c>
      <c r="F107" s="19" t="n"/>
      <c r="G107" s="19" t="inlineStr">
        <is>
          <t>https://pgy.xiaohongshu.com/solar/pre-trade/blogger-detail/66efd32a000000001d023f23?track_id=kolMatch_ec078e3113554f988acfa97112146279&amp;source=Advertiser_Kol</t>
        </is>
      </c>
      <c r="H107" s="19" t="inlineStr">
        <is>
          <t>https://www.xiaohongshu.com/user/profile/66efd32a000000001d023f23</t>
        </is>
      </c>
      <c r="I107" s="18" t="n">
        <v>94147352358</v>
      </c>
      <c r="J107" s="18" t="n"/>
      <c r="K107" s="18" t="inlineStr">
        <is>
          <t>家居家装</t>
        </is>
      </c>
      <c r="L107" s="18" t="inlineStr">
        <is>
          <t>koc</t>
        </is>
      </c>
      <c r="M107" s="18" t="n">
        <v>1.4</v>
      </c>
      <c r="N107" s="18" t="n">
        <v>4.7</v>
      </c>
      <c r="O107" s="18" t="inlineStr">
        <is>
          <t xml:space="preserve">图文 </t>
        </is>
      </c>
      <c r="P107" s="21" t="n">
        <v>0.71</v>
      </c>
      <c r="Q107" s="18" t="n"/>
      <c r="R107" s="18" t="n"/>
      <c r="S107" s="18" t="n"/>
      <c r="T107" s="21" t="n">
        <v>0.17</v>
      </c>
      <c r="U107" s="21" t="n">
        <v>0.29</v>
      </c>
      <c r="V107" s="18" t="n">
        <v>23325</v>
      </c>
      <c r="W107" s="18" t="n">
        <v>242</v>
      </c>
      <c r="X107" s="18" t="n">
        <v>1500</v>
      </c>
      <c r="Y107" s="18">
        <f>X107*1.1</f>
        <v/>
      </c>
      <c r="Z107" s="20">
        <f>Y107/V107</f>
        <v/>
      </c>
      <c r="AA107" s="20">
        <f>Y107/W107</f>
        <v/>
      </c>
      <c r="AB107" s="18" t="n"/>
      <c r="AC107" s="18" t="n"/>
      <c r="AD107" s="18" t="n"/>
      <c r="AE107" s="18" t="n"/>
    </row>
    <row r="108" ht="76.05" customHeight="1" s="151">
      <c r="A108" s="18" t="n"/>
      <c r="B108" s="18" t="n"/>
      <c r="C108" s="17" t="n">
        <v>46085</v>
      </c>
      <c r="D108" s="18" t="inlineStr">
        <is>
          <t>电商</t>
        </is>
      </c>
      <c r="E108" s="18" t="inlineStr">
        <is>
          <t>hello六一</t>
        </is>
      </c>
      <c r="F108" s="19" t="n"/>
      <c r="G108" s="19" t="inlineStr">
        <is>
          <t>https://pgy.xiaohongshu.com/solar/pre-trade/blogger-detail/606a6d48000000000101e119?track_id=kolMatch_ec078e3113554f988acfa97112146279&amp;source=Advertiser_Kol</t>
        </is>
      </c>
      <c r="H108" s="19" t="inlineStr">
        <is>
          <t>https://www.xiaohongshu.com/user/profile/606a6d48000000000101e119</t>
        </is>
      </c>
      <c r="I108" s="18" t="n">
        <v>95629254304</v>
      </c>
      <c r="J108" s="18" t="n"/>
      <c r="K108" s="18" t="inlineStr">
        <is>
          <t>家居家装</t>
        </is>
      </c>
      <c r="L108" s="18" t="inlineStr">
        <is>
          <t>koc</t>
        </is>
      </c>
      <c r="M108" s="18" t="n">
        <v>0.7</v>
      </c>
      <c r="N108" s="18" t="n">
        <v>4.8</v>
      </c>
      <c r="O108" s="18" t="inlineStr">
        <is>
          <t xml:space="preserve">图文 </t>
        </is>
      </c>
      <c r="P108" s="21" t="n">
        <v>0.79</v>
      </c>
      <c r="Q108" s="18" t="n"/>
      <c r="R108" s="18" t="n"/>
      <c r="S108" s="18" t="n"/>
      <c r="T108" s="21" t="n">
        <v>0.18</v>
      </c>
      <c r="U108" s="21" t="n">
        <v>0.28</v>
      </c>
      <c r="V108" s="18" t="n">
        <v>5041</v>
      </c>
      <c r="W108" s="18" t="n">
        <v>271</v>
      </c>
      <c r="X108" s="18" t="n">
        <v>800</v>
      </c>
      <c r="Y108" s="18">
        <f>X108*1.1</f>
        <v/>
      </c>
      <c r="Z108" s="20">
        <f>Y108/V108</f>
        <v/>
      </c>
      <c r="AA108" s="20">
        <f>Y108/W108</f>
        <v/>
      </c>
      <c r="AB108" s="18" t="n"/>
      <c r="AC108" s="18" t="n"/>
      <c r="AD108" s="18" t="n"/>
      <c r="AE108" s="18" t="n"/>
    </row>
    <row r="109">
      <c r="A109" s="18" t="n"/>
      <c r="B109" s="18" t="n"/>
      <c r="C109" s="18" t="n"/>
      <c r="D109" s="32" t="n"/>
      <c r="E109" s="18" t="n"/>
      <c r="F109" s="19" t="n"/>
      <c r="G109" s="19" t="n"/>
      <c r="H109" s="19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20" t="n"/>
      <c r="AA109" s="20" t="n"/>
      <c r="AB109" s="18" t="n"/>
      <c r="AC109" s="18" t="n"/>
      <c r="AD109" s="18" t="n"/>
      <c r="AE109" s="18" t="n"/>
    </row>
    <row r="110" ht="90.7" customHeight="1" s="151">
      <c r="A110" s="18" t="n"/>
      <c r="B110" s="18" t="n"/>
      <c r="C110" s="17" t="n">
        <v>46086</v>
      </c>
      <c r="D110" s="18" t="inlineStr">
        <is>
          <t>电商</t>
        </is>
      </c>
      <c r="E110" s="18" t="inlineStr">
        <is>
          <t>饭山山的家</t>
        </is>
      </c>
      <c r="F110" s="19" t="n"/>
      <c r="G110" s="19" t="inlineStr">
        <is>
          <t>https://pgy.xiaohongshu.com/solar/pre-trade/blogger-detail/636271e7000000001f014332?track_id=kolMatch_504f29801f1d4fd49e73d637254ba926&amp;source=Advertiser_Kol</t>
        </is>
      </c>
      <c r="H110" s="19" t="inlineStr">
        <is>
          <t>https://www.xiaohongshu.com/user/profile/636271e7000000001f014332</t>
        </is>
      </c>
      <c r="I110" s="118" t="n">
        <v>5346878927</v>
      </c>
      <c r="J110" s="18" t="n"/>
      <c r="K110" s="18" t="inlineStr">
        <is>
          <t>家居家装</t>
        </is>
      </c>
      <c r="L110" s="18" t="inlineStr">
        <is>
          <t>koc</t>
        </is>
      </c>
      <c r="M110" s="18" t="n">
        <v>0.4</v>
      </c>
      <c r="N110" s="18" t="n">
        <v>4.1</v>
      </c>
      <c r="O110" s="18" t="inlineStr">
        <is>
          <t xml:space="preserve">图文 </t>
        </is>
      </c>
      <c r="P110" s="21" t="n">
        <v>0.93</v>
      </c>
      <c r="Q110" s="18" t="n"/>
      <c r="R110" s="18" t="n"/>
      <c r="S110" s="18" t="n"/>
      <c r="T110" s="21" t="n">
        <v>0.47</v>
      </c>
      <c r="U110" s="21" t="n">
        <v>0.25</v>
      </c>
      <c r="V110" s="18" t="n">
        <v>5565</v>
      </c>
      <c r="W110" s="18" t="n">
        <v>450</v>
      </c>
      <c r="X110" s="18" t="n">
        <v>1200</v>
      </c>
      <c r="Y110" s="18">
        <f>X110*1.1</f>
        <v/>
      </c>
      <c r="Z110" s="20">
        <f>Y110/V110</f>
        <v/>
      </c>
      <c r="AA110" s="20">
        <f>Y110/W110</f>
        <v/>
      </c>
      <c r="AB110" s="18" t="n"/>
      <c r="AC110" s="18" t="n"/>
      <c r="AD110" s="18" t="n"/>
      <c r="AE110" s="18" t="n"/>
    </row>
    <row r="111" ht="85.34999999999999" customHeight="1" s="151">
      <c r="A111" s="18" t="n"/>
      <c r="B111" s="18" t="n"/>
      <c r="C111" s="17" t="n">
        <v>46086</v>
      </c>
      <c r="D111" s="18" t="inlineStr">
        <is>
          <t>电商</t>
        </is>
      </c>
      <c r="E111" s="18" t="inlineStr">
        <is>
          <t>言言酱home</t>
        </is>
      </c>
      <c r="F111" s="19" t="n"/>
      <c r="G111" s="19" t="inlineStr">
        <is>
          <t>https://pgy.xiaohongshu.com/solar/pre-trade/blogger-detail/616156290000000002024ed3?track_id=kolMatch_504f29801f1d4fd49e73d637254ba926&amp;source=Advertiser_Kol</t>
        </is>
      </c>
      <c r="H111" s="19" t="inlineStr">
        <is>
          <t>https://www.xiaohongshu.com/user/profile/616156290000000002024ed3</t>
        </is>
      </c>
      <c r="I111" s="118" t="inlineStr">
        <is>
          <t>88080131a</t>
        </is>
      </c>
      <c r="J111" s="18" t="n"/>
      <c r="K111" s="18" t="inlineStr">
        <is>
          <t>家居家装</t>
        </is>
      </c>
      <c r="L111" s="18" t="inlineStr">
        <is>
          <t>koc</t>
        </is>
      </c>
      <c r="M111" s="18" t="n">
        <v>1.6</v>
      </c>
      <c r="N111" s="18" t="n">
        <v>11.1</v>
      </c>
      <c r="O111" s="18" t="inlineStr">
        <is>
          <t xml:space="preserve">图文 </t>
        </is>
      </c>
      <c r="P111" s="35" t="n">
        <v>0.3653</v>
      </c>
      <c r="Q111" s="18" t="n"/>
      <c r="R111" s="18" t="n"/>
      <c r="S111" s="18" t="n"/>
      <c r="T111" s="21" t="n">
        <v>0.19</v>
      </c>
      <c r="U111" s="21" t="n">
        <v>0.26</v>
      </c>
      <c r="V111" s="18" t="n">
        <v>4112</v>
      </c>
      <c r="W111" s="18" t="n">
        <v>412</v>
      </c>
      <c r="X111" s="18" t="n">
        <v>2000</v>
      </c>
      <c r="Y111" s="18">
        <f>X111*1.1</f>
        <v/>
      </c>
      <c r="Z111" s="20">
        <f>Y111/V111</f>
        <v/>
      </c>
      <c r="AA111" s="20">
        <f>Y111/W111</f>
        <v/>
      </c>
      <c r="AB111" s="18" t="n"/>
      <c r="AC111" s="18" t="n"/>
      <c r="AD111" s="18" t="n"/>
      <c r="AE111" s="18" t="n"/>
    </row>
    <row r="112" ht="88.5" customHeight="1" s="151">
      <c r="A112" s="18" t="n"/>
      <c r="B112" s="18" t="n"/>
      <c r="C112" s="17" t="n">
        <v>46086</v>
      </c>
      <c r="D112" s="18" t="inlineStr">
        <is>
          <t>电商</t>
        </is>
      </c>
      <c r="E112" s="18" t="inlineStr">
        <is>
          <t>一颗樱桃🍒_cherry</t>
        </is>
      </c>
      <c r="F112" s="19" t="n"/>
      <c r="G112" s="19" t="inlineStr">
        <is>
          <t>https://pgy.xiaohongshu.com/solar/pre-trade/blogger-detail/5fd2cc8d000000000101d0ac?track_id=kolMatch_504f29801f1d4fd49e73d637254ba926&amp;source=Advertiser_Kol</t>
        </is>
      </c>
      <c r="H112" s="19" t="inlineStr">
        <is>
          <t>https://www.xiaohongshu.com/user/profile/5fd2cc8d000000000101d0ac</t>
        </is>
      </c>
      <c r="I112" s="118" t="inlineStr">
        <is>
          <t>Cherry_20190820</t>
        </is>
      </c>
      <c r="J112" s="18" t="n"/>
      <c r="K112" s="18" t="inlineStr">
        <is>
          <t>家居家装</t>
        </is>
      </c>
      <c r="L112" s="18" t="inlineStr">
        <is>
          <t>koc</t>
        </is>
      </c>
      <c r="M112" s="18" t="n">
        <v>1.9</v>
      </c>
      <c r="N112" s="18" t="n">
        <v>15.5</v>
      </c>
      <c r="O112" s="18" t="inlineStr">
        <is>
          <t xml:space="preserve">图文 </t>
        </is>
      </c>
      <c r="P112" s="21" t="n">
        <v>0.85</v>
      </c>
      <c r="Q112" s="18" t="n"/>
      <c r="R112" s="18" t="n"/>
      <c r="S112" s="18" t="n"/>
      <c r="T112" s="21" t="n">
        <v>0.32</v>
      </c>
      <c r="U112" s="21" t="n">
        <v>0.27</v>
      </c>
      <c r="V112" s="18" t="n">
        <v>5459</v>
      </c>
      <c r="W112" s="18" t="n">
        <v>209</v>
      </c>
      <c r="X112" s="18" t="n">
        <v>1950</v>
      </c>
      <c r="Y112" s="18">
        <f>X112*1.1</f>
        <v/>
      </c>
      <c r="Z112" s="20">
        <f>Y112/V112</f>
        <v/>
      </c>
      <c r="AA112" s="20">
        <f>Y112/W112</f>
        <v/>
      </c>
      <c r="AB112" s="18" t="n"/>
      <c r="AC112" s="18" t="n"/>
      <c r="AD112" s="18" t="n"/>
      <c r="AE112" s="18" t="n"/>
    </row>
    <row r="113" ht="85.34999999999999" customHeight="1" s="151">
      <c r="A113" s="18" t="n"/>
      <c r="B113" s="18" t="n"/>
      <c r="C113" s="17" t="n">
        <v>46086</v>
      </c>
      <c r="D113" s="18" t="inlineStr">
        <is>
          <t>电商</t>
        </is>
      </c>
      <c r="E113" s="18" t="inlineStr">
        <is>
          <t>懒阳阳不懒</t>
        </is>
      </c>
      <c r="F113" s="19" t="n"/>
      <c r="G113" s="19" t="inlineStr">
        <is>
          <t>https://pgy.xiaohongshu.com/solar/pre-trade/blogger-detail/647ed9ca0000000012034ddb?track_id=kolMatch_504f29801f1d4fd49e73d637254ba926&amp;source=Advertiser_Kol</t>
        </is>
      </c>
      <c r="H113" s="19" t="inlineStr">
        <is>
          <t>https://www.xiaohongshu.com/user/profile/647ed9ca0000000012034ddb</t>
        </is>
      </c>
      <c r="I113" s="118" t="n">
        <v>8978521651</v>
      </c>
      <c r="J113" s="18" t="n"/>
      <c r="K113" s="18" t="inlineStr">
        <is>
          <t>家居家装</t>
        </is>
      </c>
      <c r="L113" s="18" t="inlineStr">
        <is>
          <t>koc</t>
        </is>
      </c>
      <c r="M113" s="18" t="n">
        <v>0.3</v>
      </c>
      <c r="N113" s="18" t="n">
        <v>3.7</v>
      </c>
      <c r="O113" s="18" t="inlineStr">
        <is>
          <t xml:space="preserve">图文 </t>
        </is>
      </c>
      <c r="P113" s="21" t="n">
        <v>0.79</v>
      </c>
      <c r="Q113" s="18" t="n"/>
      <c r="R113" s="18" t="n"/>
      <c r="S113" s="18" t="n"/>
      <c r="T113" s="21" t="n">
        <v>0.51</v>
      </c>
      <c r="U113" s="21" t="n">
        <v>0.22</v>
      </c>
      <c r="V113" s="18" t="n">
        <v>5827</v>
      </c>
      <c r="W113" s="18" t="n">
        <v>295</v>
      </c>
      <c r="X113" s="18" t="n">
        <v>1800</v>
      </c>
      <c r="Y113" s="18">
        <f>X113*1.1</f>
        <v/>
      </c>
      <c r="Z113" s="20">
        <f>Y113/V113</f>
        <v/>
      </c>
      <c r="AA113" s="20">
        <f>Y113/W113</f>
        <v/>
      </c>
      <c r="AB113" s="18" t="n"/>
      <c r="AC113" s="18" t="n"/>
      <c r="AD113" s="18" t="n"/>
      <c r="AE113" s="18" t="n"/>
    </row>
    <row r="114" ht="97.45" customHeight="1" s="151">
      <c r="A114" s="18" t="n"/>
      <c r="B114" s="18" t="n"/>
      <c r="C114" s="17" t="n">
        <v>46086</v>
      </c>
      <c r="D114" s="18" t="inlineStr">
        <is>
          <t>电商</t>
        </is>
      </c>
      <c r="E114" s="18" t="inlineStr">
        <is>
          <t>渡言的家</t>
        </is>
      </c>
      <c r="F114" s="19" t="n"/>
      <c r="G114" s="19" t="inlineStr">
        <is>
          <t>https://pgy.xiaohongshu.com/solar/pre-trade/blogger-detail/58ff1e245e87e7751b93c38d?track_id=kolMatch_504f29801f1d4fd49e73d637254ba926&amp;source=Advertiser_Kol</t>
        </is>
      </c>
      <c r="H114" s="19" t="inlineStr">
        <is>
          <t>https://www.xiaohongshu.com/user/profile/58ff1e245e87e7751b93c38d</t>
        </is>
      </c>
      <c r="I114" s="118" t="inlineStr">
        <is>
          <t>duyan0268</t>
        </is>
      </c>
      <c r="J114" s="18" t="n"/>
      <c r="K114" s="18" t="inlineStr">
        <is>
          <t>家居家装</t>
        </is>
      </c>
      <c r="L114" s="18" t="inlineStr">
        <is>
          <t>koc</t>
        </is>
      </c>
      <c r="M114" s="18" t="n">
        <v>3.2</v>
      </c>
      <c r="N114" s="18" t="n">
        <v>33.8</v>
      </c>
      <c r="O114" s="18" t="inlineStr">
        <is>
          <t xml:space="preserve">图文 </t>
        </is>
      </c>
      <c r="P114" s="21" t="n">
        <v>0.83</v>
      </c>
      <c r="Q114" s="18" t="n"/>
      <c r="R114" s="18" t="n"/>
      <c r="S114" s="18" t="n"/>
      <c r="T114" s="21" t="n">
        <v>0.57</v>
      </c>
      <c r="U114" s="21" t="n">
        <v>0.22</v>
      </c>
      <c r="V114" s="18" t="n">
        <v>6550</v>
      </c>
      <c r="W114" s="18" t="n">
        <v>328</v>
      </c>
      <c r="X114" s="18" t="n">
        <v>2000</v>
      </c>
      <c r="Y114" s="18">
        <f>X114*1.1</f>
        <v/>
      </c>
      <c r="Z114" s="20">
        <f>Y114/V114</f>
        <v/>
      </c>
      <c r="AA114" s="20">
        <f>Y114/W114</f>
        <v/>
      </c>
      <c r="AB114" s="18" t="n"/>
      <c r="AC114" s="18" t="n"/>
      <c r="AD114" s="18" t="n"/>
      <c r="AE114" s="18" t="n"/>
    </row>
    <row r="115" ht="107.4" customHeight="1" s="151">
      <c r="A115" s="18" t="n"/>
      <c r="B115" s="18" t="n"/>
      <c r="C115" s="17" t="n">
        <v>46086</v>
      </c>
      <c r="D115" s="18" t="inlineStr">
        <is>
          <t>电商</t>
        </is>
      </c>
      <c r="E115" s="18" t="inlineStr">
        <is>
          <t>波兮聊家居</t>
        </is>
      </c>
      <c r="F115" s="19" t="n"/>
      <c r="G115" s="19" t="inlineStr">
        <is>
          <t>https://pgy.xiaohongshu.com/solar/pre-trade/blogger-detail/64b7709c000000001403ede7?track_id=kolMatch_2f2985a15fe94142897124decaed1ddb&amp;source=Advertiser_Kol</t>
        </is>
      </c>
      <c r="H115" s="19" t="inlineStr">
        <is>
          <t>https://www.xiaohongshu.com/user/profile/64b7709c000000001403ede7</t>
        </is>
      </c>
      <c r="I115" s="118" t="n">
        <v>8921975182</v>
      </c>
      <c r="J115" s="18" t="n"/>
      <c r="K115" s="18" t="inlineStr">
        <is>
          <t>家居家装</t>
        </is>
      </c>
      <c r="L115" s="18" t="inlineStr">
        <is>
          <t>koc</t>
        </is>
      </c>
      <c r="M115" s="18" t="n">
        <v>2.7</v>
      </c>
      <c r="N115" s="18" t="n">
        <v>20.6</v>
      </c>
      <c r="O115" s="18" t="inlineStr">
        <is>
          <t>视频</t>
        </is>
      </c>
      <c r="P115" s="21" t="n">
        <v>0.77</v>
      </c>
      <c r="Q115" s="18" t="n"/>
      <c r="R115" s="18" t="n"/>
      <c r="S115" s="18" t="n"/>
      <c r="T115" s="21" t="n">
        <v>0.17</v>
      </c>
      <c r="U115" s="21" t="n">
        <v>0.3</v>
      </c>
      <c r="V115" s="18" t="n">
        <v>5484</v>
      </c>
      <c r="W115" s="18" t="n">
        <v>669</v>
      </c>
      <c r="X115" s="18" t="n">
        <v>2500</v>
      </c>
      <c r="Y115" s="18">
        <f>X115*1.1</f>
        <v/>
      </c>
      <c r="Z115" s="20">
        <f>Y115/V115</f>
        <v/>
      </c>
      <c r="AA115" s="20">
        <f>Y115/W115</f>
        <v/>
      </c>
      <c r="AB115" s="18" t="n"/>
      <c r="AC115" s="18" t="n"/>
      <c r="AD115" s="18" t="n"/>
      <c r="AE115" s="18" t="n"/>
    </row>
    <row r="116" ht="94.05" customHeight="1" s="151">
      <c r="A116" s="18" t="n"/>
      <c r="B116" s="18" t="n"/>
      <c r="C116" s="17" t="n">
        <v>46086</v>
      </c>
      <c r="D116" s="18" t="inlineStr">
        <is>
          <t>电商</t>
        </is>
      </c>
      <c r="E116" s="18" t="inlineStr">
        <is>
          <t>南瓜的日记簿</t>
        </is>
      </c>
      <c r="F116" s="19" t="n"/>
      <c r="G116" s="19" t="inlineStr">
        <is>
          <t>https://pgy.xiaohongshu.com/solar/pre-trade/blogger-detail/5bbd506d4eacab39786f37f7?track_id=kolMatch_2f2985a15fe94142897124decaed1ddb&amp;source=Advertiser_Kol</t>
        </is>
      </c>
      <c r="H116" s="19" t="inlineStr">
        <is>
          <t>https://www.xiaohongshu.com/user/profile/5bbd506d4eacab39786f37f7</t>
        </is>
      </c>
      <c r="I116" s="118" t="n">
        <v>567324571</v>
      </c>
      <c r="J116" s="18" t="n"/>
      <c r="K116" s="18" t="inlineStr">
        <is>
          <t>家居家装</t>
        </is>
      </c>
      <c r="L116" s="18" t="inlineStr">
        <is>
          <t>koc</t>
        </is>
      </c>
      <c r="M116" s="18" t="n">
        <v>0.6</v>
      </c>
      <c r="N116" s="18" t="n">
        <v>8.6</v>
      </c>
      <c r="O116" s="18" t="inlineStr">
        <is>
          <t xml:space="preserve">图文 </t>
        </is>
      </c>
      <c r="P116" s="21" t="n">
        <v>0.68</v>
      </c>
      <c r="Q116" s="18" t="n"/>
      <c r="R116" s="18" t="n"/>
      <c r="S116" s="18" t="n"/>
      <c r="T116" s="21" t="n">
        <v>0.59</v>
      </c>
      <c r="U116" s="21" t="n">
        <v>0.17</v>
      </c>
      <c r="V116" s="18" t="n">
        <v>7482</v>
      </c>
      <c r="W116" s="18" t="n">
        <v>877</v>
      </c>
      <c r="X116" s="18" t="n">
        <v>1299</v>
      </c>
      <c r="Y116" s="18">
        <f>X116*1.1</f>
        <v/>
      </c>
      <c r="Z116" s="20">
        <f>Y116/V116</f>
        <v/>
      </c>
      <c r="AA116" s="20">
        <f>Y116/W116</f>
        <v/>
      </c>
      <c r="AB116" s="18" t="n"/>
      <c r="AC116" s="18" t="n"/>
      <c r="AD116" s="18" t="n"/>
      <c r="AE116" s="18" t="n"/>
    </row>
    <row r="117" ht="74.45" customHeight="1" s="151">
      <c r="A117" s="18" t="n"/>
      <c r="B117" s="18" t="n"/>
      <c r="C117" s="17" t="n">
        <v>46086</v>
      </c>
      <c r="D117" s="18" t="inlineStr">
        <is>
          <t>电商</t>
        </is>
      </c>
      <c r="E117" s="18" t="inlineStr">
        <is>
          <t>大亦的家</t>
        </is>
      </c>
      <c r="F117" s="19" t="n"/>
      <c r="G117" s="19" t="inlineStr">
        <is>
          <t>https://pgy.xiaohongshu.com/solar/pre-trade/blogger-detail/5f6314bb00000000010033dd?track_id=kolMatch_10b121357444437a981800edffa8bcba&amp;source=Advertiser_Kol</t>
        </is>
      </c>
      <c r="H117" s="19" t="inlineStr">
        <is>
          <t>https://www.xiaohongshu.com/user/profile/5f6314bb00000000010033dd</t>
        </is>
      </c>
      <c r="I117" s="118" t="n">
        <v>857365835</v>
      </c>
      <c r="J117" s="18" t="n"/>
      <c r="K117" s="18" t="inlineStr">
        <is>
          <t>家居家装</t>
        </is>
      </c>
      <c r="L117" s="18" t="inlineStr">
        <is>
          <t>koc</t>
        </is>
      </c>
      <c r="M117" s="18" t="n">
        <v>1.6</v>
      </c>
      <c r="N117" s="18" t="n">
        <v>16.9</v>
      </c>
      <c r="O117" s="18" t="inlineStr">
        <is>
          <t xml:space="preserve">图文 </t>
        </is>
      </c>
      <c r="P117" s="21" t="n">
        <v>0.77</v>
      </c>
      <c r="Q117" s="18" t="n"/>
      <c r="R117" s="18" t="n"/>
      <c r="S117" s="18" t="n"/>
      <c r="T117" s="21" t="n">
        <v>0.46</v>
      </c>
      <c r="U117" s="21" t="n">
        <v>0.24</v>
      </c>
      <c r="V117" s="18" t="n">
        <v>12758</v>
      </c>
      <c r="W117" s="18" t="n">
        <v>480</v>
      </c>
      <c r="X117" s="18" t="n">
        <v>1800</v>
      </c>
      <c r="Y117" s="18">
        <f>X117*1.1</f>
        <v/>
      </c>
      <c r="Z117" s="20">
        <f>Y117/V117</f>
        <v/>
      </c>
      <c r="AA117" s="20">
        <f>Y117/W117</f>
        <v/>
      </c>
      <c r="AB117" s="18" t="n"/>
      <c r="AC117" s="18" t="n"/>
      <c r="AD117" s="18" t="n"/>
      <c r="AE117" s="18" t="n"/>
    </row>
    <row r="118" ht="94" customHeight="1" s="151">
      <c r="A118" s="18" t="n"/>
      <c r="B118" s="18" t="n"/>
      <c r="C118" s="17" t="n">
        <v>46086</v>
      </c>
      <c r="D118" s="18" t="inlineStr">
        <is>
          <t>电商</t>
        </is>
      </c>
      <c r="E118" s="18" t="inlineStr">
        <is>
          <t>板栗小团团儿</t>
        </is>
      </c>
      <c r="F118" s="19" t="n"/>
      <c r="G118" s="19" t="inlineStr">
        <is>
          <t>https://pgy.xiaohongshu.com/solar/pre-trade/blogger-detail/66910ae100000000030308af?track_id=kolMatch_10b121357444437a981800edffa8bcba&amp;source=Advertiser_Kol</t>
        </is>
      </c>
      <c r="H118" s="19" t="inlineStr">
        <is>
          <t>https://www.xiaohongshu.com/user/profile/66910ae100000000030308af</t>
        </is>
      </c>
      <c r="I118" s="118" t="inlineStr">
        <is>
          <t>yyc20220330</t>
        </is>
      </c>
      <c r="J118" s="18" t="n"/>
      <c r="K118" s="18" t="inlineStr">
        <is>
          <t>家居家装</t>
        </is>
      </c>
      <c r="L118" s="18" t="inlineStr">
        <is>
          <t>koc</t>
        </is>
      </c>
      <c r="M118" s="18" t="n">
        <v>1.5</v>
      </c>
      <c r="N118" s="18" t="n">
        <v>5.6</v>
      </c>
      <c r="O118" s="18" t="inlineStr">
        <is>
          <t xml:space="preserve">图文 </t>
        </is>
      </c>
      <c r="P118" s="21" t="n">
        <v>0.6899999999999999</v>
      </c>
      <c r="Q118" s="18" t="n"/>
      <c r="R118" s="18" t="n"/>
      <c r="S118" s="18" t="n"/>
      <c r="T118" s="21" t="n">
        <v>0.19</v>
      </c>
      <c r="U118" s="21" t="n">
        <v>0.26</v>
      </c>
      <c r="V118" s="18" t="n">
        <v>8192</v>
      </c>
      <c r="W118" s="18" t="n">
        <v>575</v>
      </c>
      <c r="X118" s="18" t="n">
        <v>2000</v>
      </c>
      <c r="Y118" s="18">
        <f>X118*1.1</f>
        <v/>
      </c>
      <c r="Z118" s="20">
        <f>Y118/V118</f>
        <v/>
      </c>
      <c r="AA118" s="20">
        <f>Y118/W118</f>
        <v/>
      </c>
      <c r="AB118" s="18" t="n"/>
      <c r="AC118" s="18" t="n"/>
      <c r="AD118" s="18" t="n"/>
      <c r="AE118" s="18" t="n"/>
    </row>
    <row r="119" ht="82.25" customHeight="1" s="151">
      <c r="A119" s="18" t="n"/>
      <c r="B119" s="18" t="n"/>
      <c r="C119" s="17" t="n">
        <v>46086</v>
      </c>
      <c r="D119" s="18" t="inlineStr">
        <is>
          <t>电商</t>
        </is>
      </c>
      <c r="E119" s="18" t="inlineStr">
        <is>
          <t>宅乐佳</t>
        </is>
      </c>
      <c r="F119" s="19" t="n"/>
      <c r="G119" s="19" t="inlineStr">
        <is>
          <t>https://pgy.xiaohongshu.com/solar/pre-trade/blogger-detail/65ddcfad000000000500cb1b?track_id=kolMatch_10b121357444437a981800edffa8bcba&amp;source=Advertiser_Kol</t>
        </is>
      </c>
      <c r="H119" s="19" t="inlineStr">
        <is>
          <t>https://www.xiaohongshu.com/user/profile/65ddcfad000000000500cb1b</t>
        </is>
      </c>
      <c r="I119" s="118" t="n">
        <v>94203606014</v>
      </c>
      <c r="J119" s="18" t="n"/>
      <c r="K119" s="18" t="inlineStr">
        <is>
          <t>家居家装</t>
        </is>
      </c>
      <c r="L119" s="18" t="inlineStr">
        <is>
          <t>koc</t>
        </is>
      </c>
      <c r="M119" s="18" t="n">
        <v>2</v>
      </c>
      <c r="N119" s="18" t="n">
        <v>46</v>
      </c>
      <c r="O119" s="18" t="inlineStr">
        <is>
          <t xml:space="preserve">图文 </t>
        </is>
      </c>
      <c r="P119" s="21" t="n">
        <v>0.65</v>
      </c>
      <c r="Q119" s="18" t="n"/>
      <c r="R119" s="18" t="n"/>
      <c r="S119" s="18" t="n"/>
      <c r="T119" s="21" t="n">
        <v>0.31</v>
      </c>
      <c r="U119" s="21" t="n">
        <v>0.21</v>
      </c>
      <c r="V119" s="18" t="n">
        <v>3256</v>
      </c>
      <c r="W119" s="18" t="n">
        <v>276</v>
      </c>
      <c r="X119" s="18" t="n">
        <v>1800</v>
      </c>
      <c r="Y119" s="18">
        <f>X119*1.1</f>
        <v/>
      </c>
      <c r="Z119" s="20">
        <f>Y119/V119</f>
        <v/>
      </c>
      <c r="AA119" s="20">
        <f>Y119/W119</f>
        <v/>
      </c>
      <c r="AB119" s="18" t="n"/>
      <c r="AC119" s="18" t="n"/>
      <c r="AD119" s="18" t="n"/>
      <c r="AE119" s="18" t="n"/>
    </row>
    <row r="120" ht="54" customHeight="1" s="151">
      <c r="A120" s="18" t="n"/>
      <c r="B120" s="18" t="n"/>
      <c r="C120" s="17" t="n">
        <v>46086</v>
      </c>
      <c r="D120" s="18" t="inlineStr">
        <is>
          <t>电商</t>
        </is>
      </c>
      <c r="E120" s="18" t="inlineStr">
        <is>
          <t>班班酱的家</t>
        </is>
      </c>
      <c r="F120" s="19" t="n"/>
      <c r="G120" s="19" t="inlineStr">
        <is>
          <t>https://pgy.xiaohongshu.com/solar/pre-trade/blogger-detail/67c17493000000000e02c98b?track_id=kolMatch_7a7873c386504fc4a56815c417547dc0&amp;source=Advertiser_Kol</t>
        </is>
      </c>
      <c r="H120" s="19" t="inlineStr">
        <is>
          <t>https://www.xiaohongshu.com/user/profile/67c17493000000000e02c98b</t>
        </is>
      </c>
      <c r="I120" s="118" t="n">
        <v>26794533592</v>
      </c>
      <c r="J120" s="18" t="n"/>
      <c r="K120" s="18" t="inlineStr">
        <is>
          <t>家居家装</t>
        </is>
      </c>
      <c r="L120" s="18" t="inlineStr">
        <is>
          <t>koc</t>
        </is>
      </c>
      <c r="M120" s="18" t="n">
        <v>1.2</v>
      </c>
      <c r="N120" s="18" t="n">
        <v>5.5</v>
      </c>
      <c r="O120" s="18" t="inlineStr">
        <is>
          <t xml:space="preserve">图文 </t>
        </is>
      </c>
      <c r="P120" s="21" t="n">
        <v>0.92</v>
      </c>
      <c r="Q120" s="18" t="n"/>
      <c r="R120" s="18" t="n"/>
      <c r="S120" s="18" t="n"/>
      <c r="T120" s="21" t="n">
        <v>0.32</v>
      </c>
      <c r="U120" s="21" t="n">
        <v>0.23</v>
      </c>
      <c r="V120" s="18" t="n">
        <v>2374</v>
      </c>
      <c r="W120" s="18" t="n">
        <v>310</v>
      </c>
      <c r="X120" s="18" t="n">
        <v>1000</v>
      </c>
      <c r="Y120" s="18">
        <f>X120*1.1</f>
        <v/>
      </c>
      <c r="Z120" s="20">
        <f>Y120/V120</f>
        <v/>
      </c>
      <c r="AA120" s="20">
        <f>Y120/W120</f>
        <v/>
      </c>
      <c r="AB120" s="18" t="n"/>
      <c r="AC120" s="18" t="n"/>
      <c r="AD120" s="18" t="n"/>
      <c r="AE120" s="18" t="n"/>
    </row>
    <row r="121">
      <c r="A121" s="18" t="n"/>
      <c r="B121" s="18" t="n"/>
      <c r="C121" s="18" t="n"/>
      <c r="D121" s="18" t="n"/>
      <c r="E121" s="18" t="n"/>
      <c r="F121" s="19" t="n"/>
      <c r="G121" s="19" t="n"/>
      <c r="H121" s="19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</row>
    <row r="122">
      <c r="A122" s="18" t="n"/>
      <c r="B122" s="18" t="n"/>
      <c r="C122" s="17" t="n">
        <v>46086</v>
      </c>
      <c r="D122" s="18" t="inlineStr">
        <is>
          <t>品牌</t>
        </is>
      </c>
      <c r="E122" s="18" t="inlineStr">
        <is>
          <t>马蛋儿</t>
        </is>
      </c>
      <c r="F122" s="19" t="n"/>
      <c r="G122" s="19" t="inlineStr">
        <is>
          <t>https://pgy.xiaohongshu.com/solar/pre-trade/blogger-detail/654b2695000000000400a7ec?track_id=kolMatch_f43be16f77cb4a71b418d790cf7bfaff&amp;source=Advertiser_Kol</t>
        </is>
      </c>
      <c r="H122" s="19" t="inlineStr">
        <is>
          <t>https://www.xiaohongshu.com/user/profile/654b2695000000000400a7ec</t>
        </is>
      </c>
      <c r="I122" s="118" t="n">
        <v>2347010639</v>
      </c>
      <c r="J122" s="18" t="n"/>
      <c r="K122" s="18" t="inlineStr">
        <is>
          <t>家居家装</t>
        </is>
      </c>
      <c r="L122" s="18" t="inlineStr">
        <is>
          <t>koc</t>
        </is>
      </c>
      <c r="M122" s="18" t="n">
        <v>0.6</v>
      </c>
      <c r="N122" s="18" t="n">
        <v>8</v>
      </c>
      <c r="O122" s="18" t="inlineStr">
        <is>
          <t xml:space="preserve">图文 </t>
        </is>
      </c>
      <c r="P122" s="21" t="n">
        <v>0.46</v>
      </c>
      <c r="Q122" s="21" t="n">
        <v>0.1</v>
      </c>
      <c r="R122" s="21" t="n">
        <v>0.51</v>
      </c>
      <c r="S122" s="21" t="n">
        <v>0.31</v>
      </c>
      <c r="T122" s="21" t="n">
        <v>0.64</v>
      </c>
      <c r="U122" s="21" t="n">
        <v>0.11</v>
      </c>
      <c r="V122" s="18" t="n">
        <v>8836</v>
      </c>
      <c r="W122" s="18" t="n">
        <v>892</v>
      </c>
      <c r="X122" s="18" t="n">
        <v>1199</v>
      </c>
      <c r="Y122" s="18">
        <f>X122*1.1</f>
        <v/>
      </c>
      <c r="Z122" s="20">
        <f>Y122/V122</f>
        <v/>
      </c>
      <c r="AA122" s="20">
        <f>Y122/W122</f>
        <v/>
      </c>
      <c r="AB122" s="18" t="n"/>
      <c r="AC122" s="18" t="n"/>
      <c r="AD122" s="18" t="n"/>
      <c r="AE122" s="18" t="n"/>
    </row>
    <row r="123">
      <c r="A123" s="18" t="n"/>
      <c r="B123" s="18" t="n"/>
      <c r="C123" s="17" t="n">
        <v>46086</v>
      </c>
      <c r="D123" s="18" t="inlineStr">
        <is>
          <t>品牌</t>
        </is>
      </c>
      <c r="E123" s="18" t="inlineStr">
        <is>
          <t>曹小曹</t>
        </is>
      </c>
      <c r="F123" s="19" t="n"/>
      <c r="G123" s="19" t="inlineStr">
        <is>
          <t>https://pgy.xiaohongshu.com/solar/pre-trade/blogger-detail/5c64e30e0000000011034842?track_id=kolMatch_41546b3a86de45cab5ca1fdf2ce52b81&amp;source=Advertiser_Kol</t>
        </is>
      </c>
      <c r="H123" s="19" t="inlineStr">
        <is>
          <t>https://www.xiaohongshu.com/user/profile/5c64e30e0000000011034842</t>
        </is>
      </c>
      <c r="I123" s="118" t="inlineStr">
        <is>
          <t>XC18837010100</t>
        </is>
      </c>
      <c r="J123" s="18" t="n"/>
      <c r="K123" s="18" t="inlineStr">
        <is>
          <t>家居家装</t>
        </is>
      </c>
      <c r="L123" s="18" t="inlineStr">
        <is>
          <t>koc</t>
        </is>
      </c>
      <c r="M123" s="18" t="n">
        <v>1.6</v>
      </c>
      <c r="N123" s="18" t="n">
        <v>11.7</v>
      </c>
      <c r="O123" s="18" t="inlineStr">
        <is>
          <t xml:space="preserve">图文 </t>
        </is>
      </c>
      <c r="P123" s="21" t="n">
        <v>0.64</v>
      </c>
      <c r="Q123" s="21" t="n">
        <v>0.05</v>
      </c>
      <c r="R123" s="21" t="n">
        <v>0.28</v>
      </c>
      <c r="S123" s="21" t="n">
        <v>0.38</v>
      </c>
      <c r="T123" s="21" t="n">
        <v>0.31</v>
      </c>
      <c r="U123" s="21" t="n">
        <v>0.23</v>
      </c>
      <c r="V123" s="18" t="n">
        <v>2392</v>
      </c>
      <c r="W123" s="18" t="n">
        <v>118</v>
      </c>
      <c r="X123" s="18" t="n">
        <v>1000</v>
      </c>
      <c r="Y123" s="18">
        <f>X123*1.1</f>
        <v/>
      </c>
      <c r="Z123" s="20">
        <f>Y123/V123</f>
        <v/>
      </c>
      <c r="AA123" s="20">
        <f>Y123/W123</f>
        <v/>
      </c>
      <c r="AB123" s="18" t="n"/>
      <c r="AC123" s="18" t="n"/>
      <c r="AD123" s="18" t="n"/>
      <c r="AE123" s="18" t="n"/>
    </row>
    <row r="124">
      <c r="A124" s="18" t="n"/>
      <c r="B124" s="18" t="n"/>
      <c r="C124" s="17" t="n">
        <v>46086</v>
      </c>
      <c r="D124" s="18" t="inlineStr">
        <is>
          <t>品牌</t>
        </is>
      </c>
      <c r="E124" s="18" t="inlineStr">
        <is>
          <t>阿拉fat</t>
        </is>
      </c>
      <c r="F124" s="19" t="n"/>
      <c r="G124" s="19" t="inlineStr">
        <is>
          <t>https://pgy.xiaohongshu.com/solar/pre-trade/blogger-detail/5b544735f7e8b93e4d3ee509?track_id=kolMatch_e3193b37808049a68515c6bccc801c77&amp;source=Advertiser_Kol</t>
        </is>
      </c>
      <c r="H124" s="19" t="inlineStr">
        <is>
          <t>https://www.xiaohongshu.com/user/profile/5b544735f7e8b93e4d3ee509</t>
        </is>
      </c>
      <c r="I124" s="118" t="n">
        <v>604727423</v>
      </c>
      <c r="J124" s="18" t="n"/>
      <c r="K124" s="18" t="inlineStr">
        <is>
          <t>家居家装</t>
        </is>
      </c>
      <c r="L124" s="18" t="inlineStr">
        <is>
          <t>koc</t>
        </is>
      </c>
      <c r="M124" s="18" t="n">
        <v>0.5</v>
      </c>
      <c r="N124" s="18" t="n">
        <v>7.1</v>
      </c>
      <c r="O124" s="18" t="inlineStr">
        <is>
          <t xml:space="preserve">图文 </t>
        </is>
      </c>
      <c r="P124" s="21" t="n">
        <v>0.84</v>
      </c>
      <c r="Q124" s="21" t="n">
        <v>0.03</v>
      </c>
      <c r="R124" s="21" t="n">
        <v>0.37</v>
      </c>
      <c r="S124" s="21" t="n">
        <v>0.39</v>
      </c>
      <c r="T124" s="21" t="n">
        <v>0.5600000000000001</v>
      </c>
      <c r="U124" s="21" t="n">
        <v>0.19</v>
      </c>
      <c r="V124" s="18" t="n">
        <v>2208</v>
      </c>
      <c r="W124" s="18" t="n">
        <v>269</v>
      </c>
      <c r="X124" s="18" t="n">
        <v>800</v>
      </c>
      <c r="Y124" s="18">
        <f>X124*1.1</f>
        <v/>
      </c>
      <c r="Z124" s="20">
        <f>Y124/V124</f>
        <v/>
      </c>
      <c r="AA124" s="20">
        <f>Y124/W124</f>
        <v/>
      </c>
      <c r="AB124" s="18" t="n"/>
      <c r="AC124" s="18" t="n"/>
      <c r="AD124" s="18" t="n"/>
      <c r="AE124" s="18" t="n"/>
    </row>
    <row r="125">
      <c r="A125" s="18" t="n"/>
      <c r="B125" s="18" t="n"/>
      <c r="C125" s="17" t="n">
        <v>46086</v>
      </c>
      <c r="D125" s="18" t="inlineStr">
        <is>
          <t>品牌</t>
        </is>
      </c>
      <c r="E125" s="18" t="inlineStr">
        <is>
          <t>嘟嘟时光</t>
        </is>
      </c>
      <c r="F125" s="19" t="n"/>
      <c r="G125" s="19" t="inlineStr">
        <is>
          <t>https://pgy.xiaohongshu.com/solar/pre-trade/blogger-detail/64e5af00000000000101205a?track_id=kolMatch_e3193b37808049a68515c6bccc801c77&amp;source=Advertiser_Kol</t>
        </is>
      </c>
      <c r="H125" s="19" t="inlineStr">
        <is>
          <t>https://www.xiaohongshu.com/user/profile/64e5af00000000000101205a</t>
        </is>
      </c>
      <c r="I125" s="118" t="inlineStr">
        <is>
          <t>hrhmoo</t>
        </is>
      </c>
      <c r="J125" s="18" t="n"/>
      <c r="K125" s="18" t="inlineStr">
        <is>
          <t>家居家装</t>
        </is>
      </c>
      <c r="L125" s="18" t="inlineStr">
        <is>
          <t>koc</t>
        </is>
      </c>
      <c r="M125" s="18" t="n">
        <v>0.1</v>
      </c>
      <c r="N125" s="18" t="n">
        <v>1.1</v>
      </c>
      <c r="O125" s="18" t="inlineStr">
        <is>
          <t xml:space="preserve">图文 </t>
        </is>
      </c>
      <c r="P125" s="21" t="n">
        <v>0.74</v>
      </c>
      <c r="Q125" s="21" t="n">
        <v>0.05</v>
      </c>
      <c r="R125" s="21" t="n">
        <v>0.31</v>
      </c>
      <c r="S125" s="21" t="n">
        <v>0.46</v>
      </c>
      <c r="T125" s="21" t="n">
        <v>0.61</v>
      </c>
      <c r="U125" s="21" t="n">
        <v>0.17</v>
      </c>
      <c r="V125" s="18" t="n">
        <v>12695</v>
      </c>
      <c r="W125" s="18" t="n">
        <v>417</v>
      </c>
      <c r="X125" s="18" t="n">
        <v>800</v>
      </c>
      <c r="Y125" s="18">
        <f>X125*1.1</f>
        <v/>
      </c>
      <c r="Z125" s="20">
        <f>Y125/V125</f>
        <v/>
      </c>
      <c r="AA125" s="20">
        <f>Y125/W125</f>
        <v/>
      </c>
      <c r="AB125" s="18" t="n"/>
      <c r="AC125" s="18" t="n"/>
      <c r="AD125" s="18" t="n"/>
      <c r="AE125" s="18" t="n"/>
    </row>
    <row r="126">
      <c r="A126" s="18" t="n"/>
      <c r="B126" s="18" t="n"/>
      <c r="C126" s="17" t="n">
        <v>46086</v>
      </c>
      <c r="D126" s="18" t="inlineStr">
        <is>
          <t>品牌</t>
        </is>
      </c>
      <c r="E126" s="18" t="inlineStr">
        <is>
          <t>聂小聂</t>
        </is>
      </c>
      <c r="F126" s="19" t="n"/>
      <c r="G126" s="19" t="inlineStr">
        <is>
          <t>https://pgy.xiaohongshu.com/solar/pre-trade/blogger-detail/639de2c50000000026012a6f?track_id=kolMatch_e3193b37808049a68515c6bccc801c77&amp;source=Advertiser_Kol</t>
        </is>
      </c>
      <c r="H126" s="19" t="inlineStr">
        <is>
          <t>https://www.xiaohongshu.com/user/profile/639de2c50000000026012a6f</t>
        </is>
      </c>
      <c r="I126" s="118" t="n">
        <v>5320037522</v>
      </c>
      <c r="J126" s="18" t="n"/>
      <c r="K126" s="18" t="inlineStr">
        <is>
          <t>家居家装</t>
        </is>
      </c>
      <c r="L126" s="18" t="inlineStr">
        <is>
          <t>koc</t>
        </is>
      </c>
      <c r="M126" s="18" t="n">
        <v>0.2</v>
      </c>
      <c r="N126" s="18" t="n">
        <v>1.8</v>
      </c>
      <c r="O126" s="18" t="inlineStr">
        <is>
          <t xml:space="preserve">图文 </t>
        </is>
      </c>
      <c r="P126" s="21" t="n">
        <v>0.44</v>
      </c>
      <c r="Q126" s="21" t="n">
        <v>0.06</v>
      </c>
      <c r="R126" s="21" t="n">
        <v>0.39</v>
      </c>
      <c r="S126" s="21" t="n">
        <v>0.45</v>
      </c>
      <c r="T126" s="21" t="n">
        <v>0.68</v>
      </c>
      <c r="U126" s="21" t="n">
        <v>0.11</v>
      </c>
      <c r="V126" s="18" t="n">
        <v>2166</v>
      </c>
      <c r="W126" s="18" t="n">
        <v>345</v>
      </c>
      <c r="X126" s="18" t="n">
        <v>1000</v>
      </c>
      <c r="Y126" s="18">
        <f>X126*1.1</f>
        <v/>
      </c>
      <c r="Z126" s="20">
        <f>Y126/V126</f>
        <v/>
      </c>
      <c r="AA126" s="20">
        <f>Y126/W126</f>
        <v/>
      </c>
      <c r="AB126" s="18" t="n"/>
      <c r="AC126" s="18" t="n"/>
      <c r="AD126" s="18" t="n"/>
      <c r="AE126" s="18" t="n"/>
    </row>
    <row r="127">
      <c r="A127" s="18" t="n"/>
      <c r="B127" s="18" t="n"/>
      <c r="C127" s="17" t="n">
        <v>46086</v>
      </c>
      <c r="D127" s="18" t="inlineStr">
        <is>
          <t>品牌</t>
        </is>
      </c>
      <c r="E127" s="18" t="inlineStr">
        <is>
          <t>Ms.猫的家</t>
        </is>
      </c>
      <c r="F127" s="19" t="n"/>
      <c r="G127" s="19" t="inlineStr">
        <is>
          <t>https://pgy.xiaohongshu.com/solar/pre-trade/blogger-detail/5649208cc2bdeb0887af1bc7?track_id=kolMatch_e3193b37808049a68515c6bccc801c77&amp;source=Advertiser_Kol</t>
        </is>
      </c>
      <c r="H127" s="19" t="inlineStr">
        <is>
          <t>https://www.xiaohongshu.com/user/profile/5649208cc2bdeb0887af1bc7</t>
        </is>
      </c>
      <c r="I127" s="118" t="n">
        <v>106453513</v>
      </c>
      <c r="J127" s="18" t="n"/>
      <c r="K127" s="18" t="inlineStr">
        <is>
          <t>家居家装</t>
        </is>
      </c>
      <c r="L127" s="18" t="inlineStr">
        <is>
          <t>koc</t>
        </is>
      </c>
      <c r="M127" s="18" t="n">
        <v>0.4</v>
      </c>
      <c r="N127" s="18" t="n">
        <v>5.9</v>
      </c>
      <c r="O127" s="18" t="inlineStr">
        <is>
          <t xml:space="preserve">图文 </t>
        </is>
      </c>
      <c r="P127" s="21" t="n">
        <v>0.87</v>
      </c>
      <c r="Q127" s="21" t="n">
        <v>0.04</v>
      </c>
      <c r="R127" s="21" t="n">
        <v>0.34</v>
      </c>
      <c r="S127" s="21" t="n">
        <v>0.45</v>
      </c>
      <c r="T127" s="21" t="n">
        <v>0.44</v>
      </c>
      <c r="U127" s="21" t="n">
        <v>0.22</v>
      </c>
      <c r="V127" s="18" t="n">
        <v>2026</v>
      </c>
      <c r="W127" s="18" t="n">
        <v>98</v>
      </c>
      <c r="X127" s="18" t="n">
        <v>600</v>
      </c>
      <c r="Y127" s="18">
        <f>X127*1.1</f>
        <v/>
      </c>
      <c r="Z127" s="20">
        <f>Y127/V127</f>
        <v/>
      </c>
      <c r="AA127" s="20">
        <f>Y127/W127</f>
        <v/>
      </c>
      <c r="AB127" s="18" t="n"/>
      <c r="AC127" s="18" t="n"/>
      <c r="AD127" s="18" t="n"/>
      <c r="AE127" s="18" t="n"/>
    </row>
    <row r="128">
      <c r="A128" s="18" t="n"/>
      <c r="B128" s="18" t="n"/>
      <c r="C128" s="17" t="n">
        <v>46086</v>
      </c>
      <c r="D128" s="18" t="inlineStr">
        <is>
          <t>品牌</t>
        </is>
      </c>
      <c r="E128" s="18" t="inlineStr">
        <is>
          <t>豆豆的家</t>
        </is>
      </c>
      <c r="F128" s="19" t="n"/>
      <c r="G128" s="19" t="inlineStr">
        <is>
          <t>https://pgy.xiaohongshu.com/solar/pre-trade/blogger-detail/5d270b0400000000160375cb?track_id=kolMatch_e3193b37808049a68515c6bccc801c77&amp;source=Advertiser_Kol</t>
        </is>
      </c>
      <c r="H128" s="19" t="inlineStr">
        <is>
          <t>https://www.xiaohongshu.com/user/profile/5d270b0400000000160375cb</t>
        </is>
      </c>
      <c r="I128" s="118" t="inlineStr">
        <is>
          <t>zhu68686868</t>
        </is>
      </c>
      <c r="J128" s="18" t="n"/>
      <c r="K128" s="18" t="inlineStr">
        <is>
          <t>家居家装</t>
        </is>
      </c>
      <c r="L128" s="18" t="inlineStr">
        <is>
          <t>koc</t>
        </is>
      </c>
      <c r="M128" s="18" t="n">
        <v>1.7</v>
      </c>
      <c r="N128" s="18" t="n">
        <v>16.1</v>
      </c>
      <c r="O128" s="18" t="inlineStr">
        <is>
          <t xml:space="preserve">图文 </t>
        </is>
      </c>
      <c r="P128" s="21" t="n">
        <v>0.66</v>
      </c>
      <c r="Q128" s="21" t="n">
        <v>0.07000000000000001</v>
      </c>
      <c r="R128" s="21" t="n">
        <v>0.25</v>
      </c>
      <c r="S128" s="21" t="n">
        <v>0.39</v>
      </c>
      <c r="T128" s="21" t="n">
        <v>0.24</v>
      </c>
      <c r="U128" s="21" t="n">
        <v>0.21</v>
      </c>
      <c r="V128" s="18" t="n">
        <v>11299</v>
      </c>
      <c r="W128" s="18" t="n">
        <v>370</v>
      </c>
      <c r="X128" s="18" t="n">
        <v>1000</v>
      </c>
      <c r="Y128" s="18">
        <f>X128*1.1</f>
        <v/>
      </c>
      <c r="Z128" s="20">
        <f>Y128/V128</f>
        <v/>
      </c>
      <c r="AA128" s="20">
        <f>Y128/W128</f>
        <v/>
      </c>
      <c r="AB128" s="18" t="n"/>
      <c r="AC128" s="18" t="n"/>
      <c r="AD128" s="18" t="n"/>
      <c r="AE128" s="18" t="n"/>
    </row>
    <row r="129">
      <c r="A129" s="18" t="n"/>
      <c r="B129" s="18" t="n"/>
      <c r="C129" s="17" t="n">
        <v>46086</v>
      </c>
      <c r="D129" s="18" t="inlineStr">
        <is>
          <t>品牌</t>
        </is>
      </c>
      <c r="E129" s="18" t="inlineStr">
        <is>
          <t>朵儿的家居干货铺</t>
        </is>
      </c>
      <c r="F129" s="19" t="n"/>
      <c r="G129" s="19" t="inlineStr">
        <is>
          <t>https://pgy.xiaohongshu.com/solar/pre-trade/blogger-detail/6731ce39000000000800a64d?track_id=kolMatch_e3193b37808049a68515c6bccc801c77&amp;source=Advertiser_Kol</t>
        </is>
      </c>
      <c r="H129" s="19" t="inlineStr">
        <is>
          <t>https://www.xiaohongshu.com/user/profile/6731ce39000000000800a64d</t>
        </is>
      </c>
      <c r="I129" s="118" t="n">
        <v>95478441565</v>
      </c>
      <c r="J129" s="18" t="n"/>
      <c r="K129" s="18" t="inlineStr">
        <is>
          <t>家居家装</t>
        </is>
      </c>
      <c r="L129" s="18" t="inlineStr">
        <is>
          <t>koc</t>
        </is>
      </c>
      <c r="M129" s="18" t="n">
        <v>1.3</v>
      </c>
      <c r="N129" s="18" t="n">
        <v>6.8</v>
      </c>
      <c r="O129" s="18" t="inlineStr">
        <is>
          <t xml:space="preserve">图文 </t>
        </is>
      </c>
      <c r="P129" s="21" t="n">
        <v>0.7</v>
      </c>
      <c r="Q129" s="21" t="n">
        <v>0.14</v>
      </c>
      <c r="R129" s="21" t="n">
        <v>0.21</v>
      </c>
      <c r="S129" s="21" t="n">
        <v>0.27</v>
      </c>
      <c r="T129" s="21" t="n">
        <v>0.19</v>
      </c>
      <c r="U129" s="21" t="n">
        <v>0.23</v>
      </c>
      <c r="V129" s="18" t="n">
        <v>2343</v>
      </c>
      <c r="W129" s="18" t="n">
        <v>184</v>
      </c>
      <c r="X129" s="18" t="n">
        <v>1200</v>
      </c>
      <c r="Y129" s="18">
        <f>X129*1.1</f>
        <v/>
      </c>
      <c r="Z129" s="20">
        <f>Y129/V129</f>
        <v/>
      </c>
      <c r="AA129" s="20">
        <f>Y129/W129</f>
        <v/>
      </c>
      <c r="AB129" s="18" t="n"/>
      <c r="AC129" s="18" t="n"/>
      <c r="AD129" s="18" t="n"/>
      <c r="AE129" s="18" t="n"/>
    </row>
    <row r="130" ht="23.25" customHeight="1" s="151">
      <c r="A130" s="18" t="n"/>
      <c r="B130" s="18" t="n"/>
      <c r="C130" s="17" t="n">
        <v>46086</v>
      </c>
      <c r="D130" s="18" t="inlineStr">
        <is>
          <t>品牌</t>
        </is>
      </c>
      <c r="E130" s="18" t="inlineStr">
        <is>
          <t>方圆维度设计（深圳）</t>
        </is>
      </c>
      <c r="F130" s="19" t="n"/>
      <c r="G130" s="19" t="inlineStr">
        <is>
          <t>https://pgy.xiaohongshu.com/solar/pre-trade/blogger-detail/651f6516000000002402f6bb?track_id=kolMatch_7a7873c386504fc4a56815c417547dc0&amp;source=Advertiser_Kol</t>
        </is>
      </c>
      <c r="H130" s="19" t="inlineStr">
        <is>
          <t>https://www.xiaohongshu.com/user/profile/651f6516000000002402f6bb</t>
        </is>
      </c>
      <c r="I130" s="118" t="inlineStr">
        <is>
          <t>V_152_1611_0580</t>
        </is>
      </c>
      <c r="J130" s="18" t="n"/>
      <c r="K130" s="18" t="inlineStr">
        <is>
          <t>家居家装</t>
        </is>
      </c>
      <c r="L130" s="18" t="inlineStr">
        <is>
          <t>koc</t>
        </is>
      </c>
      <c r="M130" s="18" t="n">
        <v>1.8</v>
      </c>
      <c r="N130" s="18" t="n">
        <v>6.5</v>
      </c>
      <c r="O130" s="18" t="inlineStr">
        <is>
          <t xml:space="preserve">图文 </t>
        </is>
      </c>
      <c r="P130" s="21" t="n">
        <v>0.3</v>
      </c>
      <c r="Q130" s="21" t="n">
        <v>0.12</v>
      </c>
      <c r="R130" s="21" t="n">
        <v>0.31</v>
      </c>
      <c r="S130" s="21" t="n">
        <v>0.35</v>
      </c>
      <c r="T130" s="21" t="n">
        <v>0.45</v>
      </c>
      <c r="U130" s="21" t="n">
        <v>0.19</v>
      </c>
      <c r="V130" s="18" t="n">
        <v>1373</v>
      </c>
      <c r="W130" s="18" t="n">
        <v>90</v>
      </c>
      <c r="X130" s="18" t="n">
        <v>998</v>
      </c>
      <c r="Y130" s="18">
        <f>X130*1.1</f>
        <v/>
      </c>
      <c r="Z130" s="20">
        <f>Y130/V130</f>
        <v/>
      </c>
      <c r="AA130" s="20">
        <f>Y130/W130</f>
        <v/>
      </c>
      <c r="AB130" s="18" t="n"/>
      <c r="AC130" s="18" t="n"/>
      <c r="AD130" s="18" t="n"/>
      <c r="AE130" s="18" t="n"/>
    </row>
    <row r="131">
      <c r="A131" s="18" t="n"/>
      <c r="B131" s="18" t="n"/>
      <c r="C131" s="17" t="n">
        <v>46086</v>
      </c>
      <c r="D131" s="18" t="inlineStr">
        <is>
          <t>品牌</t>
        </is>
      </c>
      <c r="E131" s="18" t="inlineStr">
        <is>
          <t>菜菜</t>
        </is>
      </c>
      <c r="F131" s="19" t="n"/>
      <c r="G131" s="19" t="inlineStr">
        <is>
          <t>https://pgy.xiaohongshu.com/solar/pre-trade/blogger-detail/631590b6000000001200f66a?track_id=kolMatch_7a7873c386504fc4a56815c417547dc0&amp;source=Advertiser_Kol</t>
        </is>
      </c>
      <c r="H131" s="19" t="inlineStr">
        <is>
          <t>https://www.xiaohongshu.com/user/profile/631590b6000000001200f66a</t>
        </is>
      </c>
      <c r="I131" s="118" t="n">
        <v>3812885064</v>
      </c>
      <c r="J131" s="18" t="n"/>
      <c r="K131" s="18" t="inlineStr">
        <is>
          <t>家居家装</t>
        </is>
      </c>
      <c r="L131" s="18" t="inlineStr">
        <is>
          <t>koc</t>
        </is>
      </c>
      <c r="M131" s="18" t="n">
        <v>0.2</v>
      </c>
      <c r="N131" s="18" t="n">
        <v>1.4</v>
      </c>
      <c r="O131" s="18" t="inlineStr">
        <is>
          <t xml:space="preserve">图文 </t>
        </is>
      </c>
      <c r="P131" s="21" t="n">
        <v>0.91</v>
      </c>
      <c r="Q131" s="21" t="n">
        <v>0.04</v>
      </c>
      <c r="R131" s="21" t="n">
        <v>0.26</v>
      </c>
      <c r="S131" s="21" t="n">
        <v>0.34</v>
      </c>
      <c r="T131" s="21" t="n">
        <v>0.37</v>
      </c>
      <c r="U131" s="21" t="n">
        <v>0.25</v>
      </c>
      <c r="V131" s="18" t="n">
        <v>4630</v>
      </c>
      <c r="W131" s="18" t="n">
        <v>101</v>
      </c>
      <c r="X131" s="18" t="n">
        <v>900</v>
      </c>
      <c r="Y131" s="18">
        <f>X131*1.1</f>
        <v/>
      </c>
      <c r="Z131" s="20">
        <f>Y131/V131</f>
        <v/>
      </c>
      <c r="AA131" s="20">
        <f>Y131/W131</f>
        <v/>
      </c>
      <c r="AB131" s="18" t="n"/>
      <c r="AC131" s="18" t="n"/>
      <c r="AD131" s="18" t="n"/>
      <c r="AE131" s="18" t="n"/>
    </row>
    <row r="132">
      <c r="A132" s="18" t="n"/>
      <c r="B132" s="18" t="n"/>
      <c r="C132" s="17" t="n">
        <v>46086</v>
      </c>
      <c r="D132" s="18" t="inlineStr">
        <is>
          <t>品牌</t>
        </is>
      </c>
      <c r="E132" s="18" t="inlineStr">
        <is>
          <t>北京灰火火</t>
        </is>
      </c>
      <c r="F132" s="19" t="n"/>
      <c r="G132" s="19" t="inlineStr">
        <is>
          <t>https://pgy.xiaohongshu.com/solar/pre-trade/blogger-detail/57e0ecbe82ec396b78748efa?track_id=kolMatch_7a7873c386504fc4a56815c417547dc0&amp;source=Advertiser_Kol</t>
        </is>
      </c>
      <c r="H132" s="19" t="inlineStr">
        <is>
          <t>https://www.xiaohongshu.com/user/profile/57e0ecbe82ec396b78748efa</t>
        </is>
      </c>
      <c r="I132" s="118" t="n">
        <v>114148307</v>
      </c>
      <c r="J132" s="18" t="n"/>
      <c r="K132" s="18" t="inlineStr">
        <is>
          <t>家居家装</t>
        </is>
      </c>
      <c r="L132" s="18" t="inlineStr">
        <is>
          <t>koc</t>
        </is>
      </c>
      <c r="M132" s="18" t="n">
        <v>0.2</v>
      </c>
      <c r="N132" s="18" t="n">
        <v>1.6</v>
      </c>
      <c r="O132" s="18" t="inlineStr">
        <is>
          <t xml:space="preserve">图文 </t>
        </is>
      </c>
      <c r="P132" s="21" t="n">
        <v>0.8100000000000001</v>
      </c>
      <c r="Q132" s="21" t="n">
        <v>0.06</v>
      </c>
      <c r="R132" s="21" t="n">
        <v>0.3</v>
      </c>
      <c r="S132" s="21" t="n">
        <v>0.4</v>
      </c>
      <c r="T132" s="21" t="n">
        <v>0.58</v>
      </c>
      <c r="U132" s="21" t="n">
        <v>0.18</v>
      </c>
      <c r="V132" s="18" t="n">
        <v>4405</v>
      </c>
      <c r="W132" s="18" t="n">
        <v>222</v>
      </c>
      <c r="X132" s="18" t="n">
        <v>1000</v>
      </c>
      <c r="Y132" s="18">
        <f>X132*1.1</f>
        <v/>
      </c>
      <c r="Z132" s="20">
        <f>Y132/V132</f>
        <v/>
      </c>
      <c r="AA132" s="20">
        <f>Y132/W132</f>
        <v/>
      </c>
      <c r="AB132" s="18" t="n"/>
      <c r="AC132" s="18" t="n"/>
      <c r="AD132" s="18" t="n"/>
      <c r="AE132" s="18" t="n"/>
    </row>
    <row r="133">
      <c r="A133" s="18" t="n"/>
      <c r="B133" s="18" t="n"/>
      <c r="C133" s="17" t="n">
        <v>46086</v>
      </c>
      <c r="D133" s="18" t="inlineStr">
        <is>
          <t>品牌</t>
        </is>
      </c>
      <c r="E133" s="18" t="inlineStr">
        <is>
          <t>迷思.</t>
        </is>
      </c>
      <c r="F133" s="19" t="n"/>
      <c r="G133" s="19" t="inlineStr">
        <is>
          <t>https://pgy.xiaohongshu.com/solar/pre-trade/blogger-detail/5a72af8111be1058c18aba00?track_id=kolMatch_e0113116f1764faf89aa583dd4ec5a75&amp;source=Advertiser_Kol</t>
        </is>
      </c>
      <c r="H133" s="19" t="inlineStr">
        <is>
          <t>https://www.xiaohongshu.com/user/profile/5a72af8111be1058c18aba00</t>
        </is>
      </c>
      <c r="I133" s="118" t="inlineStr">
        <is>
          <t>kanlijiao</t>
        </is>
      </c>
      <c r="J133" s="18" t="n"/>
      <c r="K133" s="18" t="inlineStr">
        <is>
          <t>家居家装</t>
        </is>
      </c>
      <c r="L133" s="18" t="inlineStr">
        <is>
          <t>koc</t>
        </is>
      </c>
      <c r="M133" s="18" t="n">
        <v>0.6</v>
      </c>
      <c r="N133" s="18" t="n">
        <v>4.2</v>
      </c>
      <c r="O133" s="18" t="inlineStr">
        <is>
          <t xml:space="preserve">图文 </t>
        </is>
      </c>
      <c r="P133" s="21" t="n">
        <v>0.92</v>
      </c>
      <c r="Q133" s="21" t="n">
        <v>0.03</v>
      </c>
      <c r="R133" s="21" t="n">
        <v>0.31</v>
      </c>
      <c r="S133" s="21" t="n">
        <v>0.45</v>
      </c>
      <c r="T133" s="21" t="n">
        <v>0.7</v>
      </c>
      <c r="U133" s="21" t="n">
        <v>0.15</v>
      </c>
      <c r="V133" s="18" t="n">
        <v>2219</v>
      </c>
      <c r="W133" s="18" t="n">
        <v>121</v>
      </c>
      <c r="X133" s="18" t="n">
        <v>800</v>
      </c>
      <c r="Y133" s="18">
        <f>X133*1.1</f>
        <v/>
      </c>
      <c r="Z133" s="20">
        <f>Y133/V133</f>
        <v/>
      </c>
      <c r="AA133" s="20">
        <f>Y133/W133</f>
        <v/>
      </c>
      <c r="AB133" s="18" t="n"/>
      <c r="AC133" s="18" t="n"/>
      <c r="AD133" s="18" t="n"/>
      <c r="AE133" s="18" t="n"/>
    </row>
    <row r="134">
      <c r="A134" s="18" t="n"/>
      <c r="B134" s="18" t="n"/>
      <c r="C134" s="17" t="n">
        <v>46086</v>
      </c>
      <c r="D134" s="18" t="inlineStr">
        <is>
          <t>品牌</t>
        </is>
      </c>
      <c r="E134" s="18" t="inlineStr">
        <is>
          <t>Meow呀喵</t>
        </is>
      </c>
      <c r="F134" s="19" t="n"/>
      <c r="G134" s="19" t="inlineStr">
        <is>
          <t>https://pgy.xiaohongshu.com/solar/pre-trade/blogger-detail/570b6e5e4775a77b3c830b49?track_id=kolMatch_e0113116f1764faf89aa583dd4ec5a75&amp;source=Advertiser_Kol</t>
        </is>
      </c>
      <c r="H134" s="19" t="inlineStr">
        <is>
          <t>https://www.xiaohongshu.com/user/profile/570b6e5e4775a77b3c830b49</t>
        </is>
      </c>
      <c r="I134" s="118" t="inlineStr">
        <is>
          <t>XFQ666666</t>
        </is>
      </c>
      <c r="J134" s="18" t="n"/>
      <c r="K134" s="18" t="inlineStr">
        <is>
          <t>家居家装</t>
        </is>
      </c>
      <c r="L134" s="18" t="inlineStr">
        <is>
          <t>koc</t>
        </is>
      </c>
      <c r="M134" s="18" t="n">
        <v>0.3</v>
      </c>
      <c r="N134" s="18" t="n">
        <v>1.2</v>
      </c>
      <c r="O134" s="18" t="inlineStr">
        <is>
          <t xml:space="preserve">图文 </t>
        </is>
      </c>
      <c r="P134" s="21" t="n">
        <v>0.85</v>
      </c>
      <c r="Q134" s="21" t="n">
        <v>0.03</v>
      </c>
      <c r="R134" s="21" t="n">
        <v>0.38</v>
      </c>
      <c r="S134" s="21" t="n">
        <v>0.38</v>
      </c>
      <c r="T134" s="21" t="n">
        <v>0.59</v>
      </c>
      <c r="U134" s="21" t="n">
        <v>0.17</v>
      </c>
      <c r="V134" s="18" t="n">
        <v>2982</v>
      </c>
      <c r="W134" s="18" t="n">
        <v>129</v>
      </c>
      <c r="X134" s="18" t="n">
        <v>800</v>
      </c>
      <c r="Y134" s="18">
        <f>X134*1.1</f>
        <v/>
      </c>
      <c r="Z134" s="20">
        <f>Y134/V134</f>
        <v/>
      </c>
      <c r="AA134" s="20">
        <f>Y134/W134</f>
        <v/>
      </c>
      <c r="AB134" s="18" t="n"/>
      <c r="AC134" s="18" t="n"/>
      <c r="AD134" s="18" t="n"/>
      <c r="AE134" s="18" t="n"/>
    </row>
    <row r="135" ht="19" customHeight="1" s="151">
      <c r="A135" s="18" t="n"/>
      <c r="B135" s="18" t="n"/>
      <c r="C135" s="17" t="n">
        <v>46086</v>
      </c>
      <c r="D135" s="18" t="inlineStr">
        <is>
          <t>品牌</t>
        </is>
      </c>
      <c r="E135" s="18" t="inlineStr">
        <is>
          <t>希奇不稀奇</t>
        </is>
      </c>
      <c r="F135" s="19" t="n"/>
      <c r="G135" s="19" t="inlineStr">
        <is>
          <t>https://pgy.xiaohongshu.com/solar/pre-trade/blogger-detail/54ccdaece779891d71c54282?track_id=kolMatch_e0113116f1764faf89aa583dd4ec5a75&amp;source=Advertiser_Kol</t>
        </is>
      </c>
      <c r="H135" s="19" t="inlineStr">
        <is>
          <t>https://www.xiaohongshu.com/user/profile/54ccdaece779891d71c54282</t>
        </is>
      </c>
      <c r="I135" s="118" t="n">
        <v>107525087</v>
      </c>
      <c r="J135" s="18" t="n"/>
      <c r="K135" s="18" t="inlineStr">
        <is>
          <t>家居家装</t>
        </is>
      </c>
      <c r="L135" s="18" t="inlineStr">
        <is>
          <t>koc</t>
        </is>
      </c>
      <c r="M135" s="18" t="n">
        <v>2.5</v>
      </c>
      <c r="N135" s="18" t="n">
        <v>7.1</v>
      </c>
      <c r="O135" s="18" t="inlineStr">
        <is>
          <t xml:space="preserve">图文 </t>
        </is>
      </c>
      <c r="P135" s="21" t="n">
        <v>0.96</v>
      </c>
      <c r="Q135" s="21" t="n">
        <v>0.01</v>
      </c>
      <c r="R135" s="21" t="n">
        <v>0.21</v>
      </c>
      <c r="S135" s="21" t="n">
        <v>0.71</v>
      </c>
      <c r="T135" s="21" t="n">
        <v>0.54</v>
      </c>
      <c r="U135" s="21" t="n">
        <v>0.23</v>
      </c>
      <c r="V135" s="18" t="n">
        <v>1783</v>
      </c>
      <c r="W135" s="18" t="n">
        <v>151</v>
      </c>
      <c r="X135" s="18" t="n">
        <v>955</v>
      </c>
      <c r="Y135" s="18">
        <f>X135*1.1</f>
        <v/>
      </c>
      <c r="Z135" s="20">
        <f>Y135/V135</f>
        <v/>
      </c>
      <c r="AA135" s="20">
        <f>Y135/W135</f>
        <v/>
      </c>
      <c r="AB135" s="18" t="n"/>
      <c r="AC135" s="18" t="n"/>
      <c r="AD135" s="18" t="n"/>
      <c r="AE135" s="18" t="n"/>
    </row>
    <row r="136">
      <c r="A136" s="18" t="n"/>
      <c r="B136" s="18" t="n"/>
      <c r="C136" s="17" t="n">
        <v>46086</v>
      </c>
      <c r="D136" s="18" t="inlineStr">
        <is>
          <t>品牌</t>
        </is>
      </c>
      <c r="E136" s="18" t="inlineStr">
        <is>
          <t>格格妈</t>
        </is>
      </c>
      <c r="F136" s="19" t="n"/>
      <c r="G136" s="19" t="inlineStr">
        <is>
          <t>https://pgy.xiaohongshu.com/solar/pre-trade/blogger-detail/5a12afcae8ac2b5cdc82d608?track_id=kolMatch_13d331fb2f894c14892de395ba62f956&amp;source=Advertiser_Kol</t>
        </is>
      </c>
      <c r="H136" s="19" t="inlineStr">
        <is>
          <t>https://www.xiaohongshu.com/user/profile/5a12afcae8ac2b5cdc82d608</t>
        </is>
      </c>
      <c r="I136" s="118" t="n">
        <v>189198444</v>
      </c>
      <c r="J136" s="18" t="n"/>
      <c r="K136" s="18" t="inlineStr">
        <is>
          <t>家居家装</t>
        </is>
      </c>
      <c r="L136" s="18" t="inlineStr">
        <is>
          <t>koc</t>
        </is>
      </c>
      <c r="M136" s="18" t="n">
        <v>0.8</v>
      </c>
      <c r="N136" s="18" t="n">
        <v>3.5</v>
      </c>
      <c r="O136" s="18" t="inlineStr">
        <is>
          <t xml:space="preserve">图文 </t>
        </is>
      </c>
      <c r="P136" s="21" t="n">
        <v>0.95</v>
      </c>
      <c r="Q136" s="21" t="n">
        <v>0.04</v>
      </c>
      <c r="R136" s="21" t="n">
        <v>0.3</v>
      </c>
      <c r="S136" s="21" t="n">
        <v>0.43</v>
      </c>
      <c r="T136" s="21" t="n">
        <v>0.49</v>
      </c>
      <c r="U136" s="21" t="n">
        <v>0.22</v>
      </c>
      <c r="V136" s="18" t="n">
        <v>3973</v>
      </c>
      <c r="W136" s="18" t="n">
        <v>182</v>
      </c>
      <c r="X136" s="18" t="n">
        <v>700</v>
      </c>
      <c r="Y136" s="18">
        <f>X136*1.1</f>
        <v/>
      </c>
      <c r="Z136" s="20">
        <f>Y136/V136</f>
        <v/>
      </c>
      <c r="AA136" s="20">
        <f>Y136/W136</f>
        <v/>
      </c>
      <c r="AB136" s="18" t="n"/>
      <c r="AC136" s="18" t="n"/>
      <c r="AD136" s="18" t="n"/>
      <c r="AE136" s="18" t="n"/>
    </row>
    <row r="137" ht="19" customHeight="1" s="151">
      <c r="A137" s="18" t="n"/>
      <c r="B137" s="18" t="n"/>
      <c r="C137" s="17" t="n">
        <v>46086</v>
      </c>
      <c r="D137" s="18" t="inlineStr">
        <is>
          <t>品牌</t>
        </is>
      </c>
      <c r="E137" s="18" t="inlineStr">
        <is>
          <t>李小唯.</t>
        </is>
      </c>
      <c r="F137" s="19" t="n"/>
      <c r="G137" s="19" t="inlineStr">
        <is>
          <t>https://pgy.xiaohongshu.com/solar/pre-trade/blogger-detail/5a635c384eacab606f3d6aed?track_id=kolMatch_13d331fb2f894c14892de395ba62f956&amp;source=Advertiser_Kol</t>
        </is>
      </c>
      <c r="H137" s="19" t="inlineStr">
        <is>
          <t>https://www.xiaohongshu.com/user/profile/5a635c384eacab606f3d6aed</t>
        </is>
      </c>
      <c r="I137" s="118" t="inlineStr">
        <is>
          <t>Xhs_rose123</t>
        </is>
      </c>
      <c r="J137" s="18" t="n"/>
      <c r="K137" s="18" t="inlineStr">
        <is>
          <t>家居家装</t>
        </is>
      </c>
      <c r="L137" s="18" t="inlineStr">
        <is>
          <t>koc</t>
        </is>
      </c>
      <c r="M137" s="18" t="n">
        <v>0.5</v>
      </c>
      <c r="N137" s="18" t="n">
        <v>2.3</v>
      </c>
      <c r="O137" s="18" t="inlineStr">
        <is>
          <t xml:space="preserve">图文 </t>
        </is>
      </c>
      <c r="P137" s="21" t="n">
        <v>0.78</v>
      </c>
      <c r="Q137" s="21" t="n">
        <v>0.02</v>
      </c>
      <c r="R137" s="21" t="n">
        <v>0.26</v>
      </c>
      <c r="S137" s="21" t="n">
        <v>0.43</v>
      </c>
      <c r="T137" s="21" t="n">
        <v>0.61</v>
      </c>
      <c r="U137" s="21" t="n">
        <v>0.21</v>
      </c>
      <c r="V137" s="18" t="n">
        <v>5401</v>
      </c>
      <c r="W137" s="18" t="n">
        <v>159</v>
      </c>
      <c r="X137" s="18" t="n">
        <v>1200</v>
      </c>
      <c r="Y137" s="18">
        <f>X137*1.1</f>
        <v/>
      </c>
      <c r="Z137" s="20">
        <f>Y137/V137</f>
        <v/>
      </c>
      <c r="AA137" s="20">
        <f>Y137/W137</f>
        <v/>
      </c>
      <c r="AB137" s="18" t="n"/>
      <c r="AC137" s="18" t="n"/>
      <c r="AD137" s="18" t="n"/>
      <c r="AE137" s="18" t="n"/>
    </row>
    <row r="138" ht="19" customHeight="1" s="151">
      <c r="A138" s="18" t="n"/>
      <c r="B138" s="18" t="n"/>
      <c r="C138" s="17" t="n">
        <v>46086</v>
      </c>
      <c r="D138" s="18" t="inlineStr">
        <is>
          <t>品牌</t>
        </is>
      </c>
      <c r="E138" s="18" t="inlineStr">
        <is>
          <t>出发的决心</t>
        </is>
      </c>
      <c r="F138" s="19" t="n"/>
      <c r="G138" s="19" t="inlineStr">
        <is>
          <t>https://pgy.xiaohongshu.com/solar/pre-trade/blogger-detail/5bbc093af7e8b924df5bff55?track_id=kolMatch_4c3d492c0e31438db990badd38d51cc7&amp;source=Advertiser_Kol</t>
        </is>
      </c>
      <c r="H138" s="19" t="inlineStr">
        <is>
          <t>https://www.xiaohongshu.com/user/profile/5bbc093af7e8b924df5bff55</t>
        </is>
      </c>
      <c r="I138" s="118" t="n">
        <v>538546620</v>
      </c>
      <c r="J138" s="18" t="n"/>
      <c r="K138" s="18" t="inlineStr">
        <is>
          <t>家居家装</t>
        </is>
      </c>
      <c r="L138" s="18" t="inlineStr">
        <is>
          <t>koc</t>
        </is>
      </c>
      <c r="M138" s="18" t="n">
        <v>1</v>
      </c>
      <c r="N138" s="18" t="n">
        <v>5.8</v>
      </c>
      <c r="O138" s="18" t="inlineStr">
        <is>
          <t xml:space="preserve">图文 </t>
        </is>
      </c>
      <c r="P138" s="21" t="n">
        <v>0.78</v>
      </c>
      <c r="Q138" s="21" t="n">
        <v>0.04</v>
      </c>
      <c r="R138" s="21" t="n">
        <v>0.29</v>
      </c>
      <c r="S138" s="21" t="n">
        <v>0.42</v>
      </c>
      <c r="T138" s="21" t="n">
        <v>0.54</v>
      </c>
      <c r="U138" s="21" t="n">
        <v>0.25</v>
      </c>
      <c r="V138" s="18" t="n">
        <v>3062</v>
      </c>
      <c r="W138" s="18" t="n">
        <v>196</v>
      </c>
      <c r="X138" s="18" t="n">
        <v>1000</v>
      </c>
      <c r="Y138" s="18">
        <f>X138*1.1</f>
        <v/>
      </c>
      <c r="Z138" s="20">
        <f>Y138/V138</f>
        <v/>
      </c>
      <c r="AA138" s="20">
        <f>Y138/W138</f>
        <v/>
      </c>
      <c r="AB138" s="18" t="n"/>
      <c r="AC138" s="18" t="n"/>
      <c r="AD138" s="18" t="n"/>
      <c r="AE138" s="18" t="n"/>
    </row>
    <row r="139" ht="19" customHeight="1" s="151">
      <c r="A139" s="18" t="n"/>
      <c r="B139" s="18" t="n"/>
      <c r="C139" s="17" t="n">
        <v>46086</v>
      </c>
      <c r="D139" s="18" t="inlineStr">
        <is>
          <t>品牌</t>
        </is>
      </c>
      <c r="E139" s="18" t="inlineStr">
        <is>
          <t>蜡笔小芳</t>
        </is>
      </c>
      <c r="F139" s="19" t="n"/>
      <c r="G139" s="19" t="inlineStr">
        <is>
          <t>https://pgy.xiaohongshu.com/solar/pre-trade/blogger-detail/598726ce5e87e70884bd33ac?track_id=kolMatch_4c3d492c0e31438db990badd38d51cc7&amp;source=Advertiser_Kol</t>
        </is>
      </c>
      <c r="H139" s="19" t="inlineStr">
        <is>
          <t>https://www.xiaohongshu.com/user/profile/598726ce5e87e70884bd33ac</t>
        </is>
      </c>
      <c r="I139" s="118" t="n">
        <v>638007369</v>
      </c>
      <c r="J139" s="18" t="n"/>
      <c r="K139" s="18" t="inlineStr">
        <is>
          <t>家居家装</t>
        </is>
      </c>
      <c r="L139" s="18" t="inlineStr">
        <is>
          <t>koc</t>
        </is>
      </c>
      <c r="M139" s="18" t="n">
        <v>1.5</v>
      </c>
      <c r="N139" s="18" t="n">
        <v>5.5</v>
      </c>
      <c r="O139" s="18" t="inlineStr">
        <is>
          <t xml:space="preserve">图文 </t>
        </is>
      </c>
      <c r="P139" s="21" t="n">
        <v>0.42</v>
      </c>
      <c r="Q139" s="21" t="n">
        <v>0.03</v>
      </c>
      <c r="R139" s="21" t="n">
        <v>0.21</v>
      </c>
      <c r="S139" s="21" t="n">
        <v>0.38</v>
      </c>
      <c r="T139" s="21" t="n">
        <v>0.27</v>
      </c>
      <c r="U139" s="21" t="n">
        <v>0.3</v>
      </c>
      <c r="V139" s="18" t="n">
        <v>5524</v>
      </c>
      <c r="W139" s="18" t="n">
        <v>215</v>
      </c>
      <c r="X139" s="18" t="n">
        <v>1200</v>
      </c>
      <c r="Y139" s="18">
        <f>X139*1.1</f>
        <v/>
      </c>
      <c r="Z139" s="20">
        <f>Y139/V139</f>
        <v/>
      </c>
      <c r="AA139" s="20">
        <f>Y139/W139</f>
        <v/>
      </c>
      <c r="AB139" s="18" t="n"/>
      <c r="AC139" s="18" t="n"/>
      <c r="AD139" s="18" t="n"/>
      <c r="AE139" s="18" t="n"/>
    </row>
    <row r="140" ht="19" customHeight="1" s="151">
      <c r="A140" s="18" t="n"/>
      <c r="B140" s="18" t="n"/>
      <c r="C140" s="17" t="n">
        <v>46086</v>
      </c>
      <c r="D140" s="18" t="inlineStr">
        <is>
          <t>品牌</t>
        </is>
      </c>
      <c r="E140" s="18" t="inlineStr">
        <is>
          <t>Rui姐的美式小家</t>
        </is>
      </c>
      <c r="F140" s="19" t="n"/>
      <c r="G140" s="19" t="inlineStr">
        <is>
          <t>https://pgy.xiaohongshu.com/solar/pre-trade/blogger-detail/5ff410c7000000000101c4f7?track_id=kolMatch_0e870250d2e041a496aec5eaaf2da9fa&amp;source=Advertiser_Kol</t>
        </is>
      </c>
      <c r="H140" s="19" t="inlineStr">
        <is>
          <t>https://www.xiaohongshu.com/user/profile/5ff410c7000000000101c4f7</t>
        </is>
      </c>
      <c r="I140" s="118" t="n">
        <v>1110174828</v>
      </c>
      <c r="J140" s="18" t="n"/>
      <c r="K140" s="18" t="inlineStr">
        <is>
          <t>家居家装</t>
        </is>
      </c>
      <c r="L140" s="18" t="inlineStr">
        <is>
          <t>koc</t>
        </is>
      </c>
      <c r="M140" s="18" t="n">
        <v>0.2</v>
      </c>
      <c r="N140" s="18" t="n">
        <v>1.9</v>
      </c>
      <c r="O140" s="18" t="inlineStr">
        <is>
          <t xml:space="preserve">图文 </t>
        </is>
      </c>
      <c r="P140" s="21" t="n">
        <v>0.89</v>
      </c>
      <c r="Q140" s="21" t="n">
        <v>0.06</v>
      </c>
      <c r="R140" s="21" t="n">
        <v>0.32</v>
      </c>
      <c r="S140" s="21" t="n">
        <v>0.39</v>
      </c>
      <c r="T140" s="21" t="n">
        <v>0.53</v>
      </c>
      <c r="U140" s="21" t="n">
        <v>0.24</v>
      </c>
      <c r="V140" s="18" t="n">
        <v>4729</v>
      </c>
      <c r="W140" s="18" t="n">
        <v>140</v>
      </c>
      <c r="X140" s="18" t="n">
        <v>600</v>
      </c>
      <c r="Y140" s="18">
        <f>X140*1.1</f>
        <v/>
      </c>
      <c r="Z140" s="20">
        <f>Y140/V140</f>
        <v/>
      </c>
      <c r="AA140" s="20">
        <f>Y140/W140</f>
        <v/>
      </c>
      <c r="AB140" s="18" t="n"/>
      <c r="AC140" s="18" t="n"/>
      <c r="AD140" s="18" t="n"/>
      <c r="AE140" s="18" t="n"/>
    </row>
    <row r="141" ht="19" customHeight="1" s="151">
      <c r="A141" s="18" t="n"/>
      <c r="B141" s="18" t="n"/>
      <c r="C141" s="17" t="n">
        <v>46087</v>
      </c>
      <c r="D141" s="18" t="inlineStr">
        <is>
          <t>品牌</t>
        </is>
      </c>
      <c r="E141" s="18" t="inlineStr">
        <is>
          <t>桥边新叶</t>
        </is>
      </c>
      <c r="F141" s="19" t="n"/>
      <c r="G141" s="19" t="inlineStr">
        <is>
          <t>https://pgy.xiaohongshu.com/solar/pre-trade/blogger-detail/57582f8882ec397ce8a69576?track_id=kolMatch_0e870250d2e041a496aec5eaaf2da9fa&amp;source=Advertiser_Kol</t>
        </is>
      </c>
      <c r="H141" s="19" t="inlineStr">
        <is>
          <t>https://www.xiaohongshu.com/user/profile/57582f8882ec397ce8a69576</t>
        </is>
      </c>
      <c r="I141" s="118" t="n">
        <v>603746029</v>
      </c>
      <c r="J141" s="18" t="n"/>
      <c r="K141" s="18" t="inlineStr">
        <is>
          <t>家居家装</t>
        </is>
      </c>
      <c r="L141" s="18" t="inlineStr">
        <is>
          <t>koc</t>
        </is>
      </c>
      <c r="M141" s="18" t="n">
        <v>0.5</v>
      </c>
      <c r="N141" s="18" t="n">
        <v>5.8</v>
      </c>
      <c r="O141" s="18" t="inlineStr">
        <is>
          <t xml:space="preserve">图文 </t>
        </is>
      </c>
      <c r="P141" s="21" t="n">
        <v>0.84</v>
      </c>
      <c r="Q141" s="21" t="n">
        <v>0.04</v>
      </c>
      <c r="R141" s="21" t="n">
        <v>0.33</v>
      </c>
      <c r="S141" s="21" t="n">
        <v>0.44</v>
      </c>
      <c r="T141" s="21" t="n">
        <v>0.47</v>
      </c>
      <c r="U141" s="21" t="n">
        <v>0.25</v>
      </c>
      <c r="V141" s="18" t="n">
        <v>4292</v>
      </c>
      <c r="W141" s="18" t="n">
        <v>106</v>
      </c>
      <c r="X141" s="18" t="n">
        <v>680</v>
      </c>
      <c r="Y141" s="18">
        <f>X141*1.1</f>
        <v/>
      </c>
      <c r="Z141" s="20">
        <f>Y141/V141</f>
        <v/>
      </c>
      <c r="AA141" s="20">
        <f>Y141/W141</f>
        <v/>
      </c>
      <c r="AB141" s="18" t="n"/>
      <c r="AC141" s="18" t="n"/>
      <c r="AD141" s="18" t="n"/>
      <c r="AE141" s="18" t="n"/>
    </row>
    <row r="142" ht="19" customHeight="1" s="151">
      <c r="A142" s="18" t="n"/>
      <c r="B142" s="18" t="n"/>
      <c r="C142" s="17" t="n">
        <v>46087</v>
      </c>
      <c r="D142" s="18" t="inlineStr">
        <is>
          <t>品牌</t>
        </is>
      </c>
      <c r="E142" s="18" t="inlineStr">
        <is>
          <t>一本大夏天</t>
        </is>
      </c>
      <c r="F142" s="19" t="n"/>
      <c r="G142" s="19" t="inlineStr">
        <is>
          <t>https://pgy.xiaohongshu.com/solar/pre-trade/blogger-detail/556fef2fc2bdeb7652f9e26e?track_id=kolMatch_0e870250d2e041a496aec5eaaf2da9fa&amp;source=Advertiser_Kol</t>
        </is>
      </c>
      <c r="H142" s="19" t="inlineStr">
        <is>
          <t>https://www.xiaohongshu.com/user/profile/556fef2fc2bdeb7652f9e26e</t>
        </is>
      </c>
      <c r="I142" s="118" t="inlineStr">
        <is>
          <t>yeyeyeyesummer</t>
        </is>
      </c>
      <c r="J142" s="18" t="n"/>
      <c r="K142" s="18" t="inlineStr">
        <is>
          <t>家居家装</t>
        </is>
      </c>
      <c r="L142" s="18" t="inlineStr">
        <is>
          <t>koc</t>
        </is>
      </c>
      <c r="M142" s="18" t="n">
        <v>0.1</v>
      </c>
      <c r="N142" s="18" t="n">
        <v>1.9</v>
      </c>
      <c r="O142" s="18" t="inlineStr">
        <is>
          <t xml:space="preserve">图文 </t>
        </is>
      </c>
      <c r="P142" s="21" t="n">
        <v>0.78</v>
      </c>
      <c r="Q142" s="21" t="n">
        <v>0.06</v>
      </c>
      <c r="R142" s="21" t="n">
        <v>0.36</v>
      </c>
      <c r="S142" s="21" t="n">
        <v>0.42</v>
      </c>
      <c r="T142" s="21" t="n">
        <v>0.66</v>
      </c>
      <c r="U142" s="21" t="n">
        <v>0.14</v>
      </c>
      <c r="V142" s="18" t="n">
        <v>4245</v>
      </c>
      <c r="W142" s="18" t="n">
        <v>199</v>
      </c>
      <c r="X142" s="18" t="n">
        <v>700</v>
      </c>
      <c r="Y142" s="18">
        <f>X142*1.1</f>
        <v/>
      </c>
      <c r="Z142" s="20">
        <f>Y142/V142</f>
        <v/>
      </c>
      <c r="AA142" s="20">
        <f>Y142/W142</f>
        <v/>
      </c>
      <c r="AB142" s="18" t="n"/>
      <c r="AC142" s="18" t="n"/>
      <c r="AD142" s="18" t="n"/>
      <c r="AE142" s="18" t="n"/>
    </row>
    <row r="143" ht="19" customHeight="1" s="151">
      <c r="A143" s="18" t="n"/>
      <c r="B143" s="18" t="n"/>
      <c r="C143" s="17" t="n">
        <v>46087</v>
      </c>
      <c r="D143" s="18" t="inlineStr">
        <is>
          <t>品牌</t>
        </is>
      </c>
      <c r="E143" s="18" t="inlineStr">
        <is>
          <t>楠星的星</t>
        </is>
      </c>
      <c r="F143" s="19" t="n"/>
      <c r="G143" s="19" t="inlineStr">
        <is>
          <t>https://pgy.xiaohongshu.com/solar/pre-trade/blogger-detail/60631242000000000100363a?track_id=kolMatch_2030ec33eba049d79858a6144826eff1&amp;source=Advertiser_Kol</t>
        </is>
      </c>
      <c r="H143" s="19" t="inlineStr">
        <is>
          <t>https://www.xiaohongshu.com/user/profile/60631242000000000100363a</t>
        </is>
      </c>
      <c r="I143" s="118" t="n">
        <v>2650237843</v>
      </c>
      <c r="J143" s="18" t="n"/>
      <c r="K143" s="18" t="inlineStr">
        <is>
          <t>家居家装</t>
        </is>
      </c>
      <c r="L143" s="18" t="inlineStr">
        <is>
          <t>koc</t>
        </is>
      </c>
      <c r="M143" s="18" t="n">
        <v>1.1</v>
      </c>
      <c r="N143" s="18" t="n">
        <v>6.6</v>
      </c>
      <c r="O143" s="18" t="inlineStr">
        <is>
          <t xml:space="preserve">图文 </t>
        </is>
      </c>
      <c r="P143" s="21" t="n">
        <v>0.74</v>
      </c>
      <c r="Q143" s="21" t="n">
        <v>0.14</v>
      </c>
      <c r="R143" s="21" t="n">
        <v>0.2</v>
      </c>
      <c r="S143" s="21" t="n">
        <v>0.27</v>
      </c>
      <c r="T143" s="21" t="n">
        <v>0.17</v>
      </c>
      <c r="U143" s="21" t="n">
        <v>0.24</v>
      </c>
      <c r="V143" s="18" t="n">
        <v>3583</v>
      </c>
      <c r="W143" s="18" t="n">
        <v>209</v>
      </c>
      <c r="X143" s="18" t="n">
        <v>1000</v>
      </c>
      <c r="Y143" s="18">
        <f>X143*1.1</f>
        <v/>
      </c>
      <c r="Z143" s="20">
        <f>Y143/V143</f>
        <v/>
      </c>
      <c r="AA143" s="20">
        <f>Y143/W143</f>
        <v/>
      </c>
      <c r="AB143" s="18" t="n"/>
      <c r="AC143" s="18" t="n"/>
      <c r="AD143" s="18" t="n"/>
      <c r="AE143" s="18" t="n"/>
    </row>
    <row r="144" ht="19" customHeight="1" s="151">
      <c r="A144" s="18" t="n"/>
      <c r="B144" s="18" t="n"/>
      <c r="C144" s="17" t="n">
        <v>46087</v>
      </c>
      <c r="D144" s="18" t="inlineStr">
        <is>
          <t>品牌</t>
        </is>
      </c>
      <c r="E144" s="18" t="inlineStr">
        <is>
          <t>梅子</t>
        </is>
      </c>
      <c r="F144" s="19" t="n"/>
      <c r="G144" s="19" t="inlineStr">
        <is>
          <t>https://pgy.xiaohongshu.com/solar/pre-trade/blogger-detail/59ecb335e8ac2b7a9d9bf873?track_id=kolMatch_2030ec33eba049d79858a6144826eff1&amp;source=Advertiser_Kol</t>
        </is>
      </c>
      <c r="H144" s="19" t="inlineStr">
        <is>
          <t>https://www.xiaohongshu.com/user/profile/59ecb335e8ac2b7a9d9bf873</t>
        </is>
      </c>
      <c r="I144" s="118" t="n">
        <v>261606914</v>
      </c>
      <c r="J144" s="18" t="n"/>
      <c r="K144" s="18" t="inlineStr">
        <is>
          <t>家居家装</t>
        </is>
      </c>
      <c r="L144" s="18" t="inlineStr">
        <is>
          <t>koc</t>
        </is>
      </c>
      <c r="M144" s="18" t="n">
        <v>0.3</v>
      </c>
      <c r="N144" s="18" t="n">
        <v>1.3</v>
      </c>
      <c r="O144" s="18" t="inlineStr">
        <is>
          <t xml:space="preserve">图文 </t>
        </is>
      </c>
      <c r="P144" s="21" t="n">
        <v>0.97</v>
      </c>
      <c r="Q144" s="21" t="n">
        <v>0.03</v>
      </c>
      <c r="R144" s="21" t="n">
        <v>0.34</v>
      </c>
      <c r="S144" s="21" t="n">
        <v>0.5</v>
      </c>
      <c r="T144" s="21" t="n">
        <v>0.51</v>
      </c>
      <c r="U144" s="21" t="n">
        <v>0.23</v>
      </c>
      <c r="V144" s="18" t="n">
        <v>2982</v>
      </c>
      <c r="W144" s="18" t="n">
        <v>109</v>
      </c>
      <c r="X144" s="18" t="n">
        <v>1000</v>
      </c>
      <c r="Y144" s="18">
        <f>X144*1.1</f>
        <v/>
      </c>
      <c r="Z144" s="20">
        <f>Y144/V144</f>
        <v/>
      </c>
      <c r="AA144" s="20">
        <f>Y144/W144</f>
        <v/>
      </c>
      <c r="AB144" s="18" t="n"/>
      <c r="AC144" s="18" t="n"/>
      <c r="AD144" s="18" t="n"/>
      <c r="AE144" s="18" t="n"/>
    </row>
    <row r="145" ht="19" customHeight="1" s="151">
      <c r="A145" s="18" t="n"/>
      <c r="B145" s="18" t="n"/>
      <c r="C145" s="17" t="n">
        <v>46087</v>
      </c>
      <c r="D145" s="18" t="inlineStr">
        <is>
          <t>品牌</t>
        </is>
      </c>
      <c r="E145" s="18" t="inlineStr">
        <is>
          <t>二晨</t>
        </is>
      </c>
      <c r="F145" s="19" t="n"/>
      <c r="G145" s="19" t="inlineStr">
        <is>
          <t>https://pgy.xiaohongshu.com/solar/pre-trade/blogger-detail/58b900db37cec976250f4ba7?track_id=kolMatch_31c8847efc624954b2f79cd082c5877b&amp;source=Advertiser_Kol</t>
        </is>
      </c>
      <c r="H145" s="19" t="inlineStr">
        <is>
          <t>https://www.xiaohongshu.com/user/profile/58b900db37cec976250f4ba7</t>
        </is>
      </c>
      <c r="I145" s="18" t="n">
        <v>494502354</v>
      </c>
      <c r="J145" s="18" t="n"/>
      <c r="K145" s="18" t="inlineStr">
        <is>
          <t>家居家装</t>
        </is>
      </c>
      <c r="L145" s="18" t="inlineStr">
        <is>
          <t>koc</t>
        </is>
      </c>
      <c r="M145" s="18" t="n">
        <v>0.2</v>
      </c>
      <c r="N145" s="18" t="n">
        <v>2.5</v>
      </c>
      <c r="O145" s="18" t="inlineStr">
        <is>
          <t xml:space="preserve">图文 </t>
        </is>
      </c>
      <c r="P145" s="21" t="n">
        <v>0.62</v>
      </c>
      <c r="Q145" s="21" t="n">
        <v>0.04</v>
      </c>
      <c r="R145" s="21" t="n">
        <v>0.4</v>
      </c>
      <c r="S145" s="21" t="n">
        <v>0.45</v>
      </c>
      <c r="T145" s="21" t="n">
        <v>0.61</v>
      </c>
      <c r="U145" s="21" t="n">
        <v>0.17</v>
      </c>
      <c r="V145" s="18" t="n">
        <v>5817</v>
      </c>
      <c r="W145" s="18" t="n">
        <v>262</v>
      </c>
      <c r="X145" s="18" t="n">
        <v>600</v>
      </c>
      <c r="Y145" s="18">
        <f>X145*1.1</f>
        <v/>
      </c>
      <c r="Z145" s="20">
        <f>Y145/V145</f>
        <v/>
      </c>
      <c r="AA145" s="20">
        <f>Y145/W145</f>
        <v/>
      </c>
      <c r="AB145" s="18" t="n"/>
      <c r="AC145" s="18" t="n"/>
      <c r="AD145" s="18" t="n"/>
      <c r="AE145" s="18" t="n"/>
    </row>
    <row r="146" ht="84.05" customHeight="1" s="151">
      <c r="A146" s="18" t="n"/>
      <c r="B146" s="18" t="n"/>
      <c r="C146" s="17" t="n">
        <v>46087</v>
      </c>
      <c r="D146" s="18" t="inlineStr">
        <is>
          <t>电商</t>
        </is>
      </c>
      <c r="E146" s="18" t="inlineStr">
        <is>
          <t>布林家电测评</t>
        </is>
      </c>
      <c r="F146" s="19" t="n"/>
      <c r="G146" s="19" t="inlineStr">
        <is>
          <t>https://pgy.xiaohongshu.com/solar/pre-trade/blogger-detail/6424f86a000000002a00823d?track_id=kolSearch_da2d14e3f3324c5989200d5275e9e79f&amp;source=Advertiser_Kol</t>
        </is>
      </c>
      <c r="H146" s="19" t="inlineStr">
        <is>
          <t>https://www.xiaohongshu.com/user/profile/6424f86a000000002a00823d</t>
        </is>
      </c>
      <c r="I146" s="118" t="n">
        <v>2286047025</v>
      </c>
      <c r="J146" s="18" t="n"/>
      <c r="K146" s="18" t="inlineStr">
        <is>
          <t>家居家装</t>
        </is>
      </c>
      <c r="L146" s="18" t="inlineStr">
        <is>
          <t>koc</t>
        </is>
      </c>
      <c r="M146" s="18" t="n">
        <v>0.7</v>
      </c>
      <c r="N146" s="18" t="n">
        <v>1.2</v>
      </c>
      <c r="O146" s="18" t="inlineStr">
        <is>
          <t xml:space="preserve">图文 </t>
        </is>
      </c>
      <c r="P146" s="21" t="n">
        <v>0.84</v>
      </c>
      <c r="Q146" s="18" t="n"/>
      <c r="R146" s="18" t="n"/>
      <c r="S146" s="18" t="n"/>
      <c r="T146" s="21" t="n">
        <v>0.39</v>
      </c>
      <c r="U146" s="21" t="n">
        <v>0.22</v>
      </c>
      <c r="V146" s="18" t="n">
        <v>2519</v>
      </c>
      <c r="W146" s="18" t="n">
        <v>217</v>
      </c>
      <c r="X146" s="18" t="n">
        <v>1200</v>
      </c>
      <c r="Y146" s="18">
        <f>X146*1.1</f>
        <v/>
      </c>
      <c r="Z146" s="20">
        <f>Y146/V146</f>
        <v/>
      </c>
      <c r="AA146" s="20">
        <f>Y146/W146</f>
        <v/>
      </c>
      <c r="AB146" s="18" t="n"/>
      <c r="AC146" s="18" t="n"/>
      <c r="AD146" s="18" t="n"/>
      <c r="AE146" s="18" t="n"/>
    </row>
    <row r="147" ht="85.3" customHeight="1" s="151">
      <c r="A147" s="18" t="n"/>
      <c r="B147" s="18" t="n"/>
      <c r="C147" s="17" t="n">
        <v>46087</v>
      </c>
      <c r="D147" s="18" t="inlineStr">
        <is>
          <t>电商</t>
        </is>
      </c>
      <c r="E147" s="18" t="inlineStr">
        <is>
          <t>栖居笔记</t>
        </is>
      </c>
      <c r="F147" s="19" t="n"/>
      <c r="G147" s="19" t="inlineStr">
        <is>
          <t>https://pgy.xiaohongshu.com/solar/pre-trade/blogger-detail/68346ed9000000000803914a?track_id=kolMatch_e0113116f1764faf89aa583dd4ec5a75&amp;source=Advertiser_Kol</t>
        </is>
      </c>
      <c r="H147" s="19" t="inlineStr">
        <is>
          <t>https://www.xiaohongshu.com/user/profile/68346ed9000000000803914a</t>
        </is>
      </c>
      <c r="I147" s="118" t="n">
        <v>26113481663</v>
      </c>
      <c r="J147" s="18" t="n"/>
      <c r="K147" s="18" t="inlineStr">
        <is>
          <t>家居家装</t>
        </is>
      </c>
      <c r="L147" s="18" t="inlineStr">
        <is>
          <t>koc</t>
        </is>
      </c>
      <c r="M147" s="18" t="n">
        <v>1.6</v>
      </c>
      <c r="N147" s="18" t="n">
        <v>9.300000000000001</v>
      </c>
      <c r="O147" s="18" t="inlineStr">
        <is>
          <t xml:space="preserve">图文 </t>
        </is>
      </c>
      <c r="P147" s="21" t="n">
        <v>0.77</v>
      </c>
      <c r="Q147" s="18" t="n"/>
      <c r="R147" s="18" t="n"/>
      <c r="S147" s="18" t="n"/>
      <c r="T147" s="21" t="n">
        <v>0.18</v>
      </c>
      <c r="U147" s="21" t="n">
        <v>0.25</v>
      </c>
      <c r="V147" s="18" t="n">
        <v>2096</v>
      </c>
      <c r="W147" s="18" t="n">
        <v>175</v>
      </c>
      <c r="X147" s="18" t="n">
        <v>800</v>
      </c>
      <c r="Y147" s="18">
        <f>X147*1.1</f>
        <v/>
      </c>
      <c r="Z147" s="20">
        <f>Y147/V147</f>
        <v/>
      </c>
      <c r="AA147" s="20">
        <f>Y147/W147</f>
        <v/>
      </c>
      <c r="AB147" s="18" t="n"/>
      <c r="AC147" s="18" t="n"/>
      <c r="AD147" s="18" t="n"/>
      <c r="AE147" s="18" t="n"/>
    </row>
    <row r="148" ht="79.8" customHeight="1" s="151">
      <c r="A148" s="18" t="n"/>
      <c r="B148" s="18" t="n"/>
      <c r="C148" s="17" t="n">
        <v>46087</v>
      </c>
      <c r="D148" s="18" t="inlineStr">
        <is>
          <t>电商</t>
        </is>
      </c>
      <c r="E148" s="18" t="inlineStr">
        <is>
          <t>桉小桉</t>
        </is>
      </c>
      <c r="F148" s="19" t="n"/>
      <c r="G148" s="19" t="inlineStr">
        <is>
          <t>https://pgy.xiaohongshu.com/solar/pre-trade/blogger-detail/64b926470000000014036b27?track_id=kolMatch_e0113116f1764faf89aa583dd4ec5a75&amp;source=Advertiser_Kol</t>
        </is>
      </c>
      <c r="H148" s="19" t="inlineStr">
        <is>
          <t>https://www.xiaohongshu.com/user/profile/64b926470000000014036b27</t>
        </is>
      </c>
      <c r="I148" s="118" t="n">
        <v>2235174152</v>
      </c>
      <c r="J148" s="18" t="n"/>
      <c r="K148" s="18" t="inlineStr">
        <is>
          <t>家居家装</t>
        </is>
      </c>
      <c r="L148" s="18" t="inlineStr">
        <is>
          <t>koc</t>
        </is>
      </c>
      <c r="M148" s="18" t="n">
        <v>4.1</v>
      </c>
      <c r="N148" s="18" t="n">
        <v>39.6</v>
      </c>
      <c r="O148" s="18" t="inlineStr">
        <is>
          <t xml:space="preserve">图文 </t>
        </is>
      </c>
      <c r="P148" s="21" t="n">
        <v>0.79</v>
      </c>
      <c r="Q148" s="18" t="n"/>
      <c r="R148" s="18" t="n"/>
      <c r="S148" s="18" t="n"/>
      <c r="T148" s="21" t="n">
        <v>0.22</v>
      </c>
      <c r="U148" s="21" t="n">
        <v>0.25</v>
      </c>
      <c r="V148" s="18" t="n">
        <v>1754</v>
      </c>
      <c r="W148" s="18" t="n">
        <v>185</v>
      </c>
      <c r="X148" s="18" t="n">
        <v>1000</v>
      </c>
      <c r="Y148" s="18">
        <f>X148*1.1</f>
        <v/>
      </c>
      <c r="Z148" s="20">
        <f>Y148/V148</f>
        <v/>
      </c>
      <c r="AA148" s="20">
        <f>Y148/W148</f>
        <v/>
      </c>
      <c r="AB148" s="18" t="n"/>
      <c r="AC148" s="18" t="n"/>
      <c r="AD148" s="18" t="n"/>
      <c r="AE148" s="18" t="n"/>
    </row>
    <row r="149" ht="89.5" customHeight="1" s="151">
      <c r="A149" s="18" t="n"/>
      <c r="B149" s="18" t="n"/>
      <c r="C149" s="17" t="n">
        <v>46087</v>
      </c>
      <c r="D149" s="18" t="inlineStr">
        <is>
          <t>电商</t>
        </is>
      </c>
      <c r="E149" s="18" t="inlineStr">
        <is>
          <t>兜着点儿</t>
        </is>
      </c>
      <c r="F149" s="19" t="n"/>
      <c r="G149" s="19" t="inlineStr">
        <is>
          <t>https://pgy.xiaohongshu.com/solar/pre-trade/blogger-detail/5f6e22680000000001008f6e?track_id=kolMatch_41546b3a86de45cab5ca1fdf2ce52b81&amp;source=Advertiser_Kol</t>
        </is>
      </c>
      <c r="H149" s="19" t="inlineStr">
        <is>
          <t>https://www.xiaohongshu.com/user/profile/5f6e22680000000001008f6e</t>
        </is>
      </c>
      <c r="I149" s="118" t="n">
        <v>5375832828</v>
      </c>
      <c r="J149" s="18" t="n"/>
      <c r="K149" s="18" t="inlineStr">
        <is>
          <t>家居家装</t>
        </is>
      </c>
      <c r="L149" s="18" t="inlineStr">
        <is>
          <t>koc</t>
        </is>
      </c>
      <c r="M149" s="18" t="n">
        <v>0.8</v>
      </c>
      <c r="N149" s="18" t="n">
        <v>6.2</v>
      </c>
      <c r="O149" s="18" t="inlineStr">
        <is>
          <t xml:space="preserve">图文 </t>
        </is>
      </c>
      <c r="P149" s="21" t="n">
        <v>0.95</v>
      </c>
      <c r="Q149" s="18" t="n"/>
      <c r="R149" s="18" t="n"/>
      <c r="S149" s="18" t="n"/>
      <c r="T149" s="21" t="n">
        <v>0.48</v>
      </c>
      <c r="U149" s="21" t="n">
        <v>0.2</v>
      </c>
      <c r="V149" s="18" t="n">
        <v>2402</v>
      </c>
      <c r="W149" s="18" t="n">
        <v>227</v>
      </c>
      <c r="X149" s="18" t="n">
        <v>850</v>
      </c>
      <c r="Y149" s="18">
        <f>X149*1.1</f>
        <v/>
      </c>
      <c r="Z149" s="20">
        <f>Y149/V149</f>
        <v/>
      </c>
      <c r="AA149" s="20">
        <f>Y149/W149</f>
        <v/>
      </c>
      <c r="AB149" s="18" t="n"/>
      <c r="AC149" s="18" t="n"/>
      <c r="AD149" s="18" t="n"/>
      <c r="AE149" s="18" t="n"/>
    </row>
    <row r="150" ht="85.3" customHeight="1" s="151">
      <c r="A150" s="18" t="n"/>
      <c r="B150" s="18" t="n"/>
      <c r="C150" s="17" t="n">
        <v>46087</v>
      </c>
      <c r="D150" s="18" t="inlineStr">
        <is>
          <t>电商</t>
        </is>
      </c>
      <c r="E150" s="18" t="inlineStr">
        <is>
          <t>MOM聊家居</t>
        </is>
      </c>
      <c r="F150" s="19" t="n"/>
      <c r="G150" s="19" t="inlineStr">
        <is>
          <t>https://pgy.xiaohongshu.com/solar/pre-trade/blogger-detail/59da402320e88f535580d916?track_id=kolMatch_0e870250d2e041a496aec5eaaf2da9fa&amp;source=Advertiser_Kol</t>
        </is>
      </c>
      <c r="H150" s="19" t="inlineStr">
        <is>
          <t>https://www.xiaohongshu.com/user/profile/59da402320e88f535580d916</t>
        </is>
      </c>
      <c r="I150" s="118" t="n">
        <v>638837291</v>
      </c>
      <c r="J150" s="18" t="n"/>
      <c r="K150" s="18" t="inlineStr">
        <is>
          <t>家居家装</t>
        </is>
      </c>
      <c r="L150" s="18" t="inlineStr">
        <is>
          <t>koc</t>
        </is>
      </c>
      <c r="M150" s="18" t="n">
        <v>0.7</v>
      </c>
      <c r="N150" s="18" t="n">
        <v>3</v>
      </c>
      <c r="O150" s="18" t="inlineStr">
        <is>
          <t xml:space="preserve">图文 </t>
        </is>
      </c>
      <c r="P150" s="21" t="n">
        <v>0.95</v>
      </c>
      <c r="Q150" s="18" t="n"/>
      <c r="R150" s="18" t="n"/>
      <c r="S150" s="18" t="n"/>
      <c r="T150" s="21" t="n">
        <v>0.55</v>
      </c>
      <c r="U150" s="21" t="n">
        <v>0.18</v>
      </c>
      <c r="V150" s="18" t="n">
        <v>1539</v>
      </c>
      <c r="W150" s="18" t="n">
        <v>127</v>
      </c>
      <c r="X150" s="18" t="n">
        <v>800</v>
      </c>
      <c r="Y150" s="18">
        <f>X150*1.1</f>
        <v/>
      </c>
      <c r="Z150" s="20">
        <f>Y150/V150</f>
        <v/>
      </c>
      <c r="AA150" s="20">
        <f>Y150/W150</f>
        <v/>
      </c>
      <c r="AB150" s="18" t="n"/>
      <c r="AC150" s="18" t="n"/>
      <c r="AD150" s="18" t="n"/>
      <c r="AE150" s="18" t="n"/>
    </row>
    <row r="151" ht="73.15000000000001" customHeight="1" s="151">
      <c r="A151" s="18" t="n"/>
      <c r="B151" s="18" t="n"/>
      <c r="C151" s="17" t="n">
        <v>46087</v>
      </c>
      <c r="D151" s="18" t="inlineStr">
        <is>
          <t>电商</t>
        </is>
      </c>
      <c r="E151" s="18" t="inlineStr">
        <is>
          <t>岚岚理想家</t>
        </is>
      </c>
      <c r="F151" s="19" t="n"/>
      <c r="G151" s="19" t="inlineStr">
        <is>
          <t>https://pgy.xiaohongshu.com/solar/pre-trade/blogger-detail/658e22da00000000220175d5?track_id=kolSearch_504f0a1499ef4eca914a028b3563c02c&amp;source=Advertiser_Kol</t>
        </is>
      </c>
      <c r="H151" s="19" t="inlineStr">
        <is>
          <t>https://www.xiaohongshu.com/user/profile/658e22da00000000220175d5</t>
        </is>
      </c>
      <c r="I151" s="118" t="n">
        <v>9069770700</v>
      </c>
      <c r="J151" s="18" t="n"/>
      <c r="K151" s="18" t="inlineStr">
        <is>
          <t>家居家装</t>
        </is>
      </c>
      <c r="L151" s="18" t="inlineStr">
        <is>
          <t>koc</t>
        </is>
      </c>
      <c r="M151" s="18" t="n">
        <v>1.3</v>
      </c>
      <c r="N151" s="18" t="n">
        <v>9.300000000000001</v>
      </c>
      <c r="O151" s="18" t="inlineStr">
        <is>
          <t xml:space="preserve">图文 </t>
        </is>
      </c>
      <c r="P151" s="21" t="n">
        <v>0.9</v>
      </c>
      <c r="Q151" s="18" t="n"/>
      <c r="R151" s="18" t="n"/>
      <c r="S151" s="18" t="n"/>
      <c r="T151" s="21" t="n">
        <v>0.48</v>
      </c>
      <c r="U151" s="21" t="n">
        <v>0.17</v>
      </c>
      <c r="V151" s="18" t="n">
        <v>11122</v>
      </c>
      <c r="W151" s="18" t="n">
        <v>459</v>
      </c>
      <c r="X151" s="18" t="n">
        <v>1800</v>
      </c>
      <c r="Y151" s="18">
        <f>X151*1.1</f>
        <v/>
      </c>
      <c r="Z151" s="20">
        <f>Y151/V151</f>
        <v/>
      </c>
      <c r="AA151" s="20">
        <f>Y151/W151</f>
        <v/>
      </c>
      <c r="AB151" s="18" t="n"/>
      <c r="AC151" s="18" t="n"/>
      <c r="AD151" s="18" t="n"/>
      <c r="AE151" s="18" t="n"/>
    </row>
    <row r="152" ht="70.09999999999999" customHeight="1" s="151">
      <c r="A152" s="18" t="n"/>
      <c r="B152" s="18" t="n"/>
      <c r="C152" s="17" t="n">
        <v>46087</v>
      </c>
      <c r="D152" s="18" t="inlineStr">
        <is>
          <t>电商</t>
        </is>
      </c>
      <c r="E152" s="18" t="inlineStr">
        <is>
          <t>Layla</t>
        </is>
      </c>
      <c r="F152" s="122" t="n"/>
      <c r="G152" s="122" t="inlineStr">
        <is>
          <t>https://pgy.xiaohongshu.com/solar/pre-trade/blogger-detail/584f8b3c5e87e7146d691dc2?track_id=kolSimilar_d5a69ff6e3f94b34ace363d962f81282&amp;source=Advertiser_Similar_Kol</t>
        </is>
      </c>
      <c r="H152" s="122" t="inlineStr">
        <is>
          <t>https://www.xiaohongshu.com/user/profile/584f8b3c5e87e7146d691dc2</t>
        </is>
      </c>
      <c r="I152" s="118" t="inlineStr">
        <is>
          <t>_LaylaW_</t>
        </is>
      </c>
      <c r="J152" s="18" t="n"/>
      <c r="K152" s="18" t="inlineStr">
        <is>
          <t>家居家装</t>
        </is>
      </c>
      <c r="L152" s="18" t="inlineStr">
        <is>
          <t>koc</t>
        </is>
      </c>
      <c r="M152" s="18" t="n">
        <v>0.2</v>
      </c>
      <c r="N152" s="18" t="n">
        <v>3</v>
      </c>
      <c r="O152" s="18" t="inlineStr">
        <is>
          <t xml:space="preserve">图文 </t>
        </is>
      </c>
      <c r="P152" s="21" t="n">
        <v>0.83</v>
      </c>
      <c r="Q152" s="18" t="n"/>
      <c r="R152" s="18" t="n"/>
      <c r="S152" s="18" t="n"/>
      <c r="T152" s="21" t="n">
        <v>0.76</v>
      </c>
      <c r="U152" s="21" t="n">
        <v>0.09</v>
      </c>
      <c r="V152" s="18" t="n">
        <v>13651</v>
      </c>
      <c r="W152" s="18" t="n">
        <v>346</v>
      </c>
      <c r="X152" s="18" t="n">
        <v>1000</v>
      </c>
      <c r="Y152" s="18">
        <f>X152*1.1</f>
        <v/>
      </c>
      <c r="Z152" s="20">
        <f>Y152/V152</f>
        <v/>
      </c>
      <c r="AA152" s="20">
        <f>Y152/W152</f>
        <v/>
      </c>
      <c r="AB152" s="18" t="n"/>
      <c r="AC152" s="18" t="n"/>
      <c r="AD152" s="18" t="n"/>
      <c r="AE152" s="18" t="n"/>
    </row>
    <row r="153" ht="75.34999999999999" customHeight="1" s="151">
      <c r="A153" s="18" t="n"/>
      <c r="B153" s="18" t="n"/>
      <c r="C153" s="17" t="n">
        <v>46087</v>
      </c>
      <c r="D153" s="18" t="inlineStr">
        <is>
          <t>电商</t>
        </is>
      </c>
      <c r="E153" s="18" t="inlineStr">
        <is>
          <t>拉赫玛尼懦夫</t>
        </is>
      </c>
      <c r="F153" s="122" t="n"/>
      <c r="G153" s="122" t="inlineStr">
        <is>
          <t>https://pgy.xiaohongshu.com/solar/pre-trade/blogger-detail/5572c1b1faea913a62c67865?track_id=kolSimilar_d5a69ff6e3f94b34ace363d962f81282&amp;source=Advertiser_Similar_Kol</t>
        </is>
      </c>
      <c r="H153" s="122" t="inlineStr">
        <is>
          <t>https://www.xiaohongshu.com/user/profile/5572c1b1faea913a62c67865</t>
        </is>
      </c>
      <c r="I153" s="118" t="n">
        <v>109364933</v>
      </c>
      <c r="J153" s="18" t="n"/>
      <c r="K153" s="18" t="inlineStr">
        <is>
          <t>家居家装</t>
        </is>
      </c>
      <c r="L153" s="18" t="inlineStr">
        <is>
          <t>koc</t>
        </is>
      </c>
      <c r="M153" s="18" t="n">
        <v>1</v>
      </c>
      <c r="N153" s="18" t="n">
        <v>6.9</v>
      </c>
      <c r="O153" s="18" t="inlineStr">
        <is>
          <t xml:space="preserve">图文 </t>
        </is>
      </c>
      <c r="P153" s="21" t="n">
        <v>0.9399999999999999</v>
      </c>
      <c r="Q153" s="18" t="n"/>
      <c r="R153" s="18" t="n"/>
      <c r="S153" s="18" t="n"/>
      <c r="T153" s="21" t="n">
        <v>0.74</v>
      </c>
      <c r="U153" s="21" t="n">
        <v>0.11</v>
      </c>
      <c r="V153" s="18" t="n">
        <v>2821</v>
      </c>
      <c r="W153" s="18" t="n">
        <v>364</v>
      </c>
      <c r="X153" s="18" t="n">
        <v>900</v>
      </c>
      <c r="Y153" s="18">
        <f>X153*1.1</f>
        <v/>
      </c>
      <c r="Z153" s="20">
        <f>Y153/V153</f>
        <v/>
      </c>
      <c r="AA153" s="20">
        <f>Y153/W153</f>
        <v/>
      </c>
      <c r="AB153" s="18" t="n"/>
      <c r="AC153" s="18" t="n"/>
      <c r="AD153" s="18" t="n"/>
      <c r="AE153" s="18" t="n"/>
    </row>
    <row r="154" ht="81.90000000000001" customHeight="1" s="151">
      <c r="A154" s="18" t="n"/>
      <c r="B154" s="18" t="n"/>
      <c r="C154" s="17" t="n">
        <v>46087</v>
      </c>
      <c r="D154" s="18" t="inlineStr">
        <is>
          <t>电商</t>
        </is>
      </c>
      <c r="E154" s="18" t="inlineStr">
        <is>
          <t>Avery</t>
        </is>
      </c>
      <c r="F154" s="122" t="n"/>
      <c r="G154" s="122" t="inlineStr">
        <is>
          <t>https://pgy.xiaohongshu.com/solar/pre-trade/blogger-detail/64bfeca7000000001403ddf2?track_id=kolSimilar_d5a69ff6e3f94b34ace363d962f81282&amp;source=Advertiser_Similar_Kol</t>
        </is>
      </c>
      <c r="H154" s="122" t="inlineStr">
        <is>
          <t>https://www.xiaohongshu.com/user/profile/64bfeca7000000001403ddf2</t>
        </is>
      </c>
      <c r="I154" s="118" t="inlineStr">
        <is>
          <t>AveryOne</t>
        </is>
      </c>
      <c r="J154" s="18" t="n"/>
      <c r="K154" s="18" t="inlineStr">
        <is>
          <t>家居家装</t>
        </is>
      </c>
      <c r="L154" s="18" t="inlineStr">
        <is>
          <t>koc</t>
        </is>
      </c>
      <c r="M154" s="18" t="n">
        <v>0.2</v>
      </c>
      <c r="N154" s="18" t="n">
        <v>7.4</v>
      </c>
      <c r="O154" s="18" t="inlineStr">
        <is>
          <t xml:space="preserve">图文 </t>
        </is>
      </c>
      <c r="P154" s="21" t="n">
        <v>0.84</v>
      </c>
      <c r="Q154" s="18" t="n"/>
      <c r="R154" s="18" t="n"/>
      <c r="S154" s="18" t="n"/>
      <c r="T154" s="21" t="n">
        <v>0.73</v>
      </c>
      <c r="U154" s="21" t="n">
        <v>0.09</v>
      </c>
      <c r="V154" s="18" t="n">
        <v>2868</v>
      </c>
      <c r="W154" s="18" t="n">
        <v>328</v>
      </c>
      <c r="X154" s="18" t="n">
        <v>800</v>
      </c>
      <c r="Y154" s="18">
        <f>X154*1.1</f>
        <v/>
      </c>
      <c r="Z154" s="20">
        <f>Y154/V154</f>
        <v/>
      </c>
      <c r="AA154" s="20">
        <f>Y154/W154</f>
        <v/>
      </c>
      <c r="AB154" s="18" t="n"/>
      <c r="AC154" s="18" t="n"/>
      <c r="AD154" s="18" t="n"/>
      <c r="AE154" s="18" t="n"/>
    </row>
    <row r="155">
      <c r="A155" s="37" t="n"/>
      <c r="B155" s="37" t="n"/>
      <c r="C155" s="37" t="n"/>
      <c r="D155" s="38" t="n"/>
      <c r="E155" s="37" t="n"/>
      <c r="F155" s="121" t="n"/>
      <c r="G155" s="121" t="n"/>
      <c r="H155" s="121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40" t="n"/>
      <c r="AA155" s="40" t="n"/>
      <c r="AB155" s="37" t="n"/>
      <c r="AC155" s="37" t="n"/>
      <c r="AD155" s="37" t="n"/>
      <c r="AE155" s="37" t="n"/>
    </row>
    <row r="156">
      <c r="A156" s="18" t="n"/>
      <c r="B156" s="18" t="n"/>
      <c r="C156" s="17" t="n">
        <v>46090</v>
      </c>
      <c r="D156" s="18" t="inlineStr">
        <is>
          <t>品牌</t>
        </is>
      </c>
      <c r="E156" s="18" t="inlineStr">
        <is>
          <t>唐唐的家（软装中</t>
        </is>
      </c>
      <c r="F156" s="122" t="n"/>
      <c r="G156" s="122" t="inlineStr">
        <is>
          <t>https://pgy.xiaohongshu.com/solar/pre-trade/blogger-detail/64b4a44b0000000025037a79?track_id=kolSimilar_afee5b2bff3c454e86441972b68f5273&amp;source=Advertiser_Similar_Kol</t>
        </is>
      </c>
      <c r="H156" s="122" t="inlineStr">
        <is>
          <t>https://www.xiaohongshu.com/user/profile/64b4a44b0000000025037a79</t>
        </is>
      </c>
      <c r="I156" s="118" t="n">
        <v>4303038093</v>
      </c>
      <c r="J156" s="18" t="n"/>
      <c r="K156" s="18" t="inlineStr">
        <is>
          <t>家居家装</t>
        </is>
      </c>
      <c r="L156" s="18" t="inlineStr">
        <is>
          <t>koc</t>
        </is>
      </c>
      <c r="M156" s="18" t="n">
        <v>0.7</v>
      </c>
      <c r="N156" s="18" t="n">
        <v>9.4</v>
      </c>
      <c r="O156" s="18" t="inlineStr">
        <is>
          <t>视频</t>
        </is>
      </c>
      <c r="P156" s="21" t="n">
        <v>0.6899999999999999</v>
      </c>
      <c r="Q156" s="21" t="n">
        <v>0.05</v>
      </c>
      <c r="R156" s="21" t="n">
        <v>0.42</v>
      </c>
      <c r="S156" s="21" t="n">
        <v>0.38</v>
      </c>
      <c r="T156" s="21" t="n">
        <v>0.57</v>
      </c>
      <c r="U156" s="21" t="n">
        <v>0.21</v>
      </c>
      <c r="V156" s="22" t="n">
        <v>5472</v>
      </c>
      <c r="W156" s="18" t="n">
        <v>276</v>
      </c>
      <c r="X156" s="18" t="n">
        <v>1280</v>
      </c>
      <c r="Y156" s="18">
        <f>X156*1.1</f>
        <v/>
      </c>
      <c r="Z156" s="20">
        <f>Y156/V156</f>
        <v/>
      </c>
      <c r="AA156" s="20">
        <f>Y156/W156</f>
        <v/>
      </c>
      <c r="AB156" s="18" t="n"/>
      <c r="AC156" s="18" t="n"/>
      <c r="AD156" s="18" t="n"/>
      <c r="AE156" s="18" t="n"/>
    </row>
    <row r="157">
      <c r="A157" s="18" t="n"/>
      <c r="B157" s="18" t="n"/>
      <c r="C157" s="17" t="n">
        <v>46090</v>
      </c>
      <c r="D157" s="18" t="inlineStr">
        <is>
          <t>品牌</t>
        </is>
      </c>
      <c r="E157" s="18" t="inlineStr">
        <is>
          <t>发财备忘陆</t>
        </is>
      </c>
      <c r="F157" s="122" t="n"/>
      <c r="G157" s="122" t="inlineStr">
        <is>
          <t>https://pgy.xiaohongshu.com/solar/pre-trade/blogger-detail/632981db000000002303ccb0?track_id=kolSimilar_afee5b2bff3c454e86441972b68f5273&amp;source=Advertiser_Similar_Kol</t>
        </is>
      </c>
      <c r="H157" s="122" t="inlineStr">
        <is>
          <t>https://www.xiaohongshu.com/user/profile/632981db000000002303ccb0</t>
        </is>
      </c>
      <c r="I157" s="118" t="n">
        <v>5662136262</v>
      </c>
      <c r="J157" s="18" t="n"/>
      <c r="K157" s="18" t="inlineStr">
        <is>
          <t>家居家装</t>
        </is>
      </c>
      <c r="L157" s="18" t="inlineStr">
        <is>
          <t>koc</t>
        </is>
      </c>
      <c r="M157" s="18" t="n">
        <v>0.6</v>
      </c>
      <c r="N157" s="18" t="n">
        <v>6.4</v>
      </c>
      <c r="O157" s="18" t="inlineStr">
        <is>
          <t>图文</t>
        </is>
      </c>
      <c r="P157" s="21" t="n">
        <v>0.8</v>
      </c>
      <c r="Q157" s="21" t="n">
        <v>0.07000000000000001</v>
      </c>
      <c r="R157" s="21" t="n">
        <v>0.46</v>
      </c>
      <c r="S157" s="21" t="n">
        <v>0.33</v>
      </c>
      <c r="T157" s="21" t="n">
        <v>0.62</v>
      </c>
      <c r="U157" s="21" t="n">
        <v>0.17</v>
      </c>
      <c r="V157" s="22" t="n">
        <v>3692</v>
      </c>
      <c r="W157" s="18" t="n">
        <v>315</v>
      </c>
      <c r="X157" s="18" t="n">
        <v>990</v>
      </c>
      <c r="Y157" s="18">
        <f>X157*1.1</f>
        <v/>
      </c>
      <c r="Z157" s="20">
        <f>Y157/V157</f>
        <v/>
      </c>
      <c r="AA157" s="20">
        <f>Y157/W157</f>
        <v/>
      </c>
      <c r="AB157" s="18" t="n"/>
      <c r="AC157" s="18" t="n"/>
      <c r="AD157" s="18" t="n"/>
      <c r="AE157" s="18" t="n"/>
    </row>
    <row r="158">
      <c r="A158" s="18" t="n"/>
      <c r="B158" s="18" t="n"/>
      <c r="C158" s="17" t="n">
        <v>46090</v>
      </c>
      <c r="D158" s="18" t="inlineStr">
        <is>
          <t>品牌</t>
        </is>
      </c>
      <c r="E158" s="18" t="inlineStr">
        <is>
          <t>DZ(软装中)</t>
        </is>
      </c>
      <c r="F158" s="122" t="n"/>
      <c r="G158" s="122" t="inlineStr">
        <is>
          <t>https://pgy.xiaohongshu.com/solar/pre-trade/blogger-detail/59fe7751e8ac2b58eaa319ad?track_id=kolSimilar_afee5b2bff3c454e86441972b68f5273&amp;source=Advertiser_Similar_Kol</t>
        </is>
      </c>
      <c r="H158" s="122" t="inlineStr">
        <is>
          <t>https://www.xiaohongshu.com/user/profile/59fe7751e8ac2b58eaa319ad</t>
        </is>
      </c>
      <c r="I158" s="118" t="n">
        <v>496863173</v>
      </c>
      <c r="J158" s="18" t="n"/>
      <c r="K158" s="18" t="inlineStr">
        <is>
          <t>家居家装</t>
        </is>
      </c>
      <c r="L158" s="18" t="inlineStr">
        <is>
          <t>koc</t>
        </is>
      </c>
      <c r="M158" s="18" t="n">
        <v>0.4</v>
      </c>
      <c r="N158" s="18" t="n">
        <v>5.5</v>
      </c>
      <c r="O158" s="18" t="inlineStr">
        <is>
          <t>图文</t>
        </is>
      </c>
      <c r="P158" s="21" t="n">
        <v>0.6</v>
      </c>
      <c r="Q158" s="21" t="n">
        <v>0.06</v>
      </c>
      <c r="R158" s="21" t="n">
        <v>0.49</v>
      </c>
      <c r="S158" s="21" t="n">
        <v>0.32</v>
      </c>
      <c r="T158" s="21" t="n">
        <v>0.7</v>
      </c>
      <c r="U158" s="21" t="n">
        <v>0.11</v>
      </c>
      <c r="V158" s="22" t="n">
        <v>4878</v>
      </c>
      <c r="W158" s="18" t="n">
        <v>662</v>
      </c>
      <c r="X158" s="18" t="n">
        <v>1200</v>
      </c>
      <c r="Y158" s="18">
        <f>X158*1.1</f>
        <v/>
      </c>
      <c r="Z158" s="20">
        <f>Y158/V158</f>
        <v/>
      </c>
      <c r="AA158" s="20">
        <f>Y158/W158</f>
        <v/>
      </c>
      <c r="AB158" s="18" t="n"/>
      <c r="AC158" s="18" t="n"/>
      <c r="AD158" s="18" t="n"/>
      <c r="AE158" s="18" t="n"/>
    </row>
    <row r="159">
      <c r="A159" s="18" t="n"/>
      <c r="B159" s="18" t="n"/>
      <c r="C159" s="17" t="n">
        <v>46090</v>
      </c>
      <c r="D159" s="18" t="inlineStr">
        <is>
          <t>品牌</t>
        </is>
      </c>
      <c r="E159" s="18" t="inlineStr">
        <is>
          <t>诺诺home</t>
        </is>
      </c>
      <c r="F159" s="122" t="n"/>
      <c r="G159" s="122" t="inlineStr">
        <is>
          <t>https://pgy.xiaohongshu.com/solar/pre-trade/blogger-detail/64896cf3000000002a03723c?track_id=kolSimilar_afee5b2bff3c454e86441972b68f5273&amp;source=Advertiser_Similar_Kol</t>
        </is>
      </c>
      <c r="H159" s="122" t="inlineStr">
        <is>
          <t>https://www.xiaohongshu.com/user/profile/64896cf3000000002a03723c</t>
        </is>
      </c>
      <c r="I159" s="118" t="n">
        <v>2205882849</v>
      </c>
      <c r="J159" s="18" t="n"/>
      <c r="K159" s="18" t="inlineStr">
        <is>
          <t>家居家装</t>
        </is>
      </c>
      <c r="L159" s="18" t="inlineStr">
        <is>
          <t>koc</t>
        </is>
      </c>
      <c r="M159" s="18" t="n">
        <v>0.5</v>
      </c>
      <c r="N159" s="18" t="n">
        <v>4.5</v>
      </c>
      <c r="O159" s="18" t="inlineStr">
        <is>
          <t>图文</t>
        </is>
      </c>
      <c r="P159" s="21" t="n">
        <v>0.85</v>
      </c>
      <c r="Q159" s="21" t="n">
        <v>0.05</v>
      </c>
      <c r="R159" s="21" t="n">
        <v>0.68</v>
      </c>
      <c r="S159" s="21" t="n">
        <v>0.16</v>
      </c>
      <c r="T159" s="21" t="n">
        <v>0.38</v>
      </c>
      <c r="U159" s="21" t="n">
        <v>0.38</v>
      </c>
      <c r="V159" s="22" t="n">
        <v>2966</v>
      </c>
      <c r="W159" s="18" t="n">
        <v>555</v>
      </c>
      <c r="X159" s="18" t="n">
        <v>1400</v>
      </c>
      <c r="Y159" s="18">
        <f>X159*1.1</f>
        <v/>
      </c>
      <c r="Z159" s="20">
        <f>Y159/V159</f>
        <v/>
      </c>
      <c r="AA159" s="20">
        <f>Y159/W159</f>
        <v/>
      </c>
      <c r="AB159" s="18" t="n"/>
      <c r="AC159" s="18" t="n"/>
      <c r="AD159" s="18" t="n"/>
      <c r="AE159" s="18" t="n"/>
    </row>
    <row r="160">
      <c r="A160" s="18" t="n"/>
      <c r="B160" s="18" t="n"/>
      <c r="C160" s="17" t="n">
        <v>46090</v>
      </c>
      <c r="D160" s="18" t="inlineStr">
        <is>
          <t>品牌</t>
        </is>
      </c>
      <c r="E160" s="18" t="inlineStr">
        <is>
          <t>呱呱家（努力软装）</t>
        </is>
      </c>
      <c r="F160" s="122" t="n"/>
      <c r="G160" s="122" t="inlineStr">
        <is>
          <t>https://pgy.xiaohongshu.com/solar/pre-trade/blogger-detail/618909c80000000010008136?track_id=kolSimilar_afee5b2bff3c454e86441972b68f5273&amp;source=Advertiser_Similar_Kol</t>
        </is>
      </c>
      <c r="H160" s="122" t="inlineStr">
        <is>
          <t>https://www.xiaohongshu.com/user/profile/618909c80000000010008136</t>
        </is>
      </c>
      <c r="I160" s="118" t="n">
        <v>11526950152</v>
      </c>
      <c r="J160" s="18" t="n"/>
      <c r="K160" s="18" t="inlineStr">
        <is>
          <t>家居家装</t>
        </is>
      </c>
      <c r="L160" s="18" t="inlineStr">
        <is>
          <t>koc</t>
        </is>
      </c>
      <c r="M160" s="18" t="n">
        <v>0.4</v>
      </c>
      <c r="N160" s="18" t="n">
        <v>8.6</v>
      </c>
      <c r="O160" s="18" t="inlineStr">
        <is>
          <t>图文</t>
        </is>
      </c>
      <c r="P160" s="21" t="n">
        <v>0.66</v>
      </c>
      <c r="Q160" s="21" t="n">
        <v>0.16</v>
      </c>
      <c r="R160" s="21" t="n">
        <v>0.67</v>
      </c>
      <c r="S160" s="21" t="n">
        <v>0.15</v>
      </c>
      <c r="T160" s="21" t="n">
        <v>0.6899999999999999</v>
      </c>
      <c r="U160" s="21" t="n">
        <v>0.1</v>
      </c>
      <c r="V160" s="22" t="n">
        <v>5821</v>
      </c>
      <c r="W160" s="18" t="n">
        <v>669</v>
      </c>
      <c r="X160" s="18" t="n">
        <v>1300</v>
      </c>
      <c r="Y160" s="18">
        <f>X160*1.1</f>
        <v/>
      </c>
      <c r="Z160" s="20">
        <f>Y160/V160</f>
        <v/>
      </c>
      <c r="AA160" s="20">
        <f>Y160/W160</f>
        <v/>
      </c>
      <c r="AB160" s="18" t="n"/>
      <c r="AC160" s="18" t="n"/>
      <c r="AD160" s="18" t="n"/>
      <c r="AE160" s="18" t="n"/>
    </row>
    <row r="161">
      <c r="A161" s="18" t="n"/>
      <c r="B161" s="18" t="n"/>
      <c r="C161" s="17" t="n">
        <v>46090</v>
      </c>
      <c r="D161" s="18" t="inlineStr">
        <is>
          <t>品牌</t>
        </is>
      </c>
      <c r="E161" s="18" t="inlineStr">
        <is>
          <t>大G小屋</t>
        </is>
      </c>
      <c r="F161" s="122" t="n"/>
      <c r="G161" s="122" t="inlineStr">
        <is>
          <t>https://pgy.xiaohongshu.com/solar/pre-trade/blogger-detail/55a781c862a60c5ba54f2c22?track_id=kolSimilar_afee5b2bff3c454e86441972b68f5273&amp;source=Advertiser_Similar_Kol</t>
        </is>
      </c>
      <c r="H161" s="122" t="inlineStr">
        <is>
          <t>https://www.xiaohongshu.com/user/profile/55a781c862a60c5ba54f2c22</t>
        </is>
      </c>
      <c r="I161" s="118" t="n">
        <v>411403565</v>
      </c>
      <c r="J161" s="18" t="n"/>
      <c r="K161" s="18" t="inlineStr">
        <is>
          <t>家居家装</t>
        </is>
      </c>
      <c r="L161" s="18" t="inlineStr">
        <is>
          <t>koc</t>
        </is>
      </c>
      <c r="M161" s="18" t="n">
        <v>0.4</v>
      </c>
      <c r="N161" s="18" t="n">
        <v>11.8</v>
      </c>
      <c r="O161" s="18" t="inlineStr">
        <is>
          <t>图文</t>
        </is>
      </c>
      <c r="P161" s="21" t="n">
        <v>0.8</v>
      </c>
      <c r="Q161" s="21" t="n">
        <v>0.06</v>
      </c>
      <c r="R161" s="21" t="n">
        <v>0.47</v>
      </c>
      <c r="S161" s="21" t="n">
        <v>0.29</v>
      </c>
      <c r="T161" s="21" t="n">
        <v>0.52</v>
      </c>
      <c r="U161" s="21" t="n">
        <v>0.2</v>
      </c>
      <c r="V161" s="22" t="n">
        <v>2743</v>
      </c>
      <c r="W161" s="18" t="n">
        <v>408</v>
      </c>
      <c r="X161" s="18" t="n">
        <v>600</v>
      </c>
      <c r="Y161" s="18">
        <f>X161*1.1</f>
        <v/>
      </c>
      <c r="Z161" s="20">
        <f>Y161/V161</f>
        <v/>
      </c>
      <c r="AA161" s="20">
        <f>Y161/W161</f>
        <v/>
      </c>
      <c r="AB161" s="18" t="n"/>
      <c r="AC161" s="18" t="n"/>
      <c r="AD161" s="18" t="n"/>
      <c r="AE161" s="18" t="n"/>
    </row>
    <row r="162">
      <c r="A162" s="18" t="n"/>
      <c r="B162" s="18" t="n"/>
      <c r="C162" s="17" t="n">
        <v>46090</v>
      </c>
      <c r="D162" s="18" t="inlineStr">
        <is>
          <t>品牌</t>
        </is>
      </c>
      <c r="E162" s="18" t="inlineStr">
        <is>
          <t>狮子座朵拉.</t>
        </is>
      </c>
      <c r="F162" s="122" t="n"/>
      <c r="G162" s="122" t="inlineStr">
        <is>
          <t>https://pgy.xiaohongshu.com/solar/pre-trade/blogger-detail/63859b55000000001f01e32a?track_id=kolSimilar_7811fa4d3b8f40ccb863093c6429df1c&amp;source=Advertiser_Similar_Kol</t>
        </is>
      </c>
      <c r="H162" s="122" t="inlineStr">
        <is>
          <t>https://www.xiaohongshu.com/user/profile/63859b55000000001f01e32a</t>
        </is>
      </c>
      <c r="I162" s="118" t="n">
        <v>6765602368</v>
      </c>
      <c r="J162" s="18" t="n"/>
      <c r="K162" s="18" t="inlineStr">
        <is>
          <t>家居家装</t>
        </is>
      </c>
      <c r="L162" s="18" t="inlineStr">
        <is>
          <t>koc</t>
        </is>
      </c>
      <c r="M162" s="18" t="n">
        <v>0.29</v>
      </c>
      <c r="N162" s="18" t="n">
        <v>4.1</v>
      </c>
      <c r="O162" s="18" t="inlineStr">
        <is>
          <t>图文</t>
        </is>
      </c>
      <c r="P162" s="21" t="n">
        <v>0.87</v>
      </c>
      <c r="Q162" s="21" t="n">
        <v>0.15</v>
      </c>
      <c r="R162" s="21" t="n">
        <v>0.57</v>
      </c>
      <c r="S162" s="21" t="n">
        <v>0.21</v>
      </c>
      <c r="T162" s="21" t="n">
        <v>0.78</v>
      </c>
      <c r="U162" s="21" t="n">
        <v>0.08</v>
      </c>
      <c r="V162" s="22" t="n">
        <v>3489</v>
      </c>
      <c r="W162" s="18" t="n">
        <v>357</v>
      </c>
      <c r="X162" s="18" t="n">
        <v>1000</v>
      </c>
      <c r="Y162" s="18">
        <f>X162*1.1</f>
        <v/>
      </c>
      <c r="Z162" s="20">
        <f>Y162/V162</f>
        <v/>
      </c>
      <c r="AA162" s="20">
        <f>Y162/W162</f>
        <v/>
      </c>
      <c r="AB162" s="18" t="n"/>
      <c r="AC162" s="18" t="n"/>
      <c r="AD162" s="18" t="n"/>
      <c r="AE162" s="18" t="n"/>
    </row>
    <row r="163">
      <c r="A163" s="18" t="n"/>
      <c r="B163" s="18" t="n"/>
      <c r="C163" s="17" t="n">
        <v>46090</v>
      </c>
      <c r="D163" s="18" t="inlineStr">
        <is>
          <t>品牌</t>
        </is>
      </c>
      <c r="E163" s="18" t="inlineStr">
        <is>
          <t>雪儿比比</t>
        </is>
      </c>
      <c r="F163" s="122" t="n"/>
      <c r="G163" s="122" t="inlineStr">
        <is>
          <t>https://pgy.xiaohongshu.com/solar/pre-trade/blogger-detail/5b0789374eacab335d270c00?track_id=kolSimilar_7811fa4d3b8f40ccb863093c6429df1c&amp;source=Advertiser_Similar_Kol</t>
        </is>
      </c>
      <c r="H163" s="122" t="inlineStr">
        <is>
          <t>https://www.xiaohongshu.com/user/profile/5b0789374eacab335d270c00</t>
        </is>
      </c>
      <c r="I163" s="118" t="n">
        <v>490494940</v>
      </c>
      <c r="J163" s="18" t="n"/>
      <c r="K163" s="18" t="inlineStr">
        <is>
          <t>家居家装</t>
        </is>
      </c>
      <c r="L163" s="18" t="inlineStr">
        <is>
          <t>koc</t>
        </is>
      </c>
      <c r="M163" s="18" t="n">
        <v>0.3</v>
      </c>
      <c r="N163" s="18" t="n">
        <v>6.5</v>
      </c>
      <c r="O163" s="18" t="inlineStr">
        <is>
          <t>图文</t>
        </is>
      </c>
      <c r="P163" s="21" t="n">
        <v>0.57</v>
      </c>
      <c r="Q163" s="21" t="n">
        <v>0.14</v>
      </c>
      <c r="R163" s="21" t="n">
        <v>0.63</v>
      </c>
      <c r="S163" s="21" t="n">
        <v>0.16</v>
      </c>
      <c r="T163" s="21" t="n">
        <v>0.66</v>
      </c>
      <c r="U163" s="21" t="n">
        <v>0.11</v>
      </c>
      <c r="V163" s="22" t="n">
        <v>5699</v>
      </c>
      <c r="W163" s="18" t="n">
        <v>669</v>
      </c>
      <c r="X163" s="18" t="n">
        <v>1500</v>
      </c>
      <c r="Y163" s="18">
        <f>X163*1.1</f>
        <v/>
      </c>
      <c r="Z163" s="20">
        <f>Y163/V163</f>
        <v/>
      </c>
      <c r="AA163" s="20">
        <f>Y163/W163</f>
        <v/>
      </c>
      <c r="AB163" s="18" t="n"/>
      <c r="AC163" s="18" t="n"/>
      <c r="AD163" s="18" t="n"/>
      <c r="AE163" s="18" t="n"/>
    </row>
    <row r="164">
      <c r="A164" s="18" t="n"/>
      <c r="B164" s="18" t="n"/>
      <c r="C164" s="17" t="n">
        <v>46090</v>
      </c>
      <c r="D164" s="18" t="inlineStr">
        <is>
          <t>品牌</t>
        </is>
      </c>
      <c r="E164" s="18" t="inlineStr">
        <is>
          <t>ab大大大小姐</t>
        </is>
      </c>
      <c r="F164" s="122" t="n"/>
      <c r="G164" s="122" t="inlineStr">
        <is>
          <t>https://pgy.xiaohongshu.com/solar/pre-trade/blogger-detail/583795be7fc5b8507b2907d0?track_id=kolSimilar_febe79f6b9e54ac5af1dce11544e3433&amp;source=Advertiser_Similar_Kol</t>
        </is>
      </c>
      <c r="H164" s="122" t="inlineStr">
        <is>
          <t>https://www.xiaohongshu.com/user/profile/583795be7fc5b8507b2907d0</t>
        </is>
      </c>
      <c r="I164" s="118" t="n">
        <v>269442013</v>
      </c>
      <c r="J164" s="18" t="n"/>
      <c r="K164" s="18" t="inlineStr">
        <is>
          <t>家居家装</t>
        </is>
      </c>
      <c r="L164" s="18" t="inlineStr">
        <is>
          <t>koc</t>
        </is>
      </c>
      <c r="M164" s="18" t="n">
        <v>0.7</v>
      </c>
      <c r="N164" s="18" t="n">
        <v>22.6</v>
      </c>
      <c r="O164" s="18" t="inlineStr">
        <is>
          <t>图文</t>
        </is>
      </c>
      <c r="P164" s="21" t="n">
        <v>0.84</v>
      </c>
      <c r="Q164" s="21" t="n">
        <v>0.17</v>
      </c>
      <c r="R164" s="21" t="n">
        <v>0.45</v>
      </c>
      <c r="S164" s="21" t="n">
        <v>0.25</v>
      </c>
      <c r="T164" s="21" t="n">
        <v>0.59</v>
      </c>
      <c r="U164" s="21" t="n">
        <v>0.15</v>
      </c>
      <c r="V164" s="22" t="n">
        <v>3049</v>
      </c>
      <c r="W164" s="18" t="n">
        <v>191</v>
      </c>
      <c r="X164" s="18" t="n">
        <v>1200</v>
      </c>
      <c r="Y164" s="18">
        <f>X164*1.1</f>
        <v/>
      </c>
      <c r="Z164" s="20">
        <f>Y164/V164</f>
        <v/>
      </c>
      <c r="AA164" s="20">
        <f>Y164/W164</f>
        <v/>
      </c>
      <c r="AB164" s="18" t="n"/>
      <c r="AC164" s="18" t="n"/>
      <c r="AD164" s="18" t="n"/>
      <c r="AE164" s="18" t="n"/>
    </row>
    <row r="165">
      <c r="A165" s="18" t="n"/>
      <c r="B165" s="18" t="n"/>
      <c r="C165" s="17" t="n">
        <v>46090</v>
      </c>
      <c r="D165" s="18" t="inlineStr">
        <is>
          <t>品牌</t>
        </is>
      </c>
      <c r="E165" s="18" t="inlineStr">
        <is>
          <t>甜心小兔Judy</t>
        </is>
      </c>
      <c r="F165" s="122" t="n"/>
      <c r="G165" s="122" t="inlineStr">
        <is>
          <t>https://pgy.xiaohongshu.com/solar/pre-trade/blogger-detail/6277d62b0000000021023c65?track_id=kolSimilar_febe79f6b9e54ac5af1dce11544e3433&amp;source=Advertiser_Similar_Kol</t>
        </is>
      </c>
      <c r="H165" s="122" t="inlineStr">
        <is>
          <t>https://www.xiaohongshu.com/user/profile/6277d62b0000000021023c65</t>
        </is>
      </c>
      <c r="I165" s="118" t="n">
        <v>5695737142</v>
      </c>
      <c r="J165" s="18" t="n"/>
      <c r="K165" s="18" t="inlineStr">
        <is>
          <t>家居家装</t>
        </is>
      </c>
      <c r="L165" s="18" t="inlineStr">
        <is>
          <t>koc</t>
        </is>
      </c>
      <c r="M165" s="18" t="n">
        <v>0.5</v>
      </c>
      <c r="N165" s="18" t="n">
        <v>6.9</v>
      </c>
      <c r="O165" s="18" t="inlineStr">
        <is>
          <t>图文</t>
        </is>
      </c>
      <c r="P165" s="21" t="n">
        <v>0.88</v>
      </c>
      <c r="Q165" s="21" t="n">
        <v>0.11</v>
      </c>
      <c r="R165" s="21" t="n">
        <v>0.62</v>
      </c>
      <c r="S165" s="21" t="n">
        <v>0.2</v>
      </c>
      <c r="T165" s="21" t="n">
        <v>0.71</v>
      </c>
      <c r="U165" s="21" t="n">
        <v>0.11</v>
      </c>
      <c r="V165" s="22" t="n">
        <v>3327</v>
      </c>
      <c r="W165" s="18" t="n">
        <v>299</v>
      </c>
      <c r="X165" s="18" t="n">
        <v>1200</v>
      </c>
      <c r="Y165" s="18">
        <f>X165*1.1</f>
        <v/>
      </c>
      <c r="Z165" s="20">
        <f>Y165/V165</f>
        <v/>
      </c>
      <c r="AA165" s="20">
        <f>Y165/W165</f>
        <v/>
      </c>
      <c r="AB165" s="18" t="n"/>
      <c r="AC165" s="18" t="n"/>
      <c r="AD165" s="18" t="n"/>
      <c r="AE165" s="18" t="n"/>
    </row>
    <row r="166">
      <c r="A166" s="18" t="n"/>
      <c r="B166" s="18" t="n"/>
      <c r="C166" s="17" t="n">
        <v>46090</v>
      </c>
      <c r="D166" s="18" t="inlineStr">
        <is>
          <t>品牌</t>
        </is>
      </c>
      <c r="E166" s="18" t="inlineStr">
        <is>
          <t>Nini珍（软装ing）</t>
        </is>
      </c>
      <c r="F166" s="122" t="n"/>
      <c r="G166" s="122" t="inlineStr">
        <is>
          <t>https://pgy.xiaohongshu.com/solar/pre-trade/blogger-detail/576e73696a6a69534baf02f6?track_id=kolSimilar_febe79f6b9e54ac5af1dce11544e3433&amp;source=Advertiser_Similar_Kol</t>
        </is>
      </c>
      <c r="H166" s="122" t="inlineStr">
        <is>
          <t>https://www.xiaohongshu.com/user/profile/576e73696a6a69534baf02f6</t>
        </is>
      </c>
      <c r="I166" s="118" t="inlineStr">
        <is>
          <t>doudouma</t>
        </is>
      </c>
      <c r="J166" s="18" t="n"/>
      <c r="K166" s="18" t="inlineStr">
        <is>
          <t>家居家装</t>
        </is>
      </c>
      <c r="L166" s="18" t="inlineStr">
        <is>
          <t>koc</t>
        </is>
      </c>
      <c r="M166" s="18" t="n">
        <v>1</v>
      </c>
      <c r="N166" s="18" t="n">
        <v>8</v>
      </c>
      <c r="O166" s="18" t="inlineStr">
        <is>
          <t>图文</t>
        </is>
      </c>
      <c r="P166" s="21" t="n">
        <v>0.87</v>
      </c>
      <c r="Q166" s="21" t="n">
        <v>0.03</v>
      </c>
      <c r="R166" s="21" t="n">
        <v>0.44</v>
      </c>
      <c r="S166" s="21" t="n">
        <v>0.38</v>
      </c>
      <c r="T166" s="21" t="n">
        <v>0.63</v>
      </c>
      <c r="U166" s="21" t="n">
        <v>0.18</v>
      </c>
      <c r="V166" s="22" t="n">
        <v>8492</v>
      </c>
      <c r="W166" s="18" t="n">
        <v>1474</v>
      </c>
      <c r="X166" s="18" t="n">
        <v>1000</v>
      </c>
      <c r="Y166" s="18">
        <f>X166*1.1</f>
        <v/>
      </c>
      <c r="Z166" s="20">
        <f>Y166/V166</f>
        <v/>
      </c>
      <c r="AA166" s="20">
        <f>Y166/W166</f>
        <v/>
      </c>
      <c r="AB166" s="18" t="n"/>
      <c r="AC166" s="18" t="n"/>
      <c r="AD166" s="18" t="n"/>
      <c r="AE166" s="18" t="n"/>
    </row>
    <row r="167">
      <c r="A167" s="18" t="n"/>
      <c r="B167" s="18" t="n"/>
      <c r="C167" s="17" t="n">
        <v>46090</v>
      </c>
      <c r="D167" s="18" t="inlineStr">
        <is>
          <t>品牌</t>
        </is>
      </c>
      <c r="E167" s="18" t="inlineStr">
        <is>
          <t>车车乘乘🏠</t>
        </is>
      </c>
      <c r="F167" s="122" t="n"/>
      <c r="G167" s="122" t="inlineStr">
        <is>
          <t>https://pgy.xiaohongshu.com/solar/pre-trade/blogger-detail/65e69a36000000000500e720?track_id=kolSimilar_febe79f6b9e54ac5af1dce11544e3433&amp;source=Advertiser_Similar_Kol</t>
        </is>
      </c>
      <c r="H167" s="122" t="inlineStr">
        <is>
          <t>https://www.xiaohongshu.com/user/profile/65e69a36000000000500e720</t>
        </is>
      </c>
      <c r="I167" s="118" t="n">
        <v>26307678794</v>
      </c>
      <c r="J167" s="18" t="n"/>
      <c r="K167" s="18" t="inlineStr">
        <is>
          <t>家居家装</t>
        </is>
      </c>
      <c r="L167" s="18" t="inlineStr">
        <is>
          <t>koc</t>
        </is>
      </c>
      <c r="M167" s="18" t="n">
        <v>0.6</v>
      </c>
      <c r="N167" s="18" t="n">
        <v>7.2</v>
      </c>
      <c r="O167" s="18" t="inlineStr">
        <is>
          <t>图文</t>
        </is>
      </c>
      <c r="P167" s="21" t="n">
        <v>0.87</v>
      </c>
      <c r="Q167" s="21" t="n">
        <v>0.15</v>
      </c>
      <c r="R167" s="21" t="n">
        <v>0.64</v>
      </c>
      <c r="S167" s="21" t="n">
        <v>0.15</v>
      </c>
      <c r="T167" s="21" t="n">
        <v>0.77</v>
      </c>
      <c r="U167" s="21" t="n">
        <v>0.06</v>
      </c>
      <c r="V167" s="22" t="n">
        <v>5740</v>
      </c>
      <c r="W167" s="18" t="n">
        <v>465</v>
      </c>
      <c r="X167" s="18" t="n">
        <v>1500</v>
      </c>
      <c r="Y167" s="18">
        <f>X167*1.1</f>
        <v/>
      </c>
      <c r="Z167" s="20">
        <f>Y167/V167</f>
        <v/>
      </c>
      <c r="AA167" s="20">
        <f>Y167/W167</f>
        <v/>
      </c>
      <c r="AB167" s="18" t="n"/>
      <c r="AC167" s="18" t="n"/>
      <c r="AD167" s="18" t="n"/>
      <c r="AE167" s="18" t="n"/>
    </row>
    <row r="168">
      <c r="A168" s="18" t="n"/>
      <c r="B168" s="18" t="n"/>
      <c r="C168" s="17" t="n">
        <v>46090</v>
      </c>
      <c r="D168" s="18" t="inlineStr">
        <is>
          <t>品牌</t>
        </is>
      </c>
      <c r="E168" s="18" t="inlineStr">
        <is>
          <t>热欧肉</t>
        </is>
      </c>
      <c r="F168" s="122" t="n"/>
      <c r="G168" s="122" t="inlineStr">
        <is>
          <t>https://pgy.xiaohongshu.com/solar/pre-trade/blogger-detail/6225aa0a000000001000a5b2?track_id=kolSimilar_91d398f11280451396f277840554532a&amp;source=Advertiser_Similar_Kol</t>
        </is>
      </c>
      <c r="H168" s="122" t="inlineStr">
        <is>
          <t>https://www.xiaohongshu.com/user/profile/6225aa0a000000001000a5b2</t>
        </is>
      </c>
      <c r="I168" s="118" t="n">
        <v>6985744648</v>
      </c>
      <c r="J168" s="18" t="n"/>
      <c r="K168" s="18" t="inlineStr">
        <is>
          <t>家居家装</t>
        </is>
      </c>
      <c r="L168" s="18" t="inlineStr">
        <is>
          <t>koc</t>
        </is>
      </c>
      <c r="M168" s="18" t="n">
        <v>0.2</v>
      </c>
      <c r="N168" s="18" t="n">
        <v>7.7</v>
      </c>
      <c r="O168" s="18" t="inlineStr">
        <is>
          <t>图文</t>
        </is>
      </c>
      <c r="P168" s="21" t="n">
        <v>0.83</v>
      </c>
      <c r="Q168" s="21" t="n">
        <v>0.17</v>
      </c>
      <c r="R168" s="21" t="n">
        <v>0.62</v>
      </c>
      <c r="S168" s="21" t="n">
        <v>0.14</v>
      </c>
      <c r="T168" s="21" t="n">
        <v>0.77</v>
      </c>
      <c r="U168" s="21" t="n">
        <v>0.07000000000000001</v>
      </c>
      <c r="V168" s="22" t="n">
        <v>3988</v>
      </c>
      <c r="W168" s="18" t="n">
        <v>396</v>
      </c>
      <c r="X168" s="18" t="n">
        <v>600</v>
      </c>
      <c r="Y168" s="18">
        <f>X168*1.1</f>
        <v/>
      </c>
      <c r="Z168" s="20">
        <f>Y168/V168</f>
        <v/>
      </c>
      <c r="AA168" s="20">
        <f>Y168/W168</f>
        <v/>
      </c>
      <c r="AB168" s="18" t="n"/>
      <c r="AC168" s="18" t="n"/>
      <c r="AD168" s="18" t="n"/>
      <c r="AE168" s="18" t="n"/>
    </row>
    <row r="169">
      <c r="A169" s="18" t="n"/>
      <c r="B169" s="18" t="n"/>
      <c r="C169" s="17" t="n">
        <v>46090</v>
      </c>
      <c r="D169" s="18" t="inlineStr">
        <is>
          <t>品牌</t>
        </is>
      </c>
      <c r="E169" s="18" t="inlineStr">
        <is>
          <t>Iminsomniac.</t>
        </is>
      </c>
      <c r="F169" s="122" t="n"/>
      <c r="G169" s="122" t="inlineStr">
        <is>
          <t>https://pgy.xiaohongshu.com/solar/pre-trade/blogger-detail/57f7b1855e87e749ee7e6a8a?track_id=kolSimilar_91d398f11280451396f277840554532a&amp;source=Advertiser_Similar_Kol</t>
        </is>
      </c>
      <c r="H169" s="122" t="inlineStr">
        <is>
          <t>https://www.xiaohongshu.com/user/profile/57f7b1855e87e749ee7e6a8a</t>
        </is>
      </c>
      <c r="I169" s="118" t="inlineStr">
        <is>
          <t>black202078</t>
        </is>
      </c>
      <c r="J169" s="18" t="n"/>
      <c r="K169" s="18" t="inlineStr">
        <is>
          <t>家居家装</t>
        </is>
      </c>
      <c r="L169" s="18" t="inlineStr">
        <is>
          <t>koc</t>
        </is>
      </c>
      <c r="M169" s="18" t="n">
        <v>0.4</v>
      </c>
      <c r="N169" s="18" t="n">
        <v>7.1</v>
      </c>
      <c r="O169" s="18" t="inlineStr">
        <is>
          <t>图文</t>
        </is>
      </c>
      <c r="P169" s="21" t="n">
        <v>0.79</v>
      </c>
      <c r="Q169" s="21" t="n">
        <v>0.11</v>
      </c>
      <c r="R169" s="21" t="n">
        <v>0.49</v>
      </c>
      <c r="S169" s="21" t="n">
        <v>0.28</v>
      </c>
      <c r="T169" s="21" t="n">
        <v>0.63</v>
      </c>
      <c r="U169" s="21" t="n">
        <v>0.13</v>
      </c>
      <c r="V169" s="22" t="n">
        <v>5194</v>
      </c>
      <c r="W169" s="18" t="n">
        <v>480</v>
      </c>
      <c r="X169" s="18" t="n">
        <v>2000</v>
      </c>
      <c r="Y169" s="18">
        <f>X169*1.1</f>
        <v/>
      </c>
      <c r="Z169" s="20">
        <f>Y169/V169</f>
        <v/>
      </c>
      <c r="AA169" s="20">
        <f>Y169/W169</f>
        <v/>
      </c>
      <c r="AB169" s="18" t="n"/>
      <c r="AC169" s="18" t="n"/>
      <c r="AD169" s="18" t="n"/>
      <c r="AE169" s="18" t="n"/>
    </row>
    <row r="170">
      <c r="A170" s="18" t="n"/>
      <c r="B170" s="18" t="n"/>
      <c r="C170" s="17" t="n">
        <v>46090</v>
      </c>
      <c r="D170" s="18" t="inlineStr">
        <is>
          <t>品牌</t>
        </is>
      </c>
      <c r="E170" s="18" t="inlineStr">
        <is>
          <t>是小李咩子啊</t>
        </is>
      </c>
      <c r="F170" s="122" t="n"/>
      <c r="G170" s="122" t="inlineStr">
        <is>
          <t>https://pgy.xiaohongshu.com/solar/pre-trade/blogger-detail/5b400b074eacab0c8b1f0519?track_id=kolSimilar_91d398f11280451396f277840554532a&amp;source=Advertiser_Similar_Kol</t>
        </is>
      </c>
      <c r="H170" s="122" t="inlineStr">
        <is>
          <t>https://www.xiaohongshu.com/user/profile/5b400b074eacab0c8b1f0519</t>
        </is>
      </c>
      <c r="I170" s="118" t="inlineStr">
        <is>
          <t>LMZ631007883</t>
        </is>
      </c>
      <c r="J170" s="18" t="n"/>
      <c r="K170" s="18" t="inlineStr">
        <is>
          <t>家居家装</t>
        </is>
      </c>
      <c r="L170" s="18" t="inlineStr">
        <is>
          <t>koc</t>
        </is>
      </c>
      <c r="M170" s="18" t="n">
        <v>0.7</v>
      </c>
      <c r="N170" s="18" t="n">
        <v>10</v>
      </c>
      <c r="O170" s="18" t="inlineStr">
        <is>
          <t>图文</t>
        </is>
      </c>
      <c r="P170" s="21" t="n">
        <v>0.75</v>
      </c>
      <c r="Q170" s="21" t="n">
        <v>0.08</v>
      </c>
      <c r="R170" s="21" t="n">
        <v>0.59</v>
      </c>
      <c r="S170" s="21" t="n">
        <v>0.25</v>
      </c>
      <c r="T170" s="21" t="n">
        <v>0.73</v>
      </c>
      <c r="U170" s="21" t="n">
        <v>0.11</v>
      </c>
      <c r="V170" s="22" t="n">
        <v>8783</v>
      </c>
      <c r="W170" s="18" t="n">
        <v>1074</v>
      </c>
      <c r="X170" s="18" t="n">
        <v>2000</v>
      </c>
      <c r="Y170" s="18">
        <f>X170*1.1</f>
        <v/>
      </c>
      <c r="Z170" s="20">
        <f>Y170/V170</f>
        <v/>
      </c>
      <c r="AA170" s="20">
        <f>Y170/W170</f>
        <v/>
      </c>
      <c r="AB170" s="18" t="n"/>
      <c r="AC170" s="18" t="n"/>
      <c r="AD170" s="18" t="n"/>
      <c r="AE170" s="18" t="n"/>
    </row>
    <row r="171">
      <c r="A171" s="18" t="n"/>
      <c r="B171" s="18" t="n"/>
      <c r="C171" s="17" t="n">
        <v>46090</v>
      </c>
      <c r="D171" s="18" t="inlineStr">
        <is>
          <t>品牌</t>
        </is>
      </c>
      <c r="E171" s="18" t="inlineStr">
        <is>
          <t>时小越</t>
        </is>
      </c>
      <c r="F171" s="122" t="n"/>
      <c r="G171" s="122" t="inlineStr">
        <is>
          <t>https://pgy.xiaohongshu.com/solar/pre-trade/blogger-detail/67087454000000001d0316d2?track_id=kolSimilar_91d398f11280451396f277840554532a&amp;source=Advertiser_Similar_Kol</t>
        </is>
      </c>
      <c r="H171" s="122" t="inlineStr">
        <is>
          <t>https://www.xiaohongshu.com/user/profile/67087454000000001d0316d2</t>
        </is>
      </c>
      <c r="I171" s="118" t="n">
        <v>94160942046</v>
      </c>
      <c r="J171" s="18" t="n"/>
      <c r="K171" s="18" t="inlineStr">
        <is>
          <t>家居家装</t>
        </is>
      </c>
      <c r="L171" s="18" t="inlineStr">
        <is>
          <t>koc</t>
        </is>
      </c>
      <c r="M171" s="18" t="n">
        <v>0.3</v>
      </c>
      <c r="N171" s="18" t="n">
        <v>5</v>
      </c>
      <c r="O171" s="18" t="inlineStr">
        <is>
          <t>图文</t>
        </is>
      </c>
      <c r="P171" s="21" t="n">
        <v>0.83</v>
      </c>
      <c r="Q171" s="21" t="n">
        <v>0.06</v>
      </c>
      <c r="R171" s="21" t="n">
        <v>0.57</v>
      </c>
      <c r="S171" s="21" t="n">
        <v>0.3</v>
      </c>
      <c r="T171" s="21" t="n">
        <v>0.67</v>
      </c>
      <c r="U171" s="21" t="n">
        <v>0.16</v>
      </c>
      <c r="V171" s="22" t="n">
        <v>4054</v>
      </c>
      <c r="W171" s="18" t="n">
        <v>289</v>
      </c>
      <c r="X171" s="18" t="n">
        <v>580</v>
      </c>
      <c r="Y171" s="18">
        <f>X171*1.1</f>
        <v/>
      </c>
      <c r="Z171" s="20">
        <f>Y171/V171</f>
        <v/>
      </c>
      <c r="AA171" s="20">
        <f>Y171/W171</f>
        <v/>
      </c>
      <c r="AB171" s="18" t="n"/>
      <c r="AC171" s="18" t="n"/>
      <c r="AD171" s="18" t="n"/>
      <c r="AE171" s="18" t="n"/>
    </row>
    <row r="172">
      <c r="A172" s="18" t="n"/>
      <c r="B172" s="18" t="n"/>
      <c r="C172" s="17" t="n">
        <v>46090</v>
      </c>
      <c r="D172" s="18" t="inlineStr">
        <is>
          <t>品牌</t>
        </is>
      </c>
      <c r="E172" s="18" t="inlineStr">
        <is>
          <t>喜悦在家</t>
        </is>
      </c>
      <c r="F172" s="122" t="n"/>
      <c r="G172" s="122" t="inlineStr">
        <is>
          <t>https://pgy.xiaohongshu.com/solar/pre-trade/blogger-detail/5daee3a2000000000100b06a?track_id=kolSimilar_91d398f11280451396f277840554532a&amp;source=Advertiser_Similar_Kol</t>
        </is>
      </c>
      <c r="H172" s="122" t="inlineStr">
        <is>
          <t>https://www.xiaohongshu.com/user/profile/5daee3a2000000000100b06a</t>
        </is>
      </c>
      <c r="I172" s="118" t="n">
        <v>983613539</v>
      </c>
      <c r="J172" s="18" t="n"/>
      <c r="K172" s="18" t="inlineStr">
        <is>
          <t>家居家装</t>
        </is>
      </c>
      <c r="L172" s="18" t="inlineStr">
        <is>
          <t>koc</t>
        </is>
      </c>
      <c r="M172" s="18" t="n">
        <v>0.6</v>
      </c>
      <c r="N172" s="18" t="n">
        <v>14.9</v>
      </c>
      <c r="O172" s="18" t="inlineStr">
        <is>
          <t>图文</t>
        </is>
      </c>
      <c r="P172" s="21" t="n">
        <v>0.8</v>
      </c>
      <c r="Q172" s="21" t="n">
        <v>0.06</v>
      </c>
      <c r="R172" s="21" t="n">
        <v>0.49</v>
      </c>
      <c r="S172" s="21" t="n">
        <v>0.28</v>
      </c>
      <c r="T172" s="21" t="n">
        <v>0.62</v>
      </c>
      <c r="U172" s="21" t="n">
        <v>0.17</v>
      </c>
      <c r="V172" s="22" t="n">
        <v>5063</v>
      </c>
      <c r="W172" s="18" t="n">
        <v>271</v>
      </c>
      <c r="X172" s="18" t="n">
        <v>2000</v>
      </c>
      <c r="Y172" s="18">
        <f>X172*1.1</f>
        <v/>
      </c>
      <c r="Z172" s="20">
        <f>Y172/V172</f>
        <v/>
      </c>
      <c r="AA172" s="20">
        <f>Y172/W172</f>
        <v/>
      </c>
      <c r="AB172" s="18" t="n"/>
      <c r="AC172" s="18" t="n"/>
      <c r="AD172" s="18" t="n"/>
      <c r="AE172" s="18" t="n"/>
    </row>
    <row r="173">
      <c r="A173" s="18" t="n"/>
      <c r="B173" s="18" t="n"/>
      <c r="C173" s="17" t="n">
        <v>46090</v>
      </c>
      <c r="D173" s="18" t="inlineStr">
        <is>
          <t>品牌</t>
        </is>
      </c>
      <c r="E173" s="18" t="inlineStr">
        <is>
          <t>YanHouse</t>
        </is>
      </c>
      <c r="F173" s="122" t="n"/>
      <c r="G173" s="122" t="inlineStr">
        <is>
          <t>https://pgy.xiaohongshu.com/solar/pre-trade/blogger-detail/6786739c000000000801a264?track_id=kolSimilar_4a2a15f73cc94f0b8c1820d365785c75&amp;source=Advertiser_Similar_Kol</t>
        </is>
      </c>
      <c r="H173" s="122" t="inlineStr">
        <is>
          <t>https://www.xiaohongshu.com/user/profile/6786739c000000000801a264</t>
        </is>
      </c>
      <c r="I173" s="118" t="inlineStr">
        <is>
          <t>yanhouse_</t>
        </is>
      </c>
      <c r="J173" s="18" t="n"/>
      <c r="K173" s="18" t="inlineStr">
        <is>
          <t>家居家装</t>
        </is>
      </c>
      <c r="L173" s="18" t="inlineStr">
        <is>
          <t>koc</t>
        </is>
      </c>
      <c r="M173" s="18" t="n">
        <v>0.1</v>
      </c>
      <c r="N173" s="18" t="n">
        <v>2.6</v>
      </c>
      <c r="O173" s="18" t="inlineStr">
        <is>
          <t>图文</t>
        </is>
      </c>
      <c r="P173" s="21" t="n">
        <v>0.87</v>
      </c>
      <c r="Q173" s="21" t="n">
        <v>0.07000000000000001</v>
      </c>
      <c r="R173" s="21" t="n">
        <v>0.61</v>
      </c>
      <c r="S173" s="21" t="n">
        <v>0.25</v>
      </c>
      <c r="T173" s="21" t="n">
        <v>0.76</v>
      </c>
      <c r="U173" s="21" t="n">
        <v>0.12</v>
      </c>
      <c r="V173" s="22" t="n">
        <v>2771</v>
      </c>
      <c r="W173" s="18" t="n">
        <v>216</v>
      </c>
      <c r="X173" s="18" t="n">
        <v>300</v>
      </c>
      <c r="Y173" s="18">
        <f>X173*1.1</f>
        <v/>
      </c>
      <c r="Z173" s="20">
        <f>Y173/V173</f>
        <v/>
      </c>
      <c r="AA173" s="20">
        <f>Y173/W173</f>
        <v/>
      </c>
      <c r="AB173" s="18" t="n"/>
      <c r="AC173" s="18" t="n"/>
      <c r="AD173" s="18" t="n"/>
      <c r="AE173" s="18" t="n"/>
    </row>
    <row r="174">
      <c r="A174" s="18" t="n"/>
      <c r="B174" s="18" t="n"/>
      <c r="C174" s="17" t="n">
        <v>46090</v>
      </c>
      <c r="D174" s="18" t="inlineStr">
        <is>
          <t>品牌</t>
        </is>
      </c>
      <c r="E174" s="18" t="inlineStr">
        <is>
          <t>我是秋老板</t>
        </is>
      </c>
      <c r="F174" s="122" t="n"/>
      <c r="G174" s="122" t="inlineStr">
        <is>
          <t>https://pgy.xiaohongshu.com/solar/pre-trade/blogger-detail/67176b80000000001d0330e3?track_id=kolSimilar_4a2a15f73cc94f0b8c1820d365785c75&amp;source=Advertiser_Similar_Kol</t>
        </is>
      </c>
      <c r="H174" s="122" t="inlineStr">
        <is>
          <t>https://www.xiaohongshu.com/user/profile/67176b80000000001d0330e3</t>
        </is>
      </c>
      <c r="I174" s="118" t="inlineStr">
        <is>
          <t>QIU998555</t>
        </is>
      </c>
      <c r="J174" s="18" t="n"/>
      <c r="K174" s="18" t="inlineStr">
        <is>
          <t>家居家装</t>
        </is>
      </c>
      <c r="L174" s="18" t="inlineStr">
        <is>
          <t>koc</t>
        </is>
      </c>
      <c r="M174" s="18" t="n">
        <v>0.7</v>
      </c>
      <c r="N174" s="18" t="n">
        <v>7.7</v>
      </c>
      <c r="O174" s="18" t="inlineStr">
        <is>
          <t>视频</t>
        </is>
      </c>
      <c r="P174" s="21" t="n">
        <v>0.74</v>
      </c>
      <c r="Q174" s="21" t="n">
        <v>0.08</v>
      </c>
      <c r="R174" s="21" t="n">
        <v>0.55</v>
      </c>
      <c r="S174" s="21" t="n">
        <v>0.27</v>
      </c>
      <c r="T174" s="21" t="n">
        <v>0.74</v>
      </c>
      <c r="U174" s="21" t="n">
        <v>0.1</v>
      </c>
      <c r="V174" s="22" t="n">
        <v>8902</v>
      </c>
      <c r="W174" s="18" t="n">
        <v>728</v>
      </c>
      <c r="X174" s="18" t="n">
        <v>2244</v>
      </c>
      <c r="Y174" s="18">
        <f>X174*1.1</f>
        <v/>
      </c>
      <c r="Z174" s="20">
        <f>Y174/V174</f>
        <v/>
      </c>
      <c r="AA174" s="20">
        <f>Y174/W174</f>
        <v/>
      </c>
      <c r="AB174" s="18" t="n"/>
      <c r="AC174" s="18" t="n"/>
      <c r="AD174" s="18" t="n"/>
      <c r="AE174" s="18" t="n"/>
    </row>
    <row r="175">
      <c r="A175" s="18" t="n"/>
      <c r="B175" s="18" t="n"/>
      <c r="C175" s="17" t="n">
        <v>46090</v>
      </c>
      <c r="D175" s="18" t="inlineStr">
        <is>
          <t>品牌</t>
        </is>
      </c>
      <c r="E175" s="18" t="inlineStr">
        <is>
          <t>Myrna五个a</t>
        </is>
      </c>
      <c r="F175" s="122" t="n"/>
      <c r="G175" s="122" t="inlineStr">
        <is>
          <t>https://pgy.xiaohongshu.com/solar/pre-trade/blogger-detail/554c27b2b203d914ccbae2f1?track_id=kolSimilar_4a2a15f73cc94f0b8c1820d365785c75&amp;source=Advertiser_Similar_Kol</t>
        </is>
      </c>
      <c r="H175" s="122" t="inlineStr">
        <is>
          <t>https://www.xiaohongshu.com/user/profile/554c27b2b203d914ccbae2f1</t>
        </is>
      </c>
      <c r="I175" s="118" t="n">
        <v>101160082</v>
      </c>
      <c r="J175" s="18" t="n"/>
      <c r="K175" s="18" t="inlineStr">
        <is>
          <t>家居家装</t>
        </is>
      </c>
      <c r="L175" s="18" t="inlineStr">
        <is>
          <t>koc</t>
        </is>
      </c>
      <c r="M175" s="18" t="n">
        <v>0.3</v>
      </c>
      <c r="N175" s="18" t="n">
        <v>5.9</v>
      </c>
      <c r="O175" s="18" t="inlineStr">
        <is>
          <t>图文</t>
        </is>
      </c>
      <c r="P175" s="21" t="n">
        <v>0.89</v>
      </c>
      <c r="Q175" s="21" t="n">
        <v>0.09</v>
      </c>
      <c r="R175" s="21" t="n">
        <v>0.49</v>
      </c>
      <c r="S175" s="21" t="n">
        <v>0.26</v>
      </c>
      <c r="T175" s="21" t="n">
        <v>0.62</v>
      </c>
      <c r="U175" s="21" t="n">
        <v>0.15</v>
      </c>
      <c r="V175" s="22" t="n">
        <v>3188</v>
      </c>
      <c r="W175" s="18" t="n">
        <v>259</v>
      </c>
      <c r="X175" s="18" t="n">
        <v>1400</v>
      </c>
      <c r="Y175" s="18">
        <f>X175*1.1</f>
        <v/>
      </c>
      <c r="Z175" s="20">
        <f>Y175/V175</f>
        <v/>
      </c>
      <c r="AA175" s="20">
        <f>Y175/W175</f>
        <v/>
      </c>
      <c r="AB175" s="18" t="n"/>
      <c r="AC175" s="18" t="n"/>
      <c r="AD175" s="18" t="n"/>
      <c r="AE175" s="18" t="n"/>
    </row>
    <row r="176">
      <c r="A176" s="18" t="n"/>
      <c r="B176" s="18" t="n"/>
      <c r="C176" s="17" t="n">
        <v>46090</v>
      </c>
      <c r="D176" s="18" t="inlineStr">
        <is>
          <t>品牌</t>
        </is>
      </c>
      <c r="E176" s="18" t="inlineStr">
        <is>
          <t>孙妍妍妍妍妍儿</t>
        </is>
      </c>
      <c r="F176" s="122" t="n"/>
      <c r="G176" s="122" t="inlineStr">
        <is>
          <t>https://pgy.xiaohongshu.com/solar/pre-trade/blogger-detail/5a58d17611be1066f8a67547?track_id=kolSimilar_4a2a15f73cc94f0b8c1820d365785c75&amp;source=Advertiser_Similar_Kol</t>
        </is>
      </c>
      <c r="H176" s="122" t="inlineStr">
        <is>
          <t>https://www.xiaohongshu.com/user/profile/5a58d17611be1066f8a67547</t>
        </is>
      </c>
      <c r="I176" s="118" t="n">
        <v>186772055</v>
      </c>
      <c r="J176" s="18" t="n"/>
      <c r="K176" s="18" t="inlineStr">
        <is>
          <t>家居家装</t>
        </is>
      </c>
      <c r="L176" s="18" t="inlineStr">
        <is>
          <t>koc</t>
        </is>
      </c>
      <c r="M176" s="18" t="n">
        <v>0.4</v>
      </c>
      <c r="N176" s="18" t="n">
        <v>6.2</v>
      </c>
      <c r="O176" s="18" t="inlineStr">
        <is>
          <t>图文</t>
        </is>
      </c>
      <c r="P176" s="21" t="n">
        <v>0.76</v>
      </c>
      <c r="Q176" s="21" t="n">
        <v>0.05</v>
      </c>
      <c r="R176" s="21" t="n">
        <v>0.48</v>
      </c>
      <c r="S176" s="21" t="n">
        <v>0.37</v>
      </c>
      <c r="T176" s="21" t="n">
        <v>0.6899999999999999</v>
      </c>
      <c r="U176" s="21" t="n">
        <v>0.14</v>
      </c>
      <c r="V176" s="22" t="n">
        <v>3443</v>
      </c>
      <c r="W176" s="18" t="n">
        <v>286</v>
      </c>
      <c r="X176" s="18" t="n">
        <v>900</v>
      </c>
      <c r="Y176" s="18">
        <f>X176*1.1</f>
        <v/>
      </c>
      <c r="Z176" s="20">
        <f>Y176/V176</f>
        <v/>
      </c>
      <c r="AA176" s="20">
        <f>Y176/W176</f>
        <v/>
      </c>
      <c r="AB176" s="18" t="n"/>
      <c r="AC176" s="18" t="n"/>
      <c r="AD176" s="18" t="n"/>
      <c r="AE176" s="18" t="n"/>
    </row>
    <row r="177">
      <c r="A177" s="18" t="n"/>
      <c r="B177" s="18" t="n"/>
      <c r="C177" s="17" t="n">
        <v>46090</v>
      </c>
      <c r="D177" s="18" t="inlineStr">
        <is>
          <t>品牌</t>
        </is>
      </c>
      <c r="E177" s="18" t="inlineStr">
        <is>
          <t>辣条董事长's Home🏠</t>
        </is>
      </c>
      <c r="F177" s="122" t="n"/>
      <c r="G177" s="122" t="inlineStr">
        <is>
          <t>https://pgy.xiaohongshu.com/solar/pre-trade/blogger-detail/618bf0f1000000001000d7ca?track_id=kolSimilar_4a2a15f73cc94f0b8c1820d365785c75&amp;source=Advertiser_Similar_Kol</t>
        </is>
      </c>
      <c r="H177" s="122" t="inlineStr">
        <is>
          <t>https://www.xiaohongshu.com/user/profile/618bf0f1000000001000d7ca</t>
        </is>
      </c>
      <c r="I177" s="118" t="n">
        <v>2783237037</v>
      </c>
      <c r="J177" s="18" t="n"/>
      <c r="K177" s="18" t="inlineStr">
        <is>
          <t>家居家装</t>
        </is>
      </c>
      <c r="L177" s="18" t="inlineStr">
        <is>
          <t>koc</t>
        </is>
      </c>
      <c r="M177" s="18" t="n">
        <v>0.4</v>
      </c>
      <c r="N177" s="18" t="n">
        <v>6.1</v>
      </c>
      <c r="O177" s="18" t="inlineStr">
        <is>
          <t>图文</t>
        </is>
      </c>
      <c r="P177" s="21" t="n">
        <v>0.85</v>
      </c>
      <c r="Q177" s="21" t="n">
        <v>0.09</v>
      </c>
      <c r="R177" s="21" t="n">
        <v>0.58</v>
      </c>
      <c r="S177" s="21" t="n">
        <v>0.26</v>
      </c>
      <c r="T177" s="21" t="n">
        <v>0.8100000000000001</v>
      </c>
      <c r="U177" s="21" t="n">
        <v>0.09</v>
      </c>
      <c r="V177" s="22" t="n">
        <v>6714</v>
      </c>
      <c r="W177" s="18" t="n">
        <v>429</v>
      </c>
      <c r="X177" s="18" t="n">
        <v>500</v>
      </c>
      <c r="Y177" s="18">
        <f>X177*1.1</f>
        <v/>
      </c>
      <c r="Z177" s="20">
        <f>Y177/V177</f>
        <v/>
      </c>
      <c r="AA177" s="20">
        <f>Y177/W177</f>
        <v/>
      </c>
      <c r="AB177" s="18" t="n"/>
      <c r="AC177" s="18" t="n"/>
      <c r="AD177" s="18" t="n"/>
      <c r="AE177" s="18" t="n"/>
    </row>
    <row r="178">
      <c r="A178" s="18" t="n"/>
      <c r="B178" s="18" t="n"/>
      <c r="C178" s="17" t="n">
        <v>46090</v>
      </c>
      <c r="D178" s="18" t="inlineStr">
        <is>
          <t>品牌</t>
        </is>
      </c>
      <c r="E178" s="18" t="inlineStr">
        <is>
          <t>甜甜珂的家</t>
        </is>
      </c>
      <c r="F178" s="122" t="n"/>
      <c r="G178" s="122" t="inlineStr">
        <is>
          <t>https://pgy.xiaohongshu.com/solar/pre-trade/blogger-detail/65c4c7a6000000000903cb96?track_id=kolSimilar_4a2a15f73cc94f0b8c1820d365785c75&amp;source=Advertiser_Similar_Kol</t>
        </is>
      </c>
      <c r="H178" s="122" t="inlineStr">
        <is>
          <t>https://www.xiaohongshu.com/user/profile/65c4c7a6000000000903cb96</t>
        </is>
      </c>
      <c r="I178" s="118" t="n">
        <v>3980922345</v>
      </c>
      <c r="J178" s="18" t="n"/>
      <c r="K178" s="18" t="inlineStr">
        <is>
          <t>家居家装</t>
        </is>
      </c>
      <c r="L178" s="18" t="inlineStr">
        <is>
          <t>koc</t>
        </is>
      </c>
      <c r="M178" s="18" t="n">
        <v>0.7</v>
      </c>
      <c r="N178" s="18" t="n">
        <v>19</v>
      </c>
      <c r="O178" s="18" t="inlineStr">
        <is>
          <t>视频</t>
        </is>
      </c>
      <c r="P178" s="21" t="n">
        <v>0.58</v>
      </c>
      <c r="Q178" s="21" t="n">
        <v>0.06</v>
      </c>
      <c r="R178" s="21" t="n">
        <v>0.32</v>
      </c>
      <c r="S178" s="21" t="n">
        <v>0.32</v>
      </c>
      <c r="T178" s="21" t="n">
        <v>0.39</v>
      </c>
      <c r="U178" s="21" t="n">
        <v>0.23</v>
      </c>
      <c r="V178" s="22" t="n">
        <v>2817</v>
      </c>
      <c r="W178" s="18" t="n">
        <v>176</v>
      </c>
      <c r="X178" s="18" t="n">
        <v>2177</v>
      </c>
      <c r="Y178" s="18">
        <f>X178*1.1</f>
        <v/>
      </c>
      <c r="Z178" s="20">
        <f>Y178/V178</f>
        <v/>
      </c>
      <c r="AA178" s="20">
        <f>Y178/W178</f>
        <v/>
      </c>
      <c r="AB178" s="18" t="n"/>
      <c r="AC178" s="18" t="n"/>
      <c r="AD178" s="18" t="n"/>
      <c r="AE178" s="18" t="n"/>
    </row>
    <row r="179">
      <c r="A179" s="18" t="n"/>
      <c r="B179" s="18" t="n"/>
      <c r="C179" s="17" t="n">
        <v>46090</v>
      </c>
      <c r="D179" s="18" t="inlineStr">
        <is>
          <t>品牌</t>
        </is>
      </c>
      <c r="E179" s="18" t="inlineStr">
        <is>
          <t>是这个笑笑啊</t>
        </is>
      </c>
      <c r="F179" s="122" t="n"/>
      <c r="G179" s="122" t="inlineStr">
        <is>
          <t>https://pgy.xiaohongshu.com/solar/pre-trade/blogger-detail/5cd054fb0000000012012816?track_id=kolSimilar_4a2a15f73cc94f0b8c1820d365785c75&amp;source=Advertiser_Similar_Kol</t>
        </is>
      </c>
      <c r="H179" s="122" t="inlineStr">
        <is>
          <t>https://www.xiaohongshu.com/user/profile/5cd054fb0000000012012816</t>
        </is>
      </c>
      <c r="I179" s="118" t="n">
        <v>642421007</v>
      </c>
      <c r="J179" s="18" t="n"/>
      <c r="K179" s="18" t="inlineStr">
        <is>
          <t>家居家装</t>
        </is>
      </c>
      <c r="L179" s="18" t="inlineStr">
        <is>
          <t>koc</t>
        </is>
      </c>
      <c r="M179" s="18" t="n">
        <v>0.7</v>
      </c>
      <c r="N179" s="18" t="n">
        <v>11.5</v>
      </c>
      <c r="O179" s="18" t="inlineStr">
        <is>
          <t>图文</t>
        </is>
      </c>
      <c r="P179" s="21" t="n">
        <v>0.91</v>
      </c>
      <c r="Q179" s="21" t="n">
        <v>0.05</v>
      </c>
      <c r="R179" s="21" t="n">
        <v>0.57</v>
      </c>
      <c r="S179" s="21" t="n">
        <v>0.31</v>
      </c>
      <c r="T179" s="21" t="n">
        <v>0.72</v>
      </c>
      <c r="U179" s="21" t="n">
        <v>0.12</v>
      </c>
      <c r="V179" s="22" t="n">
        <v>20023</v>
      </c>
      <c r="W179" s="18" t="n">
        <v>214</v>
      </c>
      <c r="X179" s="18" t="n">
        <v>2000</v>
      </c>
      <c r="Y179" s="18">
        <f>X179*1.1</f>
        <v/>
      </c>
      <c r="Z179" s="20">
        <f>Y179/V179</f>
        <v/>
      </c>
      <c r="AA179" s="20">
        <f>Y179/W179</f>
        <v/>
      </c>
      <c r="AB179" s="18" t="n"/>
      <c r="AC179" s="18" t="n"/>
      <c r="AD179" s="18" t="n"/>
      <c r="AE179" s="18" t="n"/>
    </row>
    <row r="180">
      <c r="A180" s="37" t="n"/>
      <c r="B180" s="37" t="n"/>
      <c r="C180" s="37" t="n"/>
      <c r="D180" s="38" t="n"/>
      <c r="E180" s="37" t="n"/>
      <c r="F180" s="121" t="n"/>
      <c r="G180" s="121" t="n"/>
      <c r="H180" s="121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  <c r="AC180" s="37" t="n"/>
      <c r="AD180" s="37" t="n"/>
      <c r="AE180" s="37" t="n"/>
    </row>
    <row r="181">
      <c r="A181" s="18" t="n"/>
      <c r="B181" s="18" t="n"/>
      <c r="C181" s="17" t="n">
        <v>46091</v>
      </c>
      <c r="D181" s="18" t="inlineStr">
        <is>
          <t>品牌</t>
        </is>
      </c>
      <c r="E181" s="18" t="inlineStr">
        <is>
          <t>Tokeeva</t>
        </is>
      </c>
      <c r="F181" s="122" t="n"/>
      <c r="G181" s="122" t="inlineStr">
        <is>
          <t>https://pgy.xiaohongshu.com/solar/pre-trade/blogger-detail/63818f10000000001f015a6d?track_id=kolMatch_899c23a5eecf4df99494bdac8e2d5e8c&amp;source=Advertiser_Kol</t>
        </is>
      </c>
      <c r="H181" s="122" t="inlineStr">
        <is>
          <t>https://www.xiaohongshu.com/user/profile/63818f10000000001f015a6d</t>
        </is>
      </c>
      <c r="I181" s="118" t="inlineStr">
        <is>
          <t>linkzhh</t>
        </is>
      </c>
      <c r="J181" s="18" t="n"/>
      <c r="K181" s="18" t="inlineStr">
        <is>
          <t>家居家装</t>
        </is>
      </c>
      <c r="L181" s="18" t="inlineStr">
        <is>
          <t>koc</t>
        </is>
      </c>
      <c r="M181" s="18" t="n">
        <v>0.2</v>
      </c>
      <c r="N181" s="18" t="n">
        <v>1.7</v>
      </c>
      <c r="O181" s="18" t="inlineStr">
        <is>
          <t>图文</t>
        </is>
      </c>
      <c r="P181" s="21" t="n">
        <v>0.74</v>
      </c>
      <c r="Q181" s="21" t="n">
        <v>0.1</v>
      </c>
      <c r="R181" s="21" t="n">
        <v>0.49</v>
      </c>
      <c r="S181" s="21" t="n">
        <v>0.29</v>
      </c>
      <c r="T181" s="21" t="n">
        <v>0.73</v>
      </c>
      <c r="U181" s="21" t="n">
        <v>0.1</v>
      </c>
      <c r="V181" s="22" t="n">
        <v>8020</v>
      </c>
      <c r="W181" s="18" t="n">
        <v>1186</v>
      </c>
      <c r="X181" s="18" t="n">
        <v>1800</v>
      </c>
      <c r="Y181" s="18">
        <f>X181*1.1</f>
        <v/>
      </c>
      <c r="Z181" s="20">
        <f>Y181/V181</f>
        <v/>
      </c>
      <c r="AA181" s="20">
        <f>Y181/W181</f>
        <v/>
      </c>
      <c r="AB181" s="18" t="n"/>
      <c r="AC181" s="18" t="n"/>
      <c r="AD181" s="18" t="n"/>
      <c r="AE181" s="18" t="n"/>
    </row>
    <row r="182">
      <c r="A182" s="18" t="n"/>
      <c r="B182" s="18" t="n"/>
      <c r="C182" s="17" t="n">
        <v>46091</v>
      </c>
      <c r="D182" s="18" t="inlineStr">
        <is>
          <t>品牌</t>
        </is>
      </c>
      <c r="E182" s="18" t="inlineStr">
        <is>
          <t>川洋</t>
        </is>
      </c>
      <c r="F182" s="122" t="n"/>
      <c r="G182" s="122" t="inlineStr">
        <is>
          <t>https://pgy.xiaohongshu.com/solar/pre-trade/blogger-detail/5a488fda4eacab297344da73?track_id=kolSearch_bc9efd8d437b409bafe8f32dc5f9ff50&amp;source=Advertiser_Kol</t>
        </is>
      </c>
      <c r="H182" s="122" t="inlineStr">
        <is>
          <t>https://www.xiaohongshu.com/user/profile/5a488fda4eacab297344da73</t>
        </is>
      </c>
      <c r="I182" s="118" t="inlineStr">
        <is>
          <t>xmq77888888</t>
        </is>
      </c>
      <c r="J182" s="18" t="n"/>
      <c r="K182" s="18" t="inlineStr">
        <is>
          <t>家居家装</t>
        </is>
      </c>
      <c r="L182" s="18" t="inlineStr">
        <is>
          <t>koc</t>
        </is>
      </c>
      <c r="M182" s="18" t="n">
        <v>1</v>
      </c>
      <c r="N182" s="18" t="n">
        <v>17.7</v>
      </c>
      <c r="O182" s="18" t="inlineStr">
        <is>
          <t>图文</t>
        </is>
      </c>
      <c r="P182" s="21" t="n">
        <v>0.79</v>
      </c>
      <c r="Q182" s="21" t="n">
        <v>0.13</v>
      </c>
      <c r="R182" s="21" t="n">
        <v>0.5600000000000001</v>
      </c>
      <c r="S182" s="21" t="n">
        <v>0.21</v>
      </c>
      <c r="T182" s="21" t="n">
        <v>0.55</v>
      </c>
      <c r="U182" s="21" t="n">
        <v>0.12</v>
      </c>
      <c r="V182" s="22" t="n">
        <v>4025</v>
      </c>
      <c r="W182" s="18" t="n">
        <v>342</v>
      </c>
      <c r="X182" s="18" t="n">
        <v>1500</v>
      </c>
      <c r="Y182" s="18">
        <f>X182*1.1</f>
        <v/>
      </c>
      <c r="Z182" s="20">
        <f>Y182/V182</f>
        <v/>
      </c>
      <c r="AA182" s="20">
        <f>Y182/W182</f>
        <v/>
      </c>
      <c r="AB182" s="18" t="n"/>
      <c r="AC182" s="18" t="n"/>
      <c r="AD182" s="18" t="n"/>
      <c r="AE182" s="18" t="n"/>
    </row>
    <row r="183">
      <c r="A183" s="18" t="n"/>
      <c r="B183" s="18" t="n"/>
      <c r="C183" s="17" t="n">
        <v>46091</v>
      </c>
      <c r="D183" s="18" t="inlineStr">
        <is>
          <t>品牌</t>
        </is>
      </c>
      <c r="E183" s="18" t="inlineStr">
        <is>
          <t>北极啊乌</t>
        </is>
      </c>
      <c r="F183" s="122" t="n"/>
      <c r="G183" s="122" t="inlineStr">
        <is>
          <t>https://pgy.xiaohongshu.com/solar/pre-trade/blogger-detail/64433d38000000002901131d?track_id=kolMatch_899c23a5eecf4df99494bdac8e2d5e8c&amp;source=Advertiser_Kol</t>
        </is>
      </c>
      <c r="H183" s="122" t="inlineStr">
        <is>
          <t>https://www.xiaohongshu.com/user/profile/64433d38000000002901131d</t>
        </is>
      </c>
      <c r="I183" s="118" t="n">
        <v>2297983471</v>
      </c>
      <c r="J183" s="18" t="n"/>
      <c r="K183" s="18" t="inlineStr">
        <is>
          <t>家居家装</t>
        </is>
      </c>
      <c r="L183" s="18" t="inlineStr">
        <is>
          <t>koc</t>
        </is>
      </c>
      <c r="M183" s="18" t="n">
        <v>0.3</v>
      </c>
      <c r="N183" s="18" t="n">
        <v>3.8</v>
      </c>
      <c r="O183" s="18" t="inlineStr">
        <is>
          <t>图文</t>
        </is>
      </c>
      <c r="P183" s="21" t="n">
        <v>0.84</v>
      </c>
      <c r="Q183" s="21" t="n">
        <v>0.11</v>
      </c>
      <c r="R183" s="21" t="n">
        <v>0.62</v>
      </c>
      <c r="S183" s="21" t="n">
        <v>0.15</v>
      </c>
      <c r="T183" s="21" t="n">
        <v>0.24</v>
      </c>
      <c r="U183" s="21" t="n">
        <v>0.31</v>
      </c>
      <c r="V183" s="22" t="n">
        <v>3845</v>
      </c>
      <c r="W183" s="18" t="n">
        <v>277</v>
      </c>
      <c r="X183" s="18" t="n">
        <v>1600</v>
      </c>
      <c r="Y183" s="18">
        <f>X183*1.1</f>
        <v/>
      </c>
      <c r="Z183" s="20">
        <f>Y183/V183</f>
        <v/>
      </c>
      <c r="AA183" s="20">
        <f>Y183/W183</f>
        <v/>
      </c>
      <c r="AB183" s="18" t="n"/>
      <c r="AC183" s="18" t="n"/>
      <c r="AD183" s="18" t="n"/>
      <c r="AE183" s="18" t="n"/>
    </row>
    <row r="184">
      <c r="A184" s="18" t="n"/>
      <c r="B184" s="18" t="n"/>
      <c r="C184" s="17" t="n">
        <v>46091</v>
      </c>
      <c r="D184" s="18" t="inlineStr">
        <is>
          <t>品牌</t>
        </is>
      </c>
      <c r="E184" s="18" t="inlineStr">
        <is>
          <t>ZPP</t>
        </is>
      </c>
      <c r="F184" s="122" t="n"/>
      <c r="G184" s="122" t="inlineStr">
        <is>
          <t>https://pgy.xiaohongshu.com/solar/pre-trade/blogger-detail/60ac7b63000000000101fe8b?track_id=kolMatch_899c23a5eecf4df99494bdac8e2d5e8c&amp;source=Advertiser_Kol</t>
        </is>
      </c>
      <c r="H184" s="122" t="inlineStr">
        <is>
          <t>https://www.xiaohongshu.com/user/profile/60ac7b63000000000101fe8b</t>
        </is>
      </c>
      <c r="I184" s="118" t="n">
        <v>2603361019</v>
      </c>
      <c r="J184" s="18" t="n"/>
      <c r="K184" s="18" t="inlineStr">
        <is>
          <t>家居家装</t>
        </is>
      </c>
      <c r="L184" s="18" t="inlineStr">
        <is>
          <t>koc</t>
        </is>
      </c>
      <c r="M184" s="18" t="n">
        <v>0.19</v>
      </c>
      <c r="N184" s="18" t="n">
        <v>3.3</v>
      </c>
      <c r="O184" s="18" t="inlineStr">
        <is>
          <t>图文</t>
        </is>
      </c>
      <c r="P184" s="21" t="n">
        <v>0.83</v>
      </c>
      <c r="Q184" s="21" t="n">
        <v>0.1</v>
      </c>
      <c r="R184" s="21" t="n">
        <v>0.6</v>
      </c>
      <c r="S184" s="21" t="n">
        <v>0.21</v>
      </c>
      <c r="T184" s="21" t="n">
        <v>0.73</v>
      </c>
      <c r="U184" s="21" t="n">
        <v>0.09</v>
      </c>
      <c r="V184" s="22" t="n">
        <v>8288</v>
      </c>
      <c r="W184" s="18" t="n">
        <v>682</v>
      </c>
      <c r="X184" s="18" t="n">
        <v>1500</v>
      </c>
      <c r="Y184" s="18">
        <f>X184*1.1</f>
        <v/>
      </c>
      <c r="Z184" s="20">
        <f>Y184/V184</f>
        <v/>
      </c>
      <c r="AA184" s="20">
        <f>Y184/W184</f>
        <v/>
      </c>
      <c r="AB184" s="18" t="n"/>
      <c r="AC184" s="18" t="n"/>
      <c r="AD184" s="18" t="n"/>
      <c r="AE184" s="18" t="n"/>
    </row>
    <row r="185">
      <c r="A185" s="18" t="n"/>
      <c r="B185" s="18" t="n"/>
      <c r="C185" s="17" t="n">
        <v>46091</v>
      </c>
      <c r="D185" s="18" t="inlineStr">
        <is>
          <t>品牌</t>
        </is>
      </c>
      <c r="E185" s="18" t="inlineStr">
        <is>
          <t>张张的小窝🏠</t>
        </is>
      </c>
      <c r="F185" s="122" t="n"/>
      <c r="G185" s="122" t="inlineStr">
        <is>
          <t>https://pgy.xiaohongshu.com/solar/pre-trade/blogger-detail/604656dd00000000010033a9?track_id=kolMatch_0c560fb73ed24c8f93abe8f61e43a9d9&amp;source=Advertiser_Kol</t>
        </is>
      </c>
      <c r="H185" s="122" t="inlineStr">
        <is>
          <t>https://www.xiaohongshu.com/user/profile/604656dd00000000010033a9</t>
        </is>
      </c>
      <c r="I185" s="118" t="n">
        <v>4211584561</v>
      </c>
      <c r="J185" s="18" t="n"/>
      <c r="K185" s="18" t="inlineStr">
        <is>
          <t>家居家装</t>
        </is>
      </c>
      <c r="L185" s="18" t="inlineStr">
        <is>
          <t>koc</t>
        </is>
      </c>
      <c r="M185" s="18" t="n">
        <v>0.5</v>
      </c>
      <c r="N185" s="18" t="n">
        <v>4.3</v>
      </c>
      <c r="O185" s="18" t="inlineStr">
        <is>
          <t>图文</t>
        </is>
      </c>
      <c r="P185" s="21" t="n">
        <v>0.8100000000000001</v>
      </c>
      <c r="Q185" s="21" t="n">
        <v>0.09</v>
      </c>
      <c r="R185" s="21" t="n">
        <v>0.6899999999999999</v>
      </c>
      <c r="S185" s="21" t="n">
        <v>0.12</v>
      </c>
      <c r="T185" s="21" t="n">
        <v>0.35</v>
      </c>
      <c r="U185" s="21" t="n">
        <v>0.33</v>
      </c>
      <c r="V185" s="22" t="n">
        <v>5257</v>
      </c>
      <c r="W185" s="18" t="n">
        <v>769</v>
      </c>
      <c r="X185" s="18" t="n">
        <v>1300</v>
      </c>
      <c r="Y185" s="18">
        <f>X185*1.1</f>
        <v/>
      </c>
      <c r="Z185" s="20">
        <f>Y185/V185</f>
        <v/>
      </c>
      <c r="AA185" s="20">
        <f>Y185/W185</f>
        <v/>
      </c>
      <c r="AB185" s="18" t="n"/>
      <c r="AC185" s="18" t="n"/>
      <c r="AD185" s="18" t="n"/>
      <c r="AE185" s="18" t="n"/>
    </row>
    <row r="186">
      <c r="A186" s="18" t="n"/>
      <c r="B186" s="18" t="n"/>
      <c r="C186" s="17" t="n">
        <v>46091</v>
      </c>
      <c r="D186" s="18" t="inlineStr">
        <is>
          <t>品牌</t>
        </is>
      </c>
      <c r="E186" s="18" t="inlineStr">
        <is>
          <t>椰子酱</t>
        </is>
      </c>
      <c r="F186" s="122" t="n"/>
      <c r="G186" s="122" t="inlineStr">
        <is>
          <t>https://pgy.xiaohongshu.com/solar/pre-trade/blogger-detail/68da2715000000002102e65e?track_id=kolMatch_0c560fb73ed24c8f93abe8f61e43a9d9&amp;source=Advertiser_Kol</t>
        </is>
      </c>
      <c r="H186" s="122" t="inlineStr">
        <is>
          <t>https://www.xiaohongshu.com/user/profile/68da2715000000002102e65e</t>
        </is>
      </c>
      <c r="I186" s="118" t="inlineStr">
        <is>
          <t>xcj591500</t>
        </is>
      </c>
      <c r="J186" s="18" t="n"/>
      <c r="K186" s="18" t="inlineStr">
        <is>
          <t>家居家装</t>
        </is>
      </c>
      <c r="L186" s="18" t="inlineStr">
        <is>
          <t>koc</t>
        </is>
      </c>
      <c r="M186" s="18" t="n">
        <v>0.3</v>
      </c>
      <c r="N186" s="18" t="n">
        <v>11.6</v>
      </c>
      <c r="O186" s="18" t="inlineStr">
        <is>
          <t>图文</t>
        </is>
      </c>
      <c r="P186" s="21" t="n">
        <v>0.73</v>
      </c>
      <c r="Q186" s="21" t="n">
        <v>0.13</v>
      </c>
      <c r="R186" s="21" t="n">
        <v>0.61</v>
      </c>
      <c r="S186" s="21" t="n">
        <v>0.18</v>
      </c>
      <c r="T186" s="21" t="n">
        <v>0.7</v>
      </c>
      <c r="U186" s="21" t="n">
        <v>0.09</v>
      </c>
      <c r="V186" s="22" t="n">
        <v>10829</v>
      </c>
      <c r="W186" s="18" t="n">
        <v>786</v>
      </c>
      <c r="X186" s="18" t="n">
        <v>1800</v>
      </c>
      <c r="Y186" s="18">
        <f>X186*1.1</f>
        <v/>
      </c>
      <c r="Z186" s="20">
        <f>Y186/V186</f>
        <v/>
      </c>
      <c r="AA186" s="20">
        <f>Y186/W186</f>
        <v/>
      </c>
      <c r="AB186" s="18" t="n"/>
      <c r="AC186" s="18" t="n"/>
      <c r="AD186" s="18" t="n"/>
      <c r="AE186" s="18" t="n"/>
    </row>
    <row r="187">
      <c r="A187" s="18" t="n"/>
      <c r="B187" s="18" t="n"/>
      <c r="C187" s="17" t="n">
        <v>46091</v>
      </c>
      <c r="D187" s="18" t="inlineStr">
        <is>
          <t>品牌</t>
        </is>
      </c>
      <c r="E187" s="18" t="inlineStr">
        <is>
          <t>Yi凡</t>
        </is>
      </c>
      <c r="F187" s="122" t="n"/>
      <c r="G187" s="122" t="inlineStr">
        <is>
          <t>https://pgy.xiaohongshu.com/solar/pre-trade/blogger-detail/67112206000000001d0229ec?track_id=kolMatch_0c560fb73ed24c8f93abe8f61e43a9d9&amp;source=Advertiser_Kol</t>
        </is>
      </c>
      <c r="H187" s="122" t="inlineStr">
        <is>
          <t>https://www.xiaohongshu.com/user/profile/67112206000000001d0229ec</t>
        </is>
      </c>
      <c r="I187" s="118" t="n">
        <v>95650124518</v>
      </c>
      <c r="J187" s="18" t="n"/>
      <c r="K187" s="18" t="inlineStr">
        <is>
          <t>家居家装</t>
        </is>
      </c>
      <c r="L187" s="18" t="inlineStr">
        <is>
          <t>koc</t>
        </is>
      </c>
      <c r="M187" s="18" t="n">
        <v>0.18</v>
      </c>
      <c r="N187" s="18" t="n">
        <v>3.3</v>
      </c>
      <c r="O187" s="18" t="inlineStr">
        <is>
          <t>图文</t>
        </is>
      </c>
      <c r="P187" s="21" t="n">
        <v>0.86</v>
      </c>
      <c r="Q187" s="21" t="n">
        <v>0.16</v>
      </c>
      <c r="R187" s="21" t="n">
        <v>0.48</v>
      </c>
      <c r="S187" s="21" t="n">
        <v>0.23</v>
      </c>
      <c r="T187" s="21" t="n">
        <v>0.58</v>
      </c>
      <c r="U187" s="21" t="n">
        <v>0.12</v>
      </c>
      <c r="V187" s="22" t="n">
        <v>4353</v>
      </c>
      <c r="W187" s="18" t="n">
        <v>646</v>
      </c>
      <c r="X187" s="18" t="n">
        <v>850</v>
      </c>
      <c r="Y187" s="18">
        <f>X187*1.1</f>
        <v/>
      </c>
      <c r="Z187" s="20">
        <f>Y187/V187</f>
        <v/>
      </c>
      <c r="AA187" s="20">
        <f>Y187/W187</f>
        <v/>
      </c>
      <c r="AB187" s="18" t="n"/>
      <c r="AC187" s="18" t="n"/>
      <c r="AD187" s="18" t="n"/>
      <c r="AE187" s="18" t="n"/>
    </row>
    <row r="188">
      <c r="A188" s="18" t="n"/>
      <c r="B188" s="18" t="n"/>
      <c r="C188" s="17" t="n">
        <v>46091</v>
      </c>
      <c r="D188" s="18" t="inlineStr">
        <is>
          <t>品牌</t>
        </is>
      </c>
      <c r="E188" s="18" t="inlineStr">
        <is>
          <t>杏子聊聊家装</t>
        </is>
      </c>
      <c r="F188" s="122" t="n"/>
      <c r="G188" s="122" t="inlineStr">
        <is>
          <t>https://pgy.xiaohongshu.com/solar/pre-trade/blogger-detail/6889a71d0000000028029194?track_id=kolSimilar_6441c15f3b9e433b8784478012c2cacb&amp;source=Advertiser_Similar_Kol</t>
        </is>
      </c>
      <c r="H188" s="122" t="inlineStr">
        <is>
          <t>https://www.xiaohongshu.com/user/profile/6889a71d0000000028029194</t>
        </is>
      </c>
      <c r="I188" s="118" t="n">
        <v>42221910105</v>
      </c>
      <c r="J188" s="18" t="n"/>
      <c r="K188" s="18" t="inlineStr">
        <is>
          <t>家居家装</t>
        </is>
      </c>
      <c r="L188" s="18" t="inlineStr">
        <is>
          <t>koc</t>
        </is>
      </c>
      <c r="M188" s="18" t="n">
        <v>1.3</v>
      </c>
      <c r="N188" s="18" t="n">
        <v>8.9</v>
      </c>
      <c r="O188" s="18" t="inlineStr">
        <is>
          <t>图文</t>
        </is>
      </c>
      <c r="P188" s="21" t="n">
        <v>0.74</v>
      </c>
      <c r="Q188" s="21" t="n">
        <v>0.16</v>
      </c>
      <c r="R188" s="21" t="n">
        <v>0.37</v>
      </c>
      <c r="S188" s="21" t="n">
        <v>0.27</v>
      </c>
      <c r="T188" s="21" t="n">
        <v>0.6</v>
      </c>
      <c r="U188" s="21" t="n">
        <v>0.11</v>
      </c>
      <c r="V188" s="22" t="n">
        <v>10207</v>
      </c>
      <c r="W188" s="18" t="n">
        <v>243</v>
      </c>
      <c r="X188" s="18" t="n">
        <v>2500</v>
      </c>
      <c r="Y188" s="18">
        <f>X188*1.1</f>
        <v/>
      </c>
      <c r="Z188" s="20">
        <f>Y188/V188</f>
        <v/>
      </c>
      <c r="AA188" s="20">
        <f>Y188/W188</f>
        <v/>
      </c>
      <c r="AB188" s="18" t="n"/>
      <c r="AC188" s="18" t="n"/>
      <c r="AD188" s="18" t="n"/>
      <c r="AE188" s="18" t="n"/>
    </row>
    <row r="189">
      <c r="A189" s="18" t="n"/>
      <c r="B189" s="18" t="n"/>
      <c r="C189" s="17" t="n">
        <v>46091</v>
      </c>
      <c r="D189" s="18" t="inlineStr">
        <is>
          <t>品牌</t>
        </is>
      </c>
      <c r="E189" s="18" t="inlineStr">
        <is>
          <t>燕秋女子</t>
        </is>
      </c>
      <c r="F189" s="122" t="n"/>
      <c r="G189" s="122" t="inlineStr">
        <is>
          <t>https://pgy.xiaohongshu.com/solar/pre-trade/blogger-detail/61a584980000000021021ac4?track_id=kolSimilar_2a8b15dc06664f4a815ad3d73751affe&amp;source=Advertiser_Similar_Kol</t>
        </is>
      </c>
      <c r="H189" s="122" t="inlineStr">
        <is>
          <t>https://www.xiaohongshu.com/user/profile/61a584980000000021021ac4</t>
        </is>
      </c>
      <c r="I189" s="118" t="n">
        <v>8068326475</v>
      </c>
      <c r="J189" s="18" t="n"/>
      <c r="K189" s="18" t="inlineStr">
        <is>
          <t>家居家装</t>
        </is>
      </c>
      <c r="L189" s="18" t="inlineStr">
        <is>
          <t>koc</t>
        </is>
      </c>
      <c r="M189" s="18" t="n">
        <v>2.3</v>
      </c>
      <c r="N189" s="18" t="n">
        <v>14.8</v>
      </c>
      <c r="O189" s="18" t="inlineStr">
        <is>
          <t>图文</t>
        </is>
      </c>
      <c r="P189" s="21" t="n">
        <v>0.8</v>
      </c>
      <c r="Q189" s="21" t="n">
        <v>0.24</v>
      </c>
      <c r="R189" s="21" t="n">
        <v>0.49</v>
      </c>
      <c r="S189" s="21" t="n">
        <v>0.12</v>
      </c>
      <c r="T189" s="21" t="n">
        <v>0.49</v>
      </c>
      <c r="U189" s="21" t="n">
        <v>0.14</v>
      </c>
      <c r="V189" s="22" t="n">
        <v>3302</v>
      </c>
      <c r="W189" s="18" t="n">
        <v>1337</v>
      </c>
      <c r="X189" s="18" t="n">
        <v>1500</v>
      </c>
      <c r="Y189" s="18">
        <f>X189*1.1</f>
        <v/>
      </c>
      <c r="Z189" s="20">
        <f>Y189/V189</f>
        <v/>
      </c>
      <c r="AA189" s="20">
        <f>Y189/W189</f>
        <v/>
      </c>
      <c r="AB189" s="18" t="n"/>
      <c r="AC189" s="18" t="n"/>
      <c r="AD189" s="18" t="n"/>
      <c r="AE189" s="18" t="n"/>
    </row>
    <row r="190">
      <c r="A190" s="18" t="n"/>
      <c r="B190" s="18" t="n"/>
      <c r="C190" s="17" t="n">
        <v>46091</v>
      </c>
      <c r="D190" s="18" t="inlineStr">
        <is>
          <t>品牌</t>
        </is>
      </c>
      <c r="E190" s="18" t="inlineStr">
        <is>
          <t>小陈家装分享</t>
        </is>
      </c>
      <c r="F190" s="122" t="n"/>
      <c r="G190" s="122" t="inlineStr">
        <is>
          <t>https://pgy.xiaohongshu.com/solar/pre-trade/blogger-detail/667c0d370000000003030b6f?track_id=kolSimilar_2a8b15dc06664f4a815ad3d73751affe&amp;source=Advertiser_Similar_Kol</t>
        </is>
      </c>
      <c r="H190" s="122" t="inlineStr">
        <is>
          <t>https://www.xiaohongshu.com/user/profile/667c0d370000000003030b6f</t>
        </is>
      </c>
      <c r="I190" s="118" t="n">
        <v>42896593419</v>
      </c>
      <c r="J190" s="18" t="n"/>
      <c r="K190" s="18" t="inlineStr">
        <is>
          <t>家居家装</t>
        </is>
      </c>
      <c r="L190" s="18" t="inlineStr">
        <is>
          <t>koc</t>
        </is>
      </c>
      <c r="M190" s="18" t="n">
        <v>0.7</v>
      </c>
      <c r="N190" s="18" t="n">
        <v>9.800000000000001</v>
      </c>
      <c r="O190" s="18" t="inlineStr">
        <is>
          <t>图文</t>
        </is>
      </c>
      <c r="P190" s="21" t="n">
        <v>0.7</v>
      </c>
      <c r="Q190" s="21" t="n">
        <v>0.45</v>
      </c>
      <c r="R190" s="21" t="n">
        <v>0.15</v>
      </c>
      <c r="S190" s="21" t="n">
        <v>0.21</v>
      </c>
      <c r="T190" s="21" t="n">
        <v>0.45</v>
      </c>
      <c r="U190" s="21" t="n">
        <v>0.2</v>
      </c>
      <c r="V190" s="22" t="n">
        <v>10908</v>
      </c>
      <c r="W190" s="18" t="n">
        <v>444</v>
      </c>
      <c r="X190" s="18" t="n">
        <v>2500</v>
      </c>
      <c r="Y190" s="18">
        <f>X190*1.1</f>
        <v/>
      </c>
      <c r="Z190" s="20">
        <f>Y190/V190</f>
        <v/>
      </c>
      <c r="AA190" s="20">
        <f>Y190/W190</f>
        <v/>
      </c>
      <c r="AB190" s="18" t="n"/>
      <c r="AC190" s="18" t="n"/>
      <c r="AD190" s="18" t="n"/>
      <c r="AE190" s="18" t="n"/>
    </row>
    <row r="191">
      <c r="A191" s="18" t="n"/>
      <c r="B191" s="18" t="n"/>
      <c r="C191" s="17" t="n">
        <v>46091</v>
      </c>
      <c r="D191" s="18" t="inlineStr">
        <is>
          <t>品牌</t>
        </is>
      </c>
      <c r="E191" s="18" t="inlineStr">
        <is>
          <t>澜儿laner</t>
        </is>
      </c>
      <c r="F191" s="122" t="n"/>
      <c r="G191" s="122" t="inlineStr">
        <is>
          <t>https://pgy.xiaohongshu.com/solar/pre-trade/blogger-detail/592f662082ec3976fd45865a?track_id=kolSimilar_06aca17208f7421dbad42cf64149b408&amp;source=Advertiser_Similar_Kol</t>
        </is>
      </c>
      <c r="H191" s="122" t="inlineStr">
        <is>
          <t>https://www.xiaohongshu.com/user/profile/592f662082ec3976fd45865a</t>
        </is>
      </c>
      <c r="I191" s="118" t="n">
        <v>952202305</v>
      </c>
      <c r="J191" s="18" t="n"/>
      <c r="K191" s="18" t="inlineStr">
        <is>
          <t>家居家装</t>
        </is>
      </c>
      <c r="L191" s="18" t="inlineStr">
        <is>
          <t>koc</t>
        </is>
      </c>
      <c r="M191" s="18" t="n">
        <v>0.3</v>
      </c>
      <c r="N191" s="18" t="n">
        <v>3.3</v>
      </c>
      <c r="O191" s="18" t="inlineStr">
        <is>
          <t>图文</t>
        </is>
      </c>
      <c r="P191" s="21" t="n">
        <v>0.64</v>
      </c>
      <c r="Q191" s="21" t="n">
        <v>0.05</v>
      </c>
      <c r="R191" s="21" t="n">
        <v>0.47</v>
      </c>
      <c r="S191" s="21" t="n">
        <v>0.3</v>
      </c>
      <c r="T191" s="21" t="n">
        <v>0.54</v>
      </c>
      <c r="U191" s="21" t="n">
        <v>0.17</v>
      </c>
      <c r="V191" s="22" t="n">
        <v>3860</v>
      </c>
      <c r="W191" s="18" t="n">
        <v>174</v>
      </c>
      <c r="X191" s="18" t="n">
        <v>800</v>
      </c>
      <c r="Y191" s="18">
        <f>X191*1.1</f>
        <v/>
      </c>
      <c r="Z191" s="20">
        <f>Y191/V191</f>
        <v/>
      </c>
      <c r="AA191" s="20">
        <f>Y191/W191</f>
        <v/>
      </c>
      <c r="AB191" s="18" t="n"/>
      <c r="AC191" s="18" t="n"/>
      <c r="AD191" s="18" t="n"/>
      <c r="AE191" s="18" t="n"/>
    </row>
    <row r="192">
      <c r="A192" s="18" t="n"/>
      <c r="B192" s="18" t="n"/>
      <c r="C192" s="17" t="n">
        <v>46091</v>
      </c>
      <c r="D192" s="18" t="inlineStr">
        <is>
          <t>品牌</t>
        </is>
      </c>
      <c r="E192" s="18" t="inlineStr">
        <is>
          <t>贝贝的秘密基地(软装中)</t>
        </is>
      </c>
      <c r="F192" s="122" t="n"/>
      <c r="G192" s="122" t="inlineStr">
        <is>
          <t>https://pgy.xiaohongshu.com/solar/pre-trade/blogger-detail/61699a82000000000201957f?track_id=kolSimilar_18a8b476ab3b444facfa836f957474b5&amp;source=Advertiser_Similar_Kol</t>
        </is>
      </c>
      <c r="H192" s="122" t="inlineStr">
        <is>
          <t>https://www.xiaohongshu.com/user/profile/61699a82000000000201957f</t>
        </is>
      </c>
      <c r="I192" s="118" t="n">
        <v>2664064592</v>
      </c>
      <c r="J192" s="18" t="n"/>
      <c r="K192" s="18" t="inlineStr">
        <is>
          <t>家居家装</t>
        </is>
      </c>
      <c r="L192" s="18" t="inlineStr">
        <is>
          <t>koc</t>
        </is>
      </c>
      <c r="M192" s="18" t="n">
        <v>0.4</v>
      </c>
      <c r="N192" s="18" t="n">
        <v>5.9</v>
      </c>
      <c r="O192" s="18" t="inlineStr">
        <is>
          <t>图文</t>
        </is>
      </c>
      <c r="P192" s="21" t="n">
        <v>0.67</v>
      </c>
      <c r="Q192" s="21" t="n">
        <v>0.18</v>
      </c>
      <c r="R192" s="21" t="n">
        <v>0.48</v>
      </c>
      <c r="S192" s="21" t="n">
        <v>0.21</v>
      </c>
      <c r="T192" s="21" t="n">
        <v>0.44</v>
      </c>
      <c r="U192" s="21" t="n">
        <v>0.15</v>
      </c>
      <c r="V192" s="22" t="n">
        <v>5624</v>
      </c>
      <c r="W192" s="18" t="n">
        <v>310</v>
      </c>
      <c r="X192" s="18" t="n">
        <v>2000</v>
      </c>
      <c r="Y192" s="18">
        <f>X192*1.1</f>
        <v/>
      </c>
      <c r="Z192" s="20">
        <f>Y192/V192</f>
        <v/>
      </c>
      <c r="AA192" s="20">
        <f>Y192/W192</f>
        <v/>
      </c>
      <c r="AB192" s="18" t="n"/>
      <c r="AC192" s="18" t="n"/>
      <c r="AD192" s="18" t="n"/>
      <c r="AE192" s="18" t="n"/>
    </row>
    <row r="193">
      <c r="A193" s="18" t="n"/>
      <c r="B193" s="18" t="n"/>
      <c r="C193" s="17" t="n">
        <v>46091</v>
      </c>
      <c r="D193" s="18" t="inlineStr">
        <is>
          <t>品牌</t>
        </is>
      </c>
      <c r="E193" s="18" t="inlineStr">
        <is>
          <t>anni家</t>
        </is>
      </c>
      <c r="F193" s="122" t="n"/>
      <c r="G193" s="122" t="inlineStr">
        <is>
          <t>https://pgy.xiaohongshu.com/solar/pre-trade/blogger-detail/58492b3b5e87e712f36d07cd?track_id=kolSimilar_18a8b476ab3b444facfa836f957474b5&amp;source=Advertiser_Similar_Kol</t>
        </is>
      </c>
      <c r="H193" s="122" t="inlineStr">
        <is>
          <t>https://www.xiaohongshu.com/user/profile/58492b3b5e87e712f36d07cd</t>
        </is>
      </c>
      <c r="I193" s="118" t="n">
        <v>111806177</v>
      </c>
      <c r="J193" s="18" t="n"/>
      <c r="K193" s="18" t="inlineStr">
        <is>
          <t>家居家装</t>
        </is>
      </c>
      <c r="L193" s="18" t="inlineStr">
        <is>
          <t>koc</t>
        </is>
      </c>
      <c r="M193" s="18" t="n">
        <v>0.2</v>
      </c>
      <c r="N193" s="18" t="n">
        <v>4.4</v>
      </c>
      <c r="O193" s="18" t="inlineStr">
        <is>
          <t>图文</t>
        </is>
      </c>
      <c r="P193" s="21" t="n">
        <v>0.73</v>
      </c>
      <c r="Q193" s="21" t="n">
        <v>0.07000000000000001</v>
      </c>
      <c r="R193" s="21" t="n">
        <v>0.49</v>
      </c>
      <c r="S193" s="21" t="n">
        <v>0.31</v>
      </c>
      <c r="T193" s="21" t="n">
        <v>0.63</v>
      </c>
      <c r="U193" s="21" t="n">
        <v>0.16</v>
      </c>
      <c r="V193" s="22" t="n">
        <v>4565</v>
      </c>
      <c r="W193" s="18" t="n">
        <v>425</v>
      </c>
      <c r="X193" s="18" t="n">
        <v>1700</v>
      </c>
      <c r="Y193" s="18">
        <f>X193*1.1</f>
        <v/>
      </c>
      <c r="Z193" s="20">
        <f>Y193/V193</f>
        <v/>
      </c>
      <c r="AA193" s="20">
        <f>Y193/W193</f>
        <v/>
      </c>
      <c r="AB193" s="18" t="n"/>
      <c r="AC193" s="18" t="n"/>
      <c r="AD193" s="18" t="n"/>
      <c r="AE193" s="18" t="n"/>
    </row>
    <row r="194">
      <c r="A194" s="18" t="n"/>
      <c r="B194" s="18" t="n"/>
      <c r="C194" s="17" t="n">
        <v>46091</v>
      </c>
      <c r="D194" s="18" t="inlineStr">
        <is>
          <t>品牌</t>
        </is>
      </c>
      <c r="E194" s="18" t="inlineStr">
        <is>
          <t>小丸子</t>
        </is>
      </c>
      <c r="F194" s="122" t="n"/>
      <c r="G194" s="122" t="inlineStr">
        <is>
          <t>https://pgy.xiaohongshu.com/solar/pre-trade/blogger-detail/60d4bd5b00000000010083cd?track_id=kolSimilar_f69a376a066c43099cc9a6229e863646&amp;source=Advertiser_Similar_Kol</t>
        </is>
      </c>
      <c r="H194" s="122" t="inlineStr">
        <is>
          <t>https://www.xiaohongshu.com/user/profile/60d4bd5b00000000010083cd</t>
        </is>
      </c>
      <c r="I194" s="118" t="n">
        <v>2672091363</v>
      </c>
      <c r="J194" s="18" t="n"/>
      <c r="K194" s="18" t="inlineStr">
        <is>
          <t>家居家装</t>
        </is>
      </c>
      <c r="L194" s="18" t="inlineStr">
        <is>
          <t>koc</t>
        </is>
      </c>
      <c r="M194" s="18" t="n">
        <v>0.6</v>
      </c>
      <c r="N194" s="18" t="n">
        <v>9.199999999999999</v>
      </c>
      <c r="O194" s="18" t="inlineStr">
        <is>
          <t>图文</t>
        </is>
      </c>
      <c r="P194" s="21" t="n">
        <v>0.65</v>
      </c>
      <c r="Q194" s="21" t="n">
        <v>0.07000000000000001</v>
      </c>
      <c r="R194" s="21" t="n">
        <v>0.43</v>
      </c>
      <c r="S194" s="21" t="n">
        <v>0.36</v>
      </c>
      <c r="T194" s="21" t="n">
        <v>0.5600000000000001</v>
      </c>
      <c r="U194" s="21" t="n">
        <v>0.19</v>
      </c>
      <c r="V194" s="22" t="n">
        <v>4026</v>
      </c>
      <c r="W194" s="18" t="n">
        <v>283</v>
      </c>
      <c r="X194" s="18" t="n">
        <v>1186</v>
      </c>
      <c r="Y194" s="18">
        <f>X194*1.1</f>
        <v/>
      </c>
      <c r="Z194" s="20">
        <f>Y194/V194</f>
        <v/>
      </c>
      <c r="AA194" s="20">
        <f>Y194/W194</f>
        <v/>
      </c>
      <c r="AB194" s="18" t="n"/>
      <c r="AC194" s="18" t="n"/>
      <c r="AD194" s="18" t="n"/>
      <c r="AE194" s="18" t="n"/>
    </row>
    <row r="195">
      <c r="A195" s="18" t="n"/>
      <c r="B195" s="18" t="n"/>
      <c r="C195" s="17" t="n">
        <v>46091</v>
      </c>
      <c r="D195" s="18" t="inlineStr">
        <is>
          <t>品牌</t>
        </is>
      </c>
      <c r="E195" s="18" t="inlineStr">
        <is>
          <t>郑德哆</t>
        </is>
      </c>
      <c r="F195" s="122" t="n"/>
      <c r="G195" s="122" t="inlineStr">
        <is>
          <t>https://pgy.xiaohongshu.com/solar/pre-trade/blogger-detail/60e91e4f000000000101e2e3?track_id=kolSimilar_f69a376a066c43099cc9a6229e863646&amp;source=Advertiser_Similar_Kol</t>
        </is>
      </c>
      <c r="H195" s="122" t="inlineStr">
        <is>
          <t>https://www.xiaohongshu.com/user/profile/60e91e4f000000000101e2e3</t>
        </is>
      </c>
      <c r="I195" s="118" t="n">
        <v>2671675826</v>
      </c>
      <c r="J195" s="18" t="n"/>
      <c r="K195" s="18" t="inlineStr">
        <is>
          <t>家居家装</t>
        </is>
      </c>
      <c r="L195" s="18" t="inlineStr">
        <is>
          <t>koc</t>
        </is>
      </c>
      <c r="M195" s="18" t="n">
        <v>0.7</v>
      </c>
      <c r="N195" s="18" t="n">
        <v>21</v>
      </c>
      <c r="O195" s="18" t="inlineStr">
        <is>
          <t xml:space="preserve">图文 </t>
        </is>
      </c>
      <c r="P195" s="21" t="n">
        <v>0.76</v>
      </c>
      <c r="Q195" s="21" t="n">
        <v>0.06</v>
      </c>
      <c r="R195" s="21" t="n">
        <v>0.49</v>
      </c>
      <c r="S195" s="21" t="n">
        <v>0.29</v>
      </c>
      <c r="T195" s="21" t="n">
        <v>0.52</v>
      </c>
      <c r="U195" s="21" t="n">
        <v>0.19</v>
      </c>
      <c r="V195" s="22" t="n">
        <v>8632</v>
      </c>
      <c r="W195" s="18" t="n">
        <v>562</v>
      </c>
      <c r="X195" s="18" t="n">
        <v>1800</v>
      </c>
      <c r="Y195" s="18">
        <f>X195*1.1</f>
        <v/>
      </c>
      <c r="Z195" s="20">
        <f>Y195/V195</f>
        <v/>
      </c>
      <c r="AA195" s="20">
        <f>Y195/W195</f>
        <v/>
      </c>
      <c r="AB195" s="18" t="n"/>
      <c r="AC195" s="18" t="n"/>
      <c r="AD195" s="18" t="n"/>
      <c r="AE195" s="18" t="n"/>
    </row>
    <row r="196">
      <c r="A196" s="18" t="n"/>
      <c r="B196" s="18" t="n"/>
      <c r="C196" s="17" t="n">
        <v>46091</v>
      </c>
      <c r="D196" s="18" t="inlineStr">
        <is>
          <t>品牌</t>
        </is>
      </c>
      <c r="E196" s="18" t="inlineStr">
        <is>
          <t>年糕家🍥（软装中）</t>
        </is>
      </c>
      <c r="F196" s="122" t="n"/>
      <c r="G196" s="122" t="inlineStr">
        <is>
          <t>https://pgy.xiaohongshu.com/solar/pre-trade/blogger-detail/5e9d4f070000000001001e6c?track_id=kolSimilar_f69a376a066c43099cc9a6229e863646&amp;source=Advertiser_Similar_Kol</t>
        </is>
      </c>
      <c r="H196" s="122" t="inlineStr">
        <is>
          <t>https://www.xiaohongshu.com/user/profile/5e9d4f070000000001001e6c</t>
        </is>
      </c>
      <c r="I196" s="118" t="inlineStr">
        <is>
          <t>XB199804</t>
        </is>
      </c>
      <c r="J196" s="18" t="n"/>
      <c r="K196" s="18" t="inlineStr">
        <is>
          <t>家居家装</t>
        </is>
      </c>
      <c r="L196" s="18" t="inlineStr">
        <is>
          <t>koc</t>
        </is>
      </c>
      <c r="M196" s="18" t="n">
        <v>0.4</v>
      </c>
      <c r="N196" s="18" t="n">
        <v>8</v>
      </c>
      <c r="O196" s="18" t="inlineStr">
        <is>
          <t xml:space="preserve">图文 </t>
        </is>
      </c>
      <c r="P196" s="21" t="n">
        <v>0.75</v>
      </c>
      <c r="Q196" s="21" t="n">
        <v>0.07000000000000001</v>
      </c>
      <c r="R196" s="21" t="n">
        <v>0.61</v>
      </c>
      <c r="S196" s="21" t="n">
        <v>0.23</v>
      </c>
      <c r="T196" s="21" t="n">
        <v>0.72</v>
      </c>
      <c r="U196" s="21" t="n">
        <v>0.11</v>
      </c>
      <c r="V196" s="22" t="n">
        <v>3956</v>
      </c>
      <c r="W196" s="18" t="n">
        <v>225</v>
      </c>
      <c r="X196" s="18" t="n">
        <v>1200</v>
      </c>
      <c r="Y196" s="18">
        <f>X196*1.1</f>
        <v/>
      </c>
      <c r="Z196" s="20">
        <f>Y196/V196</f>
        <v/>
      </c>
      <c r="AA196" s="20">
        <f>Y196/W196</f>
        <v/>
      </c>
      <c r="AB196" s="18" t="n"/>
      <c r="AC196" s="18" t="n"/>
      <c r="AD196" s="18" t="n"/>
      <c r="AE196" s="18" t="n"/>
    </row>
    <row r="197">
      <c r="A197" s="18" t="n"/>
      <c r="B197" s="18" t="n"/>
      <c r="C197" s="17" t="n">
        <v>46091</v>
      </c>
      <c r="D197" s="18" t="inlineStr">
        <is>
          <t>品牌</t>
        </is>
      </c>
      <c r="E197" s="18" t="inlineStr">
        <is>
          <t>鱼鱼大仙仙</t>
        </is>
      </c>
      <c r="F197" s="122" t="n"/>
      <c r="G197" s="122" t="inlineStr">
        <is>
          <t>https://pgy.xiaohongshu.com/solar/pre-trade/blogger-detail/5a90cf2411be100f26117047?track_id=kolSimilar_f69a376a066c43099cc9a6229e863646&amp;source=Advertiser_Similar_Kol</t>
        </is>
      </c>
      <c r="H197" s="122" t="inlineStr">
        <is>
          <t>https://www.xiaohongshu.com/user/profile/5a90cf2411be100f26117047</t>
        </is>
      </c>
      <c r="I197" s="118" t="n">
        <v>272495534</v>
      </c>
      <c r="J197" s="18" t="n"/>
      <c r="K197" s="18" t="inlineStr">
        <is>
          <t>家居家装</t>
        </is>
      </c>
      <c r="L197" s="18" t="inlineStr">
        <is>
          <t>koc</t>
        </is>
      </c>
      <c r="M197" s="18" t="n">
        <v>0.7</v>
      </c>
      <c r="N197" s="18" t="n">
        <v>17</v>
      </c>
      <c r="O197" s="18" t="inlineStr">
        <is>
          <t>图文</t>
        </is>
      </c>
      <c r="P197" s="21" t="n">
        <v>0.77</v>
      </c>
      <c r="Q197" s="21" t="n">
        <v>0.15</v>
      </c>
      <c r="R197" s="21" t="n">
        <v>0.61</v>
      </c>
      <c r="S197" s="21" t="n">
        <v>0.17</v>
      </c>
      <c r="T197" s="21" t="n">
        <v>0.73</v>
      </c>
      <c r="U197" s="21" t="n">
        <v>0.1</v>
      </c>
      <c r="V197" s="22" t="n">
        <v>5867</v>
      </c>
      <c r="W197" s="18" t="n">
        <v>559</v>
      </c>
      <c r="X197" s="18" t="n">
        <v>2500</v>
      </c>
      <c r="Y197" s="18">
        <f>X197*1.1</f>
        <v/>
      </c>
      <c r="Z197" s="20">
        <f>Y197/V197</f>
        <v/>
      </c>
      <c r="AA197" s="20">
        <f>Y197/W197</f>
        <v/>
      </c>
      <c r="AB197" s="18" t="n"/>
      <c r="AC197" s="18" t="n"/>
      <c r="AD197" s="18" t="n"/>
      <c r="AE197" s="18" t="n"/>
    </row>
    <row r="198">
      <c r="A198" s="18" t="n"/>
      <c r="B198" s="18" t="n"/>
      <c r="C198" s="17" t="n">
        <v>46091</v>
      </c>
      <c r="D198" s="18" t="inlineStr">
        <is>
          <t>电商</t>
        </is>
      </c>
      <c r="E198" s="18" t="inlineStr">
        <is>
          <t>小杨说家居</t>
        </is>
      </c>
      <c r="F198" s="122" t="n"/>
      <c r="G198" s="122" t="inlineStr">
        <is>
          <t>https://pgy.xiaohongshu.com/solar/pre-trade/blogger-detail/6821ae6d000000000d00b003?track_id=kolMatch_3e9f9fefb9054f99b8b3765d4bebcd96&amp;source=Advertiser_Kol</t>
        </is>
      </c>
      <c r="H198" s="122" t="inlineStr">
        <is>
          <t>https://www.xiaohongshu.com/user/profile/6821ae6d000000000d00b003</t>
        </is>
      </c>
      <c r="I198" s="118" t="inlineStr">
        <is>
          <t>ggr0321999</t>
        </is>
      </c>
      <c r="J198" s="18" t="n"/>
      <c r="K198" s="18" t="inlineStr">
        <is>
          <t>家居家装</t>
        </is>
      </c>
      <c r="L198" s="18" t="inlineStr">
        <is>
          <t>koc</t>
        </is>
      </c>
      <c r="M198" s="18" t="n">
        <v>1.3</v>
      </c>
      <c r="N198" s="18" t="n">
        <v>5</v>
      </c>
      <c r="O198" s="18" t="inlineStr">
        <is>
          <t>图文</t>
        </is>
      </c>
      <c r="P198" s="21" t="n">
        <v>0.74</v>
      </c>
      <c r="Q198" s="21" t="n">
        <v>0.17</v>
      </c>
      <c r="R198" s="21" t="n">
        <v>0.5600000000000001</v>
      </c>
      <c r="S198" s="21" t="n">
        <v>0.18</v>
      </c>
      <c r="T198" s="21" t="n">
        <v>0.53</v>
      </c>
      <c r="U198" s="21" t="n">
        <v>0.13</v>
      </c>
      <c r="V198" s="22" t="n">
        <v>4965</v>
      </c>
      <c r="W198" s="18" t="n">
        <v>218</v>
      </c>
      <c r="X198" s="18" t="n">
        <v>1000</v>
      </c>
      <c r="Y198" s="18">
        <f>X198*1.1</f>
        <v/>
      </c>
      <c r="Z198" s="20">
        <f>Y198/V198</f>
        <v/>
      </c>
      <c r="AA198" s="20">
        <f>Y198/W198</f>
        <v/>
      </c>
      <c r="AB198" s="18" t="n"/>
      <c r="AC198" s="18" t="n"/>
      <c r="AD198" s="18" t="n"/>
      <c r="AE198" s="18" t="n"/>
    </row>
    <row r="199">
      <c r="A199" s="18" t="n"/>
      <c r="B199" s="18" t="n"/>
      <c r="C199" s="17" t="n">
        <v>46091</v>
      </c>
      <c r="D199" s="18" t="inlineStr">
        <is>
          <t>电商</t>
        </is>
      </c>
      <c r="E199" s="18" t="inlineStr">
        <is>
          <t>黑不溜秋</t>
        </is>
      </c>
      <c r="F199" s="122" t="n"/>
      <c r="G199" s="122" t="inlineStr">
        <is>
          <t>https://pgy.xiaohongshu.com/solar/pre-trade/blogger-detail/5657ec496a6a690e4446b0b6?track_id=kolMatch_3e9f9fefb9054f99b8b3765d4bebcd96&amp;source=Advertiser_Kol</t>
        </is>
      </c>
      <c r="H199" s="122" t="inlineStr">
        <is>
          <t>https://www.xiaohongshu.com/user/profile/5657ec496a6a690e4446b0b6</t>
        </is>
      </c>
      <c r="I199" s="118" t="inlineStr">
        <is>
          <t>heibuliuqiu</t>
        </is>
      </c>
      <c r="J199" s="18" t="n"/>
      <c r="K199" s="18" t="inlineStr">
        <is>
          <t>家居家装</t>
        </is>
      </c>
      <c r="L199" s="18" t="inlineStr">
        <is>
          <t>koc</t>
        </is>
      </c>
      <c r="M199" s="18" t="n">
        <v>1</v>
      </c>
      <c r="N199" s="18" t="n">
        <v>26.9</v>
      </c>
      <c r="O199" s="18" t="inlineStr">
        <is>
          <t>图文</t>
        </is>
      </c>
      <c r="P199" s="21" t="n">
        <v>0.85</v>
      </c>
      <c r="Q199" s="21" t="n">
        <v>0.25</v>
      </c>
      <c r="R199" s="21" t="n">
        <v>0.48</v>
      </c>
      <c r="S199" s="21" t="n">
        <v>0.14</v>
      </c>
      <c r="T199" s="21" t="n">
        <v>0.58</v>
      </c>
      <c r="U199" s="21" t="n">
        <v>0.1</v>
      </c>
      <c r="V199" s="22" t="n">
        <v>5367</v>
      </c>
      <c r="W199" s="18" t="n">
        <v>398</v>
      </c>
      <c r="X199" s="18" t="n">
        <v>1600</v>
      </c>
      <c r="Y199" s="18">
        <f>X199*1.1</f>
        <v/>
      </c>
      <c r="Z199" s="20">
        <f>Y199/V199</f>
        <v/>
      </c>
      <c r="AA199" s="20">
        <f>Y199/W199</f>
        <v/>
      </c>
      <c r="AB199" s="18" t="n"/>
      <c r="AC199" s="18" t="n"/>
      <c r="AD199" s="18" t="n"/>
      <c r="AE199" s="18" t="n"/>
    </row>
    <row r="200">
      <c r="A200" s="18" t="n"/>
      <c r="B200" s="18" t="n"/>
      <c r="C200" s="17" t="n">
        <v>46091</v>
      </c>
      <c r="D200" s="18" t="inlineStr">
        <is>
          <t>电商</t>
        </is>
      </c>
      <c r="E200" s="18" t="inlineStr">
        <is>
          <t>AECHOSOUNG_全智熊</t>
        </is>
      </c>
      <c r="F200" s="122" t="n"/>
      <c r="G200" s="122" t="inlineStr">
        <is>
          <t>https://pgy.xiaohongshu.com/solar/pre-trade/blogger-detail/5ad91fa84eacab594e2475d4?track_id=kolMatch_de42bd9a94184c8b94f0d959da775966&amp;source=Advertiser_Kol</t>
        </is>
      </c>
      <c r="H200" s="122" t="inlineStr">
        <is>
          <t>https://www.xiaohongshu.com/user/profile/5ad91fa84eacab594e2475d4</t>
        </is>
      </c>
      <c r="I200" s="118" t="n">
        <v>270934694</v>
      </c>
      <c r="J200" s="18" t="n"/>
      <c r="K200" s="18" t="inlineStr">
        <is>
          <t>家居家装</t>
        </is>
      </c>
      <c r="L200" s="18" t="inlineStr">
        <is>
          <t>koc</t>
        </is>
      </c>
      <c r="M200" s="18" t="n">
        <v>1</v>
      </c>
      <c r="N200" s="18" t="n">
        <v>10.5</v>
      </c>
      <c r="O200" s="18" t="inlineStr">
        <is>
          <t>图文</t>
        </is>
      </c>
      <c r="P200" s="21" t="n">
        <v>0.96</v>
      </c>
      <c r="Q200" s="21" t="n">
        <v>0.24</v>
      </c>
      <c r="R200" s="21" t="n">
        <v>0.49</v>
      </c>
      <c r="S200" s="21" t="n">
        <v>0.16</v>
      </c>
      <c r="T200" s="21" t="n">
        <v>0.66</v>
      </c>
      <c r="U200" s="21" t="n">
        <v>0.11</v>
      </c>
      <c r="V200" s="22" t="n">
        <v>4109</v>
      </c>
      <c r="W200" s="18" t="n">
        <v>259</v>
      </c>
      <c r="X200" s="18" t="n">
        <v>1380</v>
      </c>
      <c r="Y200" s="18">
        <f>X200*1.1</f>
        <v/>
      </c>
      <c r="Z200" s="20">
        <f>Y200/V200</f>
        <v/>
      </c>
      <c r="AA200" s="20">
        <f>Y200/W200</f>
        <v/>
      </c>
      <c r="AB200" s="18" t="n"/>
      <c r="AC200" s="18" t="n"/>
      <c r="AD200" s="18" t="n"/>
      <c r="AE200" s="18" t="n"/>
    </row>
    <row r="201">
      <c r="A201" s="18" t="n"/>
      <c r="B201" s="18" t="n"/>
      <c r="C201" s="17" t="n">
        <v>46091</v>
      </c>
      <c r="D201" s="18" t="inlineStr">
        <is>
          <t>电商</t>
        </is>
      </c>
      <c r="E201" s="18" t="inlineStr">
        <is>
          <t>小佳女孩</t>
        </is>
      </c>
      <c r="F201" s="122" t="n"/>
      <c r="G201" s="122" t="inlineStr">
        <is>
          <t>https://pgy.xiaohongshu.com/solar/pre-trade/blogger-detail/68908a04000000002803072d?track_id=kolMatch_de42bd9a94184c8b94f0d959da775966&amp;source=Advertiser_Kol</t>
        </is>
      </c>
      <c r="H201" s="122" t="inlineStr">
        <is>
          <t>https://www.xiaohongshu.com/user/profile/68908a04000000002803072d</t>
        </is>
      </c>
      <c r="I201" s="118" t="n">
        <v>49687418392</v>
      </c>
      <c r="J201" s="18" t="n"/>
      <c r="K201" s="18" t="inlineStr">
        <is>
          <t>家居家装</t>
        </is>
      </c>
      <c r="L201" s="18" t="inlineStr">
        <is>
          <t>koc</t>
        </is>
      </c>
      <c r="M201" s="18" t="n">
        <v>0.3</v>
      </c>
      <c r="N201" s="18" t="n">
        <v>9.1</v>
      </c>
      <c r="O201" s="18" t="inlineStr">
        <is>
          <t>图文</t>
        </is>
      </c>
      <c r="P201" s="21" t="n">
        <v>0.92</v>
      </c>
      <c r="Q201" s="21" t="n">
        <v>0.22</v>
      </c>
      <c r="R201" s="21" t="n">
        <v>0.62</v>
      </c>
      <c r="S201" s="21" t="n">
        <v>0.09</v>
      </c>
      <c r="T201" s="21" t="n">
        <v>0.8100000000000001</v>
      </c>
      <c r="U201" s="21" t="n">
        <v>0.06</v>
      </c>
      <c r="V201" s="22" t="n">
        <v>6020</v>
      </c>
      <c r="W201" s="18" t="n">
        <v>964</v>
      </c>
      <c r="X201" s="18" t="n">
        <v>1000</v>
      </c>
      <c r="Y201" s="18">
        <f>X201*1.1</f>
        <v/>
      </c>
      <c r="Z201" s="20">
        <f>Y201/V201</f>
        <v/>
      </c>
      <c r="AA201" s="20">
        <f>Y201/W201</f>
        <v/>
      </c>
      <c r="AB201" s="18" t="n"/>
      <c r="AC201" s="18" t="n"/>
      <c r="AD201" s="18" t="n"/>
      <c r="AE201" s="18" t="n"/>
    </row>
    <row r="202">
      <c r="A202" s="18" t="n"/>
      <c r="B202" s="18" t="n"/>
      <c r="C202" s="17" t="n">
        <v>46091</v>
      </c>
      <c r="D202" s="18" t="inlineStr">
        <is>
          <t>电商</t>
        </is>
      </c>
      <c r="E202" s="18" t="inlineStr">
        <is>
          <t>酷酷的馨🏠</t>
        </is>
      </c>
      <c r="F202" s="122" t="n"/>
      <c r="G202" s="122" t="inlineStr">
        <is>
          <t>https://pgy.xiaohongshu.com/solar/pre-trade/blogger-detail/5b5fcec74eacab10459f50b0?track_id=kolMatch_de42bd9a94184c8b94f0d959da775966&amp;source=Advertiser_Kol</t>
        </is>
      </c>
      <c r="H202" s="122" t="inlineStr">
        <is>
          <t>https://www.xiaohongshu.com/user/profile/5b5fcec74eacab10459f50b0</t>
        </is>
      </c>
      <c r="I202" s="118" t="n">
        <v>800028974</v>
      </c>
      <c r="J202" s="18" t="n"/>
      <c r="K202" s="18" t="inlineStr">
        <is>
          <t>家居家装</t>
        </is>
      </c>
      <c r="L202" s="18" t="inlineStr">
        <is>
          <t>koc</t>
        </is>
      </c>
      <c r="M202" s="18" t="n">
        <v>0.9</v>
      </c>
      <c r="N202" s="18" t="n">
        <v>11</v>
      </c>
      <c r="O202" s="18" t="inlineStr">
        <is>
          <t>图文</t>
        </is>
      </c>
      <c r="P202" s="21" t="n">
        <v>0.82</v>
      </c>
      <c r="Q202" s="21" t="n">
        <v>0.14</v>
      </c>
      <c r="R202" s="21" t="n">
        <v>0.49</v>
      </c>
      <c r="S202" s="21" t="n">
        <v>0.25</v>
      </c>
      <c r="T202" s="21" t="n">
        <v>0.5</v>
      </c>
      <c r="U202" s="21" t="n">
        <v>0.16</v>
      </c>
      <c r="V202" s="22" t="n">
        <v>4111</v>
      </c>
      <c r="W202" s="18" t="n">
        <v>244</v>
      </c>
      <c r="X202" s="18" t="n">
        <v>1500</v>
      </c>
      <c r="Y202" s="18">
        <f>X202*1.1</f>
        <v/>
      </c>
      <c r="Z202" s="20">
        <f>Y202/V202</f>
        <v/>
      </c>
      <c r="AA202" s="20">
        <f>Y202/W202</f>
        <v/>
      </c>
      <c r="AB202" s="18" t="n"/>
      <c r="AC202" s="18" t="n"/>
      <c r="AD202" s="18" t="n"/>
      <c r="AE202" s="18" t="n"/>
    </row>
    <row r="203">
      <c r="A203" s="18" t="n"/>
      <c r="B203" s="18" t="n"/>
      <c r="C203" s="17" t="n">
        <v>46091</v>
      </c>
      <c r="D203" s="18" t="inlineStr">
        <is>
          <t>电商</t>
        </is>
      </c>
      <c r="E203" s="18" t="inlineStr">
        <is>
          <t>Lexieee</t>
        </is>
      </c>
      <c r="F203" s="122" t="n"/>
      <c r="G203" s="122" t="inlineStr">
        <is>
          <t>https://pgy.xiaohongshu.com/solar/pre-trade/blogger-detail/647f11f60000000011001cb6?track_id=kolMatch_de42bd9a94184c8b94f0d959da775966&amp;source=Advertiser_Kol</t>
        </is>
      </c>
      <c r="H203" s="122" t="inlineStr">
        <is>
          <t>https://www.xiaohongshu.com/user/profile/647f11f60000000011001cb6</t>
        </is>
      </c>
      <c r="I203" s="118" t="inlineStr">
        <is>
          <t>fancy9611</t>
        </is>
      </c>
      <c r="J203" s="18" t="n"/>
      <c r="K203" s="18" t="inlineStr">
        <is>
          <t>家居家装</t>
        </is>
      </c>
      <c r="L203" s="18" t="inlineStr">
        <is>
          <t>koc</t>
        </is>
      </c>
      <c r="M203" s="18" t="n">
        <v>0.3</v>
      </c>
      <c r="N203" s="18" t="n">
        <v>3.3</v>
      </c>
      <c r="O203" s="18" t="inlineStr">
        <is>
          <t>图文</t>
        </is>
      </c>
      <c r="P203" s="21" t="n">
        <v>0.92</v>
      </c>
      <c r="Q203" s="21" t="n">
        <v>0.11</v>
      </c>
      <c r="R203" s="21" t="n">
        <v>0.63</v>
      </c>
      <c r="S203" s="21" t="n">
        <v>0.18</v>
      </c>
      <c r="T203" s="21" t="n">
        <v>0.85</v>
      </c>
      <c r="U203" s="21" t="n">
        <v>0.05</v>
      </c>
      <c r="V203" s="22" t="n">
        <v>5629</v>
      </c>
      <c r="W203" s="18" t="n">
        <v>286</v>
      </c>
      <c r="X203" s="18" t="n">
        <v>1000</v>
      </c>
      <c r="Y203" s="18">
        <f>X203*1.1</f>
        <v/>
      </c>
      <c r="Z203" s="20">
        <f>Y203/V203</f>
        <v/>
      </c>
      <c r="AA203" s="20">
        <f>Y203/W203</f>
        <v/>
      </c>
      <c r="AB203" s="18" t="n"/>
      <c r="AC203" s="18" t="n"/>
      <c r="AD203" s="18" t="n"/>
      <c r="AE203" s="18" t="n"/>
    </row>
    <row r="204">
      <c r="A204" s="18" t="n"/>
      <c r="B204" s="18" t="n"/>
      <c r="C204" s="17" t="n">
        <v>46091</v>
      </c>
      <c r="D204" s="18" t="inlineStr">
        <is>
          <t>电商</t>
        </is>
      </c>
      <c r="E204" s="18" t="inlineStr">
        <is>
          <t>一一娘娘</t>
        </is>
      </c>
      <c r="F204" s="122" t="n"/>
      <c r="G204" s="122" t="inlineStr">
        <is>
          <t>https://pgy.xiaohongshu.com/solar/pre-trade/blogger-detail/58a3f0045e87e71f2ecc0afe?track_id=kolMatch_7a96b2805c0849b6828521204354f285&amp;source=Advertiser_Kol</t>
        </is>
      </c>
      <c r="H204" s="122" t="inlineStr">
        <is>
          <t>https://www.xiaohongshu.com/user/profile/58a3f0045e87e71f2ecc0afe</t>
        </is>
      </c>
      <c r="I204" s="118" t="n">
        <v>494371845</v>
      </c>
      <c r="J204" s="18" t="n"/>
      <c r="K204" s="18" t="inlineStr">
        <is>
          <t>家居家装</t>
        </is>
      </c>
      <c r="L204" s="18" t="inlineStr">
        <is>
          <t>koc</t>
        </is>
      </c>
      <c r="M204" s="18" t="n">
        <v>0.4</v>
      </c>
      <c r="N204" s="18" t="n">
        <v>4.8</v>
      </c>
      <c r="O204" s="18" t="inlineStr">
        <is>
          <t>图文</t>
        </is>
      </c>
      <c r="P204" s="21" t="n">
        <v>0.9399999999999999</v>
      </c>
      <c r="Q204" s="21" t="n">
        <v>0.11</v>
      </c>
      <c r="R204" s="21" t="n">
        <v>0.63</v>
      </c>
      <c r="S204" s="21" t="n">
        <v>0.19</v>
      </c>
      <c r="T204" s="21" t="n">
        <v>0.76</v>
      </c>
      <c r="U204" s="21" t="n">
        <v>0.09</v>
      </c>
      <c r="V204" s="22" t="n">
        <v>2906</v>
      </c>
      <c r="W204" s="18" t="n">
        <v>176</v>
      </c>
      <c r="X204" s="18" t="n">
        <v>1000</v>
      </c>
      <c r="Y204" s="18">
        <f>X204*1.1</f>
        <v/>
      </c>
      <c r="Z204" s="20">
        <f>Y204/V204</f>
        <v/>
      </c>
      <c r="AA204" s="20">
        <f>Y204/W204</f>
        <v/>
      </c>
      <c r="AB204" s="18" t="n"/>
      <c r="AC204" s="18" t="n"/>
      <c r="AD204" s="18" t="n"/>
      <c r="AE204" s="18" t="n"/>
    </row>
    <row r="205">
      <c r="A205" s="18" t="n"/>
      <c r="B205" s="18" t="n"/>
      <c r="C205" s="17" t="n">
        <v>46091</v>
      </c>
      <c r="D205" s="18" t="inlineStr">
        <is>
          <t>电商</t>
        </is>
      </c>
      <c r="E205" s="18" t="inlineStr">
        <is>
          <t>小宅家居版</t>
        </is>
      </c>
      <c r="F205" s="122" t="n"/>
      <c r="G205" s="122" t="inlineStr">
        <is>
          <t>https://pgy.xiaohongshu.com/solar/pre-trade/blogger-detail/62073e26000000001000deca?track_id=kolMatch_3e9f9fefb9054f99b8b3765d4bebcd96&amp;source=Advertiser_Kol</t>
        </is>
      </c>
      <c r="H205" s="122" t="inlineStr">
        <is>
          <t>https://www.xiaohongshu.com/user/profile/62073e26000000001000deca</t>
        </is>
      </c>
      <c r="I205" s="118" t="n">
        <v>6973680777</v>
      </c>
      <c r="J205" s="18" t="n"/>
      <c r="K205" s="18" t="inlineStr">
        <is>
          <t>家居家装</t>
        </is>
      </c>
      <c r="L205" s="18" t="inlineStr">
        <is>
          <t>koc</t>
        </is>
      </c>
      <c r="M205" s="18" t="n">
        <v>1.3</v>
      </c>
      <c r="N205" s="18" t="n">
        <v>2.3</v>
      </c>
      <c r="O205" s="18" t="inlineStr">
        <is>
          <t>图文</t>
        </is>
      </c>
      <c r="P205" s="21" t="n">
        <v>0.82</v>
      </c>
      <c r="Q205" s="21" t="n">
        <v>0.09</v>
      </c>
      <c r="R205" s="21" t="n">
        <v>0.39</v>
      </c>
      <c r="S205" s="21" t="n">
        <v>0.3</v>
      </c>
      <c r="T205" s="21" t="n">
        <v>0.29</v>
      </c>
      <c r="U205" s="21" t="n">
        <v>0.18</v>
      </c>
      <c r="V205" s="22" t="n">
        <v>4274</v>
      </c>
      <c r="W205" s="18" t="n">
        <v>335</v>
      </c>
      <c r="X205" s="18" t="n">
        <v>1500</v>
      </c>
      <c r="Y205" s="18">
        <f>X205*1.1</f>
        <v/>
      </c>
      <c r="Z205" s="20">
        <f>Y205/V205</f>
        <v/>
      </c>
      <c r="AA205" s="20">
        <f>Y205/W205</f>
        <v/>
      </c>
      <c r="AB205" s="18" t="n"/>
      <c r="AC205" s="18" t="n"/>
      <c r="AD205" s="18" t="n"/>
      <c r="AE205" s="18" t="n"/>
    </row>
    <row r="206">
      <c r="A206" s="18" t="n"/>
      <c r="B206" s="18" t="n"/>
      <c r="C206" s="17" t="n">
        <v>46091</v>
      </c>
      <c r="D206" s="18" t="inlineStr">
        <is>
          <t>电商</t>
        </is>
      </c>
      <c r="E206" s="18" t="inlineStr">
        <is>
          <t>和睦小家</t>
        </is>
      </c>
      <c r="F206" s="122" t="n"/>
      <c r="G206" s="122" t="inlineStr">
        <is>
          <t>https://pgy.xiaohongshu.com/solar/pre-trade/blogger-detail/5981fcd850c4b4315c466af5?track_id=kolMatch_7a96b2805c0849b6828521204354f285&amp;source=Advertiser_Kol</t>
        </is>
      </c>
      <c r="H206" s="122" t="inlineStr">
        <is>
          <t>https://www.xiaohongshu.com/user/profile/5981fcd850c4b4315c466af5</t>
        </is>
      </c>
      <c r="I206" s="118" t="n">
        <v>956997380</v>
      </c>
      <c r="J206" s="18" t="n"/>
      <c r="K206" s="18" t="inlineStr">
        <is>
          <t>家居家装</t>
        </is>
      </c>
      <c r="L206" s="18" t="inlineStr">
        <is>
          <t>koc</t>
        </is>
      </c>
      <c r="M206" s="18" t="n">
        <v>1</v>
      </c>
      <c r="N206" s="18" t="n">
        <v>15.2</v>
      </c>
      <c r="O206" s="18" t="inlineStr">
        <is>
          <t>图文</t>
        </is>
      </c>
      <c r="P206" s="21" t="n">
        <v>0.88</v>
      </c>
      <c r="Q206" s="21" t="n">
        <v>0.09</v>
      </c>
      <c r="R206" s="21" t="n">
        <v>0.64</v>
      </c>
      <c r="S206" s="21" t="n">
        <v>0.12</v>
      </c>
      <c r="T206" s="21" t="n">
        <v>0.42</v>
      </c>
      <c r="U206" s="21" t="n">
        <v>0.19</v>
      </c>
      <c r="V206" s="22" t="n">
        <v>4582</v>
      </c>
      <c r="W206" s="18" t="n">
        <v>936</v>
      </c>
      <c r="X206" s="18" t="n">
        <v>1000</v>
      </c>
      <c r="Y206" s="18">
        <f>X206*1.1</f>
        <v/>
      </c>
      <c r="Z206" s="20">
        <f>Y206/V206</f>
        <v/>
      </c>
      <c r="AA206" s="20">
        <f>Y206/W206</f>
        <v/>
      </c>
      <c r="AB206" s="18" t="n"/>
      <c r="AC206" s="18" t="n"/>
      <c r="AD206" s="18" t="n"/>
      <c r="AE206" s="18" t="n"/>
    </row>
    <row r="207">
      <c r="A207" s="18" t="n"/>
      <c r="B207" s="18" t="n"/>
      <c r="C207" s="17" t="n">
        <v>46091</v>
      </c>
      <c r="D207" s="18" t="inlineStr">
        <is>
          <t>电商</t>
        </is>
      </c>
      <c r="E207" s="18" t="inlineStr">
        <is>
          <t>刘奶糖的🏠</t>
        </is>
      </c>
      <c r="F207" s="122" t="n"/>
      <c r="G207" s="122" t="inlineStr">
        <is>
          <t>https://pgy.xiaohongshu.com/solar/pre-trade/blogger-detail/6154902f0000000002020ec8?track_id=kolMatch_24f5decd7fa64557a013c7e514a58b81&amp;source=Advertiser_Kol</t>
        </is>
      </c>
      <c r="H207" s="122" t="inlineStr">
        <is>
          <t>https://www.xiaohongshu.com/user/profile/6154902f0000000002020ec8</t>
        </is>
      </c>
      <c r="I207" s="118" t="inlineStr">
        <is>
          <t>jia1658719991</t>
        </is>
      </c>
      <c r="J207" s="18" t="n"/>
      <c r="K207" s="18" t="inlineStr">
        <is>
          <t>家居家装</t>
        </is>
      </c>
      <c r="L207" s="18" t="inlineStr">
        <is>
          <t>koc</t>
        </is>
      </c>
      <c r="M207" s="18" t="n">
        <v>0.2</v>
      </c>
      <c r="N207" s="18" t="n">
        <v>3.9</v>
      </c>
      <c r="O207" s="18" t="inlineStr">
        <is>
          <t>图文</t>
        </is>
      </c>
      <c r="P207" s="21" t="n">
        <v>0.8100000000000001</v>
      </c>
      <c r="Q207" s="21" t="n">
        <v>0.09</v>
      </c>
      <c r="R207" s="21" t="n">
        <v>0.62</v>
      </c>
      <c r="S207" s="21" t="n">
        <v>0.21</v>
      </c>
      <c r="T207" s="21" t="n">
        <v>0.48</v>
      </c>
      <c r="U207" s="21" t="n">
        <v>0.15</v>
      </c>
      <c r="V207" s="22" t="n">
        <v>8102</v>
      </c>
      <c r="W207" s="18" t="n">
        <v>273</v>
      </c>
      <c r="X207" s="18" t="n">
        <v>800</v>
      </c>
      <c r="Y207" s="18">
        <f>X207*1.1</f>
        <v/>
      </c>
      <c r="Z207" s="20">
        <f>Y207/V207</f>
        <v/>
      </c>
      <c r="AA207" s="20">
        <f>Y207/W207</f>
        <v/>
      </c>
      <c r="AB207" s="18" t="n"/>
      <c r="AC207" s="18" t="n"/>
      <c r="AD207" s="18" t="n"/>
      <c r="AE207" s="18" t="n"/>
    </row>
    <row r="208">
      <c r="A208" s="18" t="n"/>
      <c r="B208" s="18" t="n"/>
      <c r="C208" s="17" t="n">
        <v>46091</v>
      </c>
      <c r="D208" s="18" t="inlineStr">
        <is>
          <t>电商</t>
        </is>
      </c>
      <c r="E208" s="18" t="inlineStr">
        <is>
          <t>镕大宝</t>
        </is>
      </c>
      <c r="F208" s="122" t="n"/>
      <c r="G208" s="122" t="inlineStr">
        <is>
          <t>https://pgy.xiaohongshu.com/solar/pre-trade/blogger-detail/5ff2a45f000000000101e61c?track_id=kolMatch_24f5decd7fa64557a013c7e514a58b81&amp;source=Advertiser_Kol</t>
        </is>
      </c>
      <c r="H208" s="122" t="inlineStr">
        <is>
          <t>https://www.xiaohongshu.com/user/profile/5ff2a45f000000000101e61c</t>
        </is>
      </c>
      <c r="I208" s="118" t="n">
        <v>1108553528</v>
      </c>
      <c r="J208" s="18" t="n"/>
      <c r="K208" s="18" t="inlineStr">
        <is>
          <t>家居家装</t>
        </is>
      </c>
      <c r="L208" s="18" t="inlineStr">
        <is>
          <t>koc</t>
        </is>
      </c>
      <c r="M208" s="18" t="n">
        <v>0.4</v>
      </c>
      <c r="N208" s="18" t="n">
        <v>7.6</v>
      </c>
      <c r="O208" s="18" t="inlineStr">
        <is>
          <t>图文</t>
        </is>
      </c>
      <c r="P208" s="21" t="n">
        <v>0.78</v>
      </c>
      <c r="Q208" s="21" t="n">
        <v>0.06</v>
      </c>
      <c r="R208" s="21" t="n">
        <v>0.67</v>
      </c>
      <c r="S208" s="21" t="n">
        <v>0.22</v>
      </c>
      <c r="T208" s="21" t="n">
        <v>0.77</v>
      </c>
      <c r="U208" s="21" t="n">
        <v>0.09</v>
      </c>
      <c r="V208" s="22" t="n">
        <v>6647</v>
      </c>
      <c r="W208" s="18" t="n">
        <v>222</v>
      </c>
      <c r="X208" s="18" t="n">
        <v>1800</v>
      </c>
      <c r="Y208" s="18">
        <f>X208*1.1</f>
        <v/>
      </c>
      <c r="Z208" s="20">
        <f>Y208/V208</f>
        <v/>
      </c>
      <c r="AA208" s="20">
        <f>Y208/W208</f>
        <v/>
      </c>
      <c r="AB208" s="18" t="n"/>
      <c r="AC208" s="18" t="n"/>
      <c r="AD208" s="18" t="n"/>
      <c r="AE208" s="18" t="n"/>
    </row>
    <row r="209">
      <c r="A209" s="18" t="n"/>
      <c r="B209" s="18" t="n"/>
      <c r="C209" s="17" t="n">
        <v>46091</v>
      </c>
      <c r="D209" s="18" t="inlineStr">
        <is>
          <t>电商</t>
        </is>
      </c>
      <c r="E209" s="18" t="inlineStr">
        <is>
          <t>丘的家</t>
        </is>
      </c>
      <c r="F209" s="122" t="n"/>
      <c r="G209" s="122" t="inlineStr">
        <is>
          <t>https://pgy.xiaohongshu.com/solar/pre-trade/blogger-detail/642580de0000000012010592?track_id=kolMatch_24f5decd7fa64557a013c7e514a58b81&amp;source=Advertiser_Kol</t>
        </is>
      </c>
      <c r="H209" s="122" t="inlineStr">
        <is>
          <t>https://www.xiaohongshu.com/user/profile/642580de0000000012010592</t>
        </is>
      </c>
      <c r="I209" s="118" t="n">
        <v>2286139924</v>
      </c>
      <c r="J209" s="18" t="n"/>
      <c r="K209" s="18" t="inlineStr">
        <is>
          <t>家居家装</t>
        </is>
      </c>
      <c r="L209" s="18" t="inlineStr">
        <is>
          <t>koc</t>
        </is>
      </c>
      <c r="M209" s="18" t="n">
        <v>0.7</v>
      </c>
      <c r="N209" s="18" t="n">
        <v>9.300000000000001</v>
      </c>
      <c r="O209" s="18" t="inlineStr">
        <is>
          <t>图文</t>
        </is>
      </c>
      <c r="P209" s="21" t="n">
        <v>0.73</v>
      </c>
      <c r="Q209" s="21" t="n">
        <v>0.04</v>
      </c>
      <c r="R209" s="21" t="n">
        <v>0.49</v>
      </c>
      <c r="S209" s="21" t="n">
        <v>0.35</v>
      </c>
      <c r="T209" s="21" t="n">
        <v>0.67</v>
      </c>
      <c r="U209" s="21" t="n">
        <v>0.1</v>
      </c>
      <c r="V209" s="22" t="n">
        <v>9100</v>
      </c>
      <c r="W209" s="18" t="n">
        <v>423</v>
      </c>
      <c r="X209" s="18" t="n">
        <v>1600</v>
      </c>
      <c r="Y209" s="18">
        <f>X209*1.1</f>
        <v/>
      </c>
      <c r="Z209" s="20">
        <f>Y209/V209</f>
        <v/>
      </c>
      <c r="AA209" s="20">
        <f>Y209/W209</f>
        <v/>
      </c>
      <c r="AB209" s="18" t="n"/>
      <c r="AC209" s="18" t="n"/>
      <c r="AD209" s="18" t="n"/>
      <c r="AE209" s="18" t="n"/>
    </row>
    <row r="210">
      <c r="A210" s="18" t="n"/>
      <c r="B210" s="18" t="n"/>
      <c r="C210" s="17" t="n">
        <v>46091</v>
      </c>
      <c r="D210" s="18" t="inlineStr">
        <is>
          <t>电商</t>
        </is>
      </c>
      <c r="E210" s="18" t="inlineStr">
        <is>
          <t>成贝儿的家</t>
        </is>
      </c>
      <c r="F210" s="122" t="n"/>
      <c r="G210" s="122" t="inlineStr">
        <is>
          <t>https://pgy.xiaohongshu.com/solar/pre-trade/blogger-detail/58913f9582ec394c67ea19a6?track_id=kolMatch_24f5decd7fa64557a013c7e514a58b81&amp;source=Advertiser_Kol</t>
        </is>
      </c>
      <c r="H210" s="122" t="inlineStr">
        <is>
          <t>https://www.xiaohongshu.com/user/profile/58913f9582ec394c67ea19a6</t>
        </is>
      </c>
      <c r="I210" s="118" t="n">
        <v>495126902</v>
      </c>
      <c r="J210" s="18" t="n"/>
      <c r="K210" s="18" t="inlineStr">
        <is>
          <t>家居家装</t>
        </is>
      </c>
      <c r="L210" s="18" t="inlineStr">
        <is>
          <t>koc</t>
        </is>
      </c>
      <c r="M210" s="18" t="n">
        <v>0.6</v>
      </c>
      <c r="N210" s="18" t="n">
        <v>4.8</v>
      </c>
      <c r="O210" s="18" t="inlineStr">
        <is>
          <t>图文</t>
        </is>
      </c>
      <c r="P210" s="21" t="n">
        <v>0.87</v>
      </c>
      <c r="Q210" s="21" t="n">
        <v>0.05</v>
      </c>
      <c r="R210" s="21" t="n">
        <v>0.49</v>
      </c>
      <c r="S210" s="21" t="n">
        <v>0.33</v>
      </c>
      <c r="T210" s="21" t="n">
        <v>0.79</v>
      </c>
      <c r="U210" s="21" t="n">
        <v>0.09</v>
      </c>
      <c r="V210" s="18" t="n">
        <v>3196</v>
      </c>
      <c r="W210" s="18" t="n">
        <v>398</v>
      </c>
      <c r="X210" s="18" t="n">
        <v>800</v>
      </c>
      <c r="Y210" s="18">
        <f>X210*1.1</f>
        <v/>
      </c>
      <c r="Z210" s="20">
        <f>Y210/V210</f>
        <v/>
      </c>
      <c r="AA210" s="20">
        <f>Y210/W210</f>
        <v/>
      </c>
      <c r="AB210" s="18" t="n"/>
      <c r="AC210" s="18" t="n"/>
      <c r="AD210" s="18" t="n"/>
      <c r="AE210" s="18" t="n"/>
    </row>
    <row r="211">
      <c r="A211" s="18" t="n"/>
      <c r="B211" s="18" t="n"/>
      <c r="C211" s="17" t="n">
        <v>46091</v>
      </c>
      <c r="D211" s="18" t="inlineStr">
        <is>
          <t>电商</t>
        </is>
      </c>
      <c r="E211" s="18" t="inlineStr">
        <is>
          <t>无敌小暮</t>
        </is>
      </c>
      <c r="F211" s="122" t="n"/>
      <c r="G211" s="122" t="inlineStr">
        <is>
          <t>https://pgy.xiaohongshu.com/solar/pre-trade/blogger-detail/681c36a3000000001b01e105?track_id=kolMatch_7a96b2805c0849b6828521204354f285&amp;source=Advertiser_Kol</t>
        </is>
      </c>
      <c r="H211" s="122" t="inlineStr">
        <is>
          <t>https://www.xiaohongshu.com/user/profile/681c36a3000000001b01e105</t>
        </is>
      </c>
      <c r="I211" s="118" t="n">
        <v>95014549530</v>
      </c>
      <c r="J211" s="18" t="n"/>
      <c r="K211" s="18" t="inlineStr">
        <is>
          <t>家居家装</t>
        </is>
      </c>
      <c r="L211" s="18" t="inlineStr">
        <is>
          <t>koc</t>
        </is>
      </c>
      <c r="M211" s="18" t="n">
        <v>0.2</v>
      </c>
      <c r="N211" s="18" t="n">
        <v>7</v>
      </c>
      <c r="O211" s="18" t="inlineStr">
        <is>
          <t>图文</t>
        </is>
      </c>
      <c r="P211" s="21" t="n">
        <v>0.7</v>
      </c>
      <c r="Q211" s="21" t="n">
        <v>0.11</v>
      </c>
      <c r="R211" s="21" t="n">
        <v>0.6</v>
      </c>
      <c r="S211" s="21" t="n">
        <v>0.22</v>
      </c>
      <c r="T211" s="21" t="n">
        <v>0.54</v>
      </c>
      <c r="U211" s="21" t="n">
        <v>0.17</v>
      </c>
      <c r="V211" s="22" t="n">
        <v>4548</v>
      </c>
      <c r="W211" s="18" t="n">
        <v>380</v>
      </c>
      <c r="X211" s="18" t="n">
        <v>600</v>
      </c>
      <c r="Y211" s="18">
        <f>X211*1.1</f>
        <v/>
      </c>
      <c r="Z211" s="20">
        <f>Y211/V211</f>
        <v/>
      </c>
      <c r="AA211" s="20">
        <f>Y211/W211</f>
        <v/>
      </c>
      <c r="AB211" s="18" t="n"/>
      <c r="AC211" s="18" t="n"/>
      <c r="AD211" s="18" t="n"/>
      <c r="AE211" s="18" t="n"/>
    </row>
    <row r="212">
      <c r="A212" s="18" t="n"/>
      <c r="B212" s="18" t="n"/>
      <c r="C212" s="17" t="n">
        <v>46091</v>
      </c>
      <c r="D212" s="18" t="inlineStr">
        <is>
          <t>电商</t>
        </is>
      </c>
      <c r="E212" s="18" t="inlineStr">
        <is>
          <t>YY瑶宝</t>
        </is>
      </c>
      <c r="F212" s="122" t="n"/>
      <c r="G212" s="122" t="inlineStr">
        <is>
          <t>https://pgy.xiaohongshu.com/solar/pre-trade/blogger-detail/5cf708e700000000250087ed?track_id=kolMatch_de42bd9a94184c8b94f0d959da775966&amp;source=Advertiser_Kol</t>
        </is>
      </c>
      <c r="H212" s="122" t="inlineStr">
        <is>
          <t>https://www.xiaohongshu.com/user/profile/5cf708e700000000250087ed</t>
        </is>
      </c>
      <c r="I212" s="118" t="inlineStr">
        <is>
          <t>Zyy1995yoyo</t>
        </is>
      </c>
      <c r="J212" s="18" t="n"/>
      <c r="K212" s="18" t="inlineStr">
        <is>
          <t>家居家装</t>
        </is>
      </c>
      <c r="L212" s="18" t="inlineStr">
        <is>
          <t>koc</t>
        </is>
      </c>
      <c r="M212" s="18" t="n">
        <v>1.3</v>
      </c>
      <c r="N212" s="18" t="n">
        <v>13</v>
      </c>
      <c r="O212" s="18" t="inlineStr">
        <is>
          <t>图文</t>
        </is>
      </c>
      <c r="P212" s="21" t="n">
        <v>0.82</v>
      </c>
      <c r="Q212" s="21" t="n">
        <v>0.17</v>
      </c>
      <c r="R212" s="21" t="n">
        <v>0.58</v>
      </c>
      <c r="S212" s="21" t="n">
        <v>0.14</v>
      </c>
      <c r="T212" s="21" t="n">
        <v>0.68</v>
      </c>
      <c r="U212" s="21" t="n">
        <v>0.1</v>
      </c>
      <c r="V212" s="22" t="n">
        <v>4513</v>
      </c>
      <c r="W212" s="18" t="n">
        <v>256</v>
      </c>
      <c r="X212" s="18" t="n">
        <v>1500</v>
      </c>
      <c r="Y212" s="18">
        <f>X212*1.1</f>
        <v/>
      </c>
      <c r="Z212" s="20">
        <f>Y212/V212</f>
        <v/>
      </c>
      <c r="AA212" s="20">
        <f>Y212/W212</f>
        <v/>
      </c>
      <c r="AB212" s="18" t="n"/>
      <c r="AC212" s="18" t="n"/>
      <c r="AD212" s="18" t="n"/>
      <c r="AE212" s="18" t="n"/>
    </row>
    <row r="213">
      <c r="A213" s="18" t="n"/>
      <c r="B213" s="18" t="n"/>
      <c r="C213" s="17" t="n">
        <v>46091</v>
      </c>
      <c r="D213" s="18" t="inlineStr">
        <is>
          <t>电商</t>
        </is>
      </c>
      <c r="E213" s="18" t="inlineStr">
        <is>
          <t>小玩子选购</t>
        </is>
      </c>
      <c r="F213" s="122" t="n"/>
      <c r="G213" s="122" t="inlineStr">
        <is>
          <t>https://pgy.xiaohongshu.com/solar/pre-trade/blogger-detail/5ca7583600000000170370f6?track_id=kolMatch_252ad350dc854d77996ad95341b4c2f1&amp;source=Advertiser_Kol</t>
        </is>
      </c>
      <c r="H213" s="122" t="inlineStr">
        <is>
          <t>https://www.xiaohongshu.com/user/profile/5ca7583600000000170370f6</t>
        </is>
      </c>
      <c r="I213" s="118" t="inlineStr">
        <is>
          <t>gjn20200917</t>
        </is>
      </c>
      <c r="J213" s="18" t="n"/>
      <c r="K213" s="18" t="inlineStr">
        <is>
          <t>家居家装</t>
        </is>
      </c>
      <c r="L213" s="18" t="inlineStr">
        <is>
          <t>koc</t>
        </is>
      </c>
      <c r="M213" s="18" t="n">
        <v>0.2</v>
      </c>
      <c r="N213" s="18" t="n">
        <v>0.9</v>
      </c>
      <c r="O213" s="18" t="inlineStr">
        <is>
          <t>图文</t>
        </is>
      </c>
      <c r="P213" s="21" t="n">
        <v>0.9</v>
      </c>
      <c r="Q213" s="21" t="n">
        <v>0.16</v>
      </c>
      <c r="R213" s="21" t="n">
        <v>0.65</v>
      </c>
      <c r="S213" s="21" t="n">
        <v>0.16</v>
      </c>
      <c r="T213" s="21" t="n">
        <v>0.92</v>
      </c>
      <c r="U213" s="21" t="n">
        <v>0.01</v>
      </c>
      <c r="V213" s="18" t="n">
        <v>1543</v>
      </c>
      <c r="W213" s="18" t="n">
        <v>103</v>
      </c>
      <c r="X213" s="18" t="n">
        <v>500</v>
      </c>
      <c r="Y213" s="18">
        <f>X213*1.1</f>
        <v/>
      </c>
      <c r="Z213" s="20">
        <f>Y213/V213</f>
        <v/>
      </c>
      <c r="AA213" s="20">
        <f>Y213/W213</f>
        <v/>
      </c>
      <c r="AB213" s="18" t="n"/>
      <c r="AC213" s="18" t="n"/>
      <c r="AD213" s="18" t="n"/>
      <c r="AE213" s="18" t="n"/>
    </row>
    <row r="214" ht="19" customHeight="1" s="151">
      <c r="A214" s="37" t="n"/>
      <c r="B214" s="37" t="n"/>
      <c r="C214" s="71" t="n"/>
      <c r="D214" s="38" t="n"/>
      <c r="E214" s="37" t="n"/>
      <c r="F214" s="123" t="n"/>
      <c r="G214" s="123" t="n"/>
      <c r="H214" s="123" t="n"/>
      <c r="I214" s="37" t="n"/>
      <c r="J214" s="37" t="n"/>
      <c r="K214" s="37" t="n"/>
      <c r="L214" s="37" t="n"/>
      <c r="M214" s="37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20" t="n"/>
      <c r="AA214" s="20" t="n"/>
      <c r="AB214" s="18" t="n"/>
      <c r="AC214" s="18" t="n"/>
      <c r="AD214" s="18" t="n"/>
      <c r="AE214" s="18" t="n"/>
    </row>
    <row r="215">
      <c r="A215" s="18" t="n"/>
      <c r="B215" s="18" t="n"/>
      <c r="C215" s="17" t="n">
        <v>46092</v>
      </c>
      <c r="D215" s="18" t="inlineStr">
        <is>
          <t>品牌</t>
        </is>
      </c>
      <c r="E215" s="18" t="inlineStr">
        <is>
          <t>李智慧一下</t>
        </is>
      </c>
      <c r="F215" s="122" t="n"/>
      <c r="G215" s="122" t="inlineStr">
        <is>
          <t>https://pgy.xiaohongshu.com/solar/pre-trade/blogger-detail/59e759b311be10591489e801?track_id=kolMatch_24f5decd7fa64557a013c7e514a58b81&amp;source=Advertiser_Kol</t>
        </is>
      </c>
      <c r="H215" s="122" t="inlineStr">
        <is>
          <t>https://www.xiaohongshu.com/user/profile/59e759b311be10591489e801</t>
        </is>
      </c>
      <c r="I215" s="118" t="n">
        <v>422721491</v>
      </c>
      <c r="J215" s="18" t="n"/>
      <c r="K215" s="18" t="inlineStr">
        <is>
          <t>家居家装</t>
        </is>
      </c>
      <c r="L215" s="18" t="inlineStr">
        <is>
          <t>koc</t>
        </is>
      </c>
      <c r="M215" s="18" t="n">
        <v>0.3</v>
      </c>
      <c r="N215" s="18" t="n">
        <v>7.6</v>
      </c>
      <c r="O215" s="18" t="inlineStr">
        <is>
          <t>图文</t>
        </is>
      </c>
      <c r="P215" s="21" t="n">
        <v>0.89</v>
      </c>
      <c r="Q215" s="21" t="n">
        <v>0.05</v>
      </c>
      <c r="R215" s="21" t="n">
        <v>0.57</v>
      </c>
      <c r="S215" s="21" t="n">
        <v>0.3</v>
      </c>
      <c r="T215" s="21" t="n">
        <v>0.73</v>
      </c>
      <c r="U215" s="21" t="n">
        <v>0.13</v>
      </c>
      <c r="V215" s="22" t="n">
        <v>3255</v>
      </c>
      <c r="W215" s="18" t="n">
        <v>149</v>
      </c>
      <c r="X215" s="18" t="n">
        <v>1500</v>
      </c>
      <c r="Y215" s="18">
        <f>X215*1.1</f>
        <v/>
      </c>
      <c r="Z215" s="20">
        <f>Y215/V215</f>
        <v/>
      </c>
      <c r="AA215" s="20">
        <f>Y215/W215</f>
        <v/>
      </c>
      <c r="AB215" s="18" t="n"/>
      <c r="AC215" s="18" t="n"/>
      <c r="AD215" s="18" t="n"/>
      <c r="AE215" s="18" t="n"/>
    </row>
    <row r="216">
      <c r="A216" s="18" t="n"/>
      <c r="B216" s="18" t="n"/>
      <c r="C216" s="17" t="n">
        <v>46092</v>
      </c>
      <c r="D216" s="18" t="inlineStr">
        <is>
          <t>品牌</t>
        </is>
      </c>
      <c r="E216" s="18" t="inlineStr">
        <is>
          <t>见约翰</t>
        </is>
      </c>
      <c r="F216" s="122" t="n"/>
      <c r="G216" s="122" t="inlineStr">
        <is>
          <t>https://pgy.xiaohongshu.com/solar/pre-trade/blogger-detail/658a8b9b000000002200637f?track_id=kolMatch_24f5decd7fa64557a013c7e514a58b81&amp;source=Advertiser_Kol</t>
        </is>
      </c>
      <c r="H216" s="122" t="inlineStr">
        <is>
          <t>https://www.xiaohongshu.com/user/profile/658a8b9b000000002200637f</t>
        </is>
      </c>
      <c r="I216" s="118" t="n">
        <v>4858487109</v>
      </c>
      <c r="J216" s="18" t="n"/>
      <c r="K216" s="18" t="inlineStr">
        <is>
          <t>家居家装</t>
        </is>
      </c>
      <c r="L216" s="18" t="inlineStr">
        <is>
          <t>koc</t>
        </is>
      </c>
      <c r="M216" s="18" t="n">
        <v>1.1</v>
      </c>
      <c r="N216" s="18" t="n">
        <v>14</v>
      </c>
      <c r="O216" s="18" t="inlineStr">
        <is>
          <t>图文</t>
        </is>
      </c>
      <c r="P216" s="21" t="n">
        <v>0.75</v>
      </c>
      <c r="Q216" s="21" t="n">
        <v>0.13</v>
      </c>
      <c r="R216" s="21" t="n">
        <v>0.49</v>
      </c>
      <c r="S216" s="21" t="n">
        <v>0.23</v>
      </c>
      <c r="T216" s="21" t="n">
        <v>0.67</v>
      </c>
      <c r="U216" s="21" t="n">
        <v>0.09</v>
      </c>
      <c r="V216" s="22" t="n">
        <v>8841</v>
      </c>
      <c r="W216" s="18" t="n">
        <v>1444</v>
      </c>
      <c r="X216" s="18" t="n">
        <v>1800</v>
      </c>
      <c r="Y216" s="18">
        <f>X216*1.1</f>
        <v/>
      </c>
      <c r="Z216" s="20">
        <f>Y216/V216</f>
        <v/>
      </c>
      <c r="AA216" s="20">
        <f>Y216/W216</f>
        <v/>
      </c>
      <c r="AB216" s="18" t="n"/>
      <c r="AC216" s="18" t="n"/>
      <c r="AD216" s="18" t="n"/>
      <c r="AE216" s="18" t="n"/>
    </row>
    <row r="217">
      <c r="A217" s="18" t="n"/>
      <c r="B217" s="18" t="n"/>
      <c r="C217" s="17" t="n">
        <v>46092</v>
      </c>
      <c r="D217" s="18" t="inlineStr">
        <is>
          <t>品牌</t>
        </is>
      </c>
      <c r="E217" s="18" t="inlineStr">
        <is>
          <t>福妮ni</t>
        </is>
      </c>
      <c r="F217" s="122" t="n"/>
      <c r="G217" s="122" t="inlineStr">
        <is>
          <t>https://pgy.xiaohongshu.com/solar/pre-trade/blogger-detail/55c6c07c5894464ef642a743?track_id=kolMatch_24f5decd7fa64557a013c7e514a58b81&amp;source=Advertiser_Kol</t>
        </is>
      </c>
      <c r="H217" s="122" t="inlineStr">
        <is>
          <t>https://www.xiaohongshu.com/user/profile/55c6c07c5894464ef642a743</t>
        </is>
      </c>
      <c r="I217" s="118" t="n">
        <v>263833071</v>
      </c>
      <c r="J217" s="18" t="n"/>
      <c r="K217" s="18" t="inlineStr">
        <is>
          <t>家居家装</t>
        </is>
      </c>
      <c r="L217" s="18" t="inlineStr">
        <is>
          <t>koc</t>
        </is>
      </c>
      <c r="M217" s="18" t="n">
        <v>0.6</v>
      </c>
      <c r="N217" s="18" t="n">
        <v>8.300000000000001</v>
      </c>
      <c r="O217" s="18" t="inlineStr">
        <is>
          <t>图文</t>
        </is>
      </c>
      <c r="P217" s="21" t="n">
        <v>0.9</v>
      </c>
      <c r="Q217" s="21" t="n">
        <v>0.08</v>
      </c>
      <c r="R217" s="21" t="n">
        <v>0.49</v>
      </c>
      <c r="S217" s="21" t="n">
        <v>0.3</v>
      </c>
      <c r="T217" s="21" t="n">
        <v>0.6899999999999999</v>
      </c>
      <c r="U217" s="21" t="n">
        <v>0.11</v>
      </c>
      <c r="V217" s="22" t="n">
        <v>5145</v>
      </c>
      <c r="W217" s="18" t="n">
        <v>358</v>
      </c>
      <c r="X217" s="18" t="n">
        <v>1500</v>
      </c>
      <c r="Y217" s="18">
        <f>X217*1.1</f>
        <v/>
      </c>
      <c r="Z217" s="20">
        <f>Y217/V217</f>
        <v/>
      </c>
      <c r="AA217" s="20">
        <f>Y217/W217</f>
        <v/>
      </c>
      <c r="AB217" s="18" t="n"/>
      <c r="AC217" s="18" t="n"/>
      <c r="AD217" s="18" t="n"/>
      <c r="AE217" s="18" t="n"/>
    </row>
    <row r="218">
      <c r="A218" s="18" t="n"/>
      <c r="B218" s="18" t="n"/>
      <c r="C218" s="17" t="n">
        <v>46092</v>
      </c>
      <c r="D218" s="18" t="inlineStr">
        <is>
          <t>品牌</t>
        </is>
      </c>
      <c r="E218" s="18" t="inlineStr">
        <is>
          <t>yoyo又又</t>
        </is>
      </c>
      <c r="F218" s="122" t="n"/>
      <c r="G218" s="122" t="inlineStr">
        <is>
          <t>https://pgy.xiaohongshu.com/solar/pre-trade/blogger-detail/6704f0ef000000001d031970?track_id=kolMatch_24f5decd7fa64557a013c7e514a58b81&amp;source=Advertiser_Kol</t>
        </is>
      </c>
      <c r="H218" s="122" t="inlineStr">
        <is>
          <t>https://www.xiaohongshu.com/user/profile/6704f0ef000000001d031970</t>
        </is>
      </c>
      <c r="I218" s="118" t="inlineStr">
        <is>
          <t>v18671374866</t>
        </is>
      </c>
      <c r="J218" s="18" t="n"/>
      <c r="K218" s="18" t="inlineStr">
        <is>
          <t>家居家装</t>
        </is>
      </c>
      <c r="L218" s="18" t="inlineStr">
        <is>
          <t>koc</t>
        </is>
      </c>
      <c r="M218" s="18" t="n">
        <v>0.2</v>
      </c>
      <c r="N218" s="18" t="n">
        <v>3</v>
      </c>
      <c r="O218" s="18" t="inlineStr">
        <is>
          <t>图文</t>
        </is>
      </c>
      <c r="P218" s="21" t="n">
        <v>0.71</v>
      </c>
      <c r="Q218" s="21" t="n">
        <v>0.05</v>
      </c>
      <c r="R218" s="21" t="n">
        <v>0.47</v>
      </c>
      <c r="S218" s="21" t="n">
        <v>0.31</v>
      </c>
      <c r="T218" s="21" t="n">
        <v>0.63</v>
      </c>
      <c r="U218" s="21" t="n">
        <v>0.15</v>
      </c>
      <c r="V218" s="22" t="n">
        <v>3187</v>
      </c>
      <c r="W218" s="18" t="n">
        <v>170</v>
      </c>
      <c r="X218" s="18" t="n">
        <v>750</v>
      </c>
      <c r="Y218" s="18">
        <f>X218*1.1</f>
        <v/>
      </c>
      <c r="Z218" s="20">
        <f>Y218/V218</f>
        <v/>
      </c>
      <c r="AA218" s="20">
        <f>Y218/W218</f>
        <v/>
      </c>
      <c r="AB218" s="18" t="n"/>
      <c r="AC218" s="18" t="n"/>
      <c r="AD218" s="18" t="n"/>
      <c r="AE218" s="18" t="n"/>
    </row>
    <row r="219">
      <c r="A219" s="18" t="n"/>
      <c r="B219" s="18" t="n"/>
      <c r="C219" s="17" t="n">
        <v>46092</v>
      </c>
      <c r="D219" s="18" t="inlineStr">
        <is>
          <t>品牌</t>
        </is>
      </c>
      <c r="E219" s="18" t="inlineStr">
        <is>
          <t>哒哒啦啦</t>
        </is>
      </c>
      <c r="F219" s="122" t="n"/>
      <c r="G219" s="122" t="inlineStr">
        <is>
          <t>https://pgy.xiaohongshu.com/solar/pre-trade/blogger-detail/60d10be8000000000101e0d3?track_id=kolMatch_24f5decd7fa64557a013c7e514a58b81&amp;source=Advertiser_Kol</t>
        </is>
      </c>
      <c r="H219" s="122" t="inlineStr">
        <is>
          <t>https://www.xiaohongshu.com/user/profile/60d10be8000000000101e0d3</t>
        </is>
      </c>
      <c r="I219" s="118" t="inlineStr">
        <is>
          <t>xm20210521</t>
        </is>
      </c>
      <c r="J219" s="18" t="n"/>
      <c r="K219" s="18" t="inlineStr">
        <is>
          <t>家居家装</t>
        </is>
      </c>
      <c r="L219" s="18" t="inlineStr">
        <is>
          <t>koc</t>
        </is>
      </c>
      <c r="M219" s="18" t="n">
        <v>0.2</v>
      </c>
      <c r="N219" s="18" t="n">
        <v>7</v>
      </c>
      <c r="O219" s="18" t="inlineStr">
        <is>
          <t>图文</t>
        </is>
      </c>
      <c r="P219" s="21" t="n">
        <v>0.83</v>
      </c>
      <c r="Q219" s="21" t="n">
        <v>0.13</v>
      </c>
      <c r="R219" s="21" t="n">
        <v>0.55</v>
      </c>
      <c r="S219" s="21" t="n">
        <v>0.21</v>
      </c>
      <c r="T219" s="21" t="n">
        <v>0.62</v>
      </c>
      <c r="U219" s="21" t="n">
        <v>0.14</v>
      </c>
      <c r="V219" s="22" t="n">
        <v>3378</v>
      </c>
      <c r="W219" s="18" t="n">
        <v>183</v>
      </c>
      <c r="X219" s="18" t="n">
        <v>500</v>
      </c>
      <c r="Y219" s="18">
        <f>X219*1.1</f>
        <v/>
      </c>
      <c r="Z219" s="20">
        <f>Y219/V219</f>
        <v/>
      </c>
      <c r="AA219" s="20">
        <f>Y219/W219</f>
        <v/>
      </c>
      <c r="AB219" s="18" t="n"/>
      <c r="AC219" s="18" t="n"/>
      <c r="AD219" s="18" t="n"/>
      <c r="AE219" s="18" t="n"/>
    </row>
    <row r="220">
      <c r="A220" s="18" t="n"/>
      <c r="B220" s="18" t="n"/>
      <c r="C220" s="17" t="n">
        <v>46092</v>
      </c>
      <c r="D220" s="18" t="inlineStr">
        <is>
          <t>品牌</t>
        </is>
      </c>
      <c r="E220" s="18" t="inlineStr">
        <is>
          <t>月饼</t>
        </is>
      </c>
      <c r="F220" s="122" t="n"/>
      <c r="G220" s="122" t="inlineStr">
        <is>
          <t>https://pgy.xiaohongshu.com/solar/pre-trade/blogger-detail/615eb1830000000002018612?track_id=kolMatch_f9ca282494f84cf59fa37b06353d9b89&amp;source=Advertiser_Kol</t>
        </is>
      </c>
      <c r="H220" s="122" t="inlineStr">
        <is>
          <t>https://www.xiaohongshu.com/user/profile/615eb1830000000002018612</t>
        </is>
      </c>
      <c r="I220" s="118" t="n">
        <v>8975278356</v>
      </c>
      <c r="J220" s="18" t="n"/>
      <c r="K220" s="18" t="inlineStr">
        <is>
          <t>家居家装</t>
        </is>
      </c>
      <c r="L220" s="18" t="inlineStr">
        <is>
          <t>koc</t>
        </is>
      </c>
      <c r="M220" s="18" t="n">
        <v>0.5</v>
      </c>
      <c r="N220" s="18" t="n">
        <v>20</v>
      </c>
      <c r="O220" s="18" t="inlineStr">
        <is>
          <t>图文</t>
        </is>
      </c>
      <c r="P220" s="21" t="n">
        <v>0.93</v>
      </c>
      <c r="Q220" s="21" t="n">
        <v>0.13</v>
      </c>
      <c r="R220" s="21" t="n">
        <v>0.61</v>
      </c>
      <c r="S220" s="21" t="n">
        <v>0.18</v>
      </c>
      <c r="T220" s="21" t="n">
        <v>0.6899999999999999</v>
      </c>
      <c r="U220" s="21" t="n">
        <v>0.13</v>
      </c>
      <c r="V220" s="22" t="n">
        <v>7900</v>
      </c>
      <c r="W220" s="18" t="n">
        <v>815</v>
      </c>
      <c r="X220" s="18" t="n">
        <v>1800</v>
      </c>
      <c r="Y220" s="18">
        <f>X220*1.1</f>
        <v/>
      </c>
      <c r="Z220" s="20">
        <f>Y220/V220</f>
        <v/>
      </c>
      <c r="AA220" s="20">
        <f>Y220/W220</f>
        <v/>
      </c>
      <c r="AB220" s="18" t="n"/>
      <c r="AC220" s="18" t="n"/>
      <c r="AD220" s="18" t="n"/>
      <c r="AE220" s="18" t="n"/>
    </row>
    <row r="221">
      <c r="A221" s="18" t="n"/>
      <c r="B221" s="18" t="n"/>
      <c r="C221" s="17" t="n">
        <v>46092</v>
      </c>
      <c r="D221" s="18" t="inlineStr">
        <is>
          <t>品牌</t>
        </is>
      </c>
      <c r="E221" s="18" t="inlineStr">
        <is>
          <t>Ella慧慧的家</t>
        </is>
      </c>
      <c r="F221" s="122" t="n"/>
      <c r="G221" s="122" t="inlineStr">
        <is>
          <t>https://pgy.xiaohongshu.com/solar/pre-trade/blogger-detail/5e1245890000000001004310?track_id=kolMatch_f9ca282494f84cf59fa37b06353d9b89&amp;source=Advertiser_Kol</t>
        </is>
      </c>
      <c r="H221" s="122" t="inlineStr">
        <is>
          <t>https://www.xiaohongshu.com/user/profile/5e1245890000000001004310</t>
        </is>
      </c>
      <c r="I221" s="118" t="n">
        <v>668207638</v>
      </c>
      <c r="J221" s="18" t="n"/>
      <c r="K221" s="18" t="inlineStr">
        <is>
          <t>家居家装</t>
        </is>
      </c>
      <c r="L221" s="18" t="inlineStr">
        <is>
          <t>koc</t>
        </is>
      </c>
      <c r="M221" s="18" t="n">
        <v>0.9</v>
      </c>
      <c r="N221" s="18" t="n">
        <v>17</v>
      </c>
      <c r="O221" s="18" t="inlineStr">
        <is>
          <t>图文</t>
        </is>
      </c>
      <c r="P221" s="21" t="n">
        <v>0.83</v>
      </c>
      <c r="Q221" s="21" t="n">
        <v>0.08</v>
      </c>
      <c r="R221" s="21" t="n">
        <v>0.49</v>
      </c>
      <c r="S221" s="21" t="n">
        <v>0.27</v>
      </c>
      <c r="T221" s="21" t="n">
        <v>0.62</v>
      </c>
      <c r="U221" s="21" t="n">
        <v>0.16</v>
      </c>
      <c r="V221" s="22" t="n">
        <v>4765</v>
      </c>
      <c r="W221" s="18" t="n">
        <v>332</v>
      </c>
      <c r="X221" s="18" t="n">
        <v>1800</v>
      </c>
      <c r="Y221" s="18">
        <f>X221*1.1</f>
        <v/>
      </c>
      <c r="Z221" s="20">
        <f>Y221/V221</f>
        <v/>
      </c>
      <c r="AA221" s="20">
        <f>Y221/W221</f>
        <v/>
      </c>
      <c r="AB221" s="18" t="n"/>
      <c r="AC221" s="18" t="n"/>
      <c r="AD221" s="18" t="n"/>
      <c r="AE221" s="18" t="n"/>
    </row>
    <row r="222">
      <c r="A222" s="18" t="n"/>
      <c r="B222" s="18" t="n"/>
      <c r="C222" s="17" t="n">
        <v>46092</v>
      </c>
      <c r="D222" s="18" t="inlineStr">
        <is>
          <t>品牌</t>
        </is>
      </c>
      <c r="E222" s="18" t="inlineStr">
        <is>
          <t>豇豆弟弟家🏠</t>
        </is>
      </c>
      <c r="F222" s="122" t="n"/>
      <c r="G222" s="122" t="inlineStr">
        <is>
          <t>https://pgy.xiaohongshu.com/solar/pre-trade/blogger-detail/5c540d7f00000000110007fb?track_id=kolMatch_f9ca282494f84cf59fa37b06353d9b89&amp;source=Advertiser_Kol</t>
        </is>
      </c>
      <c r="H222" s="122" t="inlineStr">
        <is>
          <t>https://www.xiaohongshu.com/user/profile/5c540d7f00000000110007fb</t>
        </is>
      </c>
      <c r="I222" s="118" t="n">
        <v>965967778</v>
      </c>
      <c r="J222" s="18" t="n"/>
      <c r="K222" s="18" t="inlineStr">
        <is>
          <t>家居家装</t>
        </is>
      </c>
      <c r="L222" s="18" t="inlineStr">
        <is>
          <t>koc</t>
        </is>
      </c>
      <c r="M222" s="18" t="n">
        <v>1.1</v>
      </c>
      <c r="N222" s="18" t="n">
        <v>18</v>
      </c>
      <c r="O222" s="18" t="inlineStr">
        <is>
          <t>图文</t>
        </is>
      </c>
      <c r="P222" s="21" t="n">
        <v>0.67</v>
      </c>
      <c r="Q222" s="21" t="n">
        <v>0.09</v>
      </c>
      <c r="R222" s="21" t="n">
        <v>0.6</v>
      </c>
      <c r="S222" s="21" t="n">
        <v>0.2</v>
      </c>
      <c r="T222" s="21" t="n">
        <v>0.65</v>
      </c>
      <c r="U222" s="21" t="n">
        <v>0.12</v>
      </c>
      <c r="V222" s="22" t="n">
        <v>5053</v>
      </c>
      <c r="W222" s="18" t="n">
        <v>347</v>
      </c>
      <c r="X222" s="18" t="n">
        <v>1500</v>
      </c>
      <c r="Y222" s="18">
        <f>X222*1.1</f>
        <v/>
      </c>
      <c r="Z222" s="20">
        <f>Y222/V222</f>
        <v/>
      </c>
      <c r="AA222" s="20">
        <f>Y222/W222</f>
        <v/>
      </c>
      <c r="AB222" s="18" t="n"/>
      <c r="AC222" s="18" t="n"/>
      <c r="AD222" s="18" t="n"/>
      <c r="AE222" s="18" t="n"/>
    </row>
    <row r="223">
      <c r="A223" s="18" t="n"/>
      <c r="B223" s="18" t="n"/>
      <c r="C223" s="17" t="n">
        <v>46092</v>
      </c>
      <c r="D223" s="18" t="inlineStr">
        <is>
          <t>品牌</t>
        </is>
      </c>
      <c r="E223" s="18" t="inlineStr">
        <is>
          <t>肖瑶瑶</t>
        </is>
      </c>
      <c r="F223" s="122" t="n"/>
      <c r="G223" s="122" t="inlineStr">
        <is>
          <t>https://pgy.xiaohongshu.com/solar/pre-trade/blogger-detail/5cbf48ab000000001700bd78?track_id=kolMatch_f9ca282494f84cf59fa37b06353d9b89&amp;source=Advertiser_Kol</t>
        </is>
      </c>
      <c r="H223" s="122" t="inlineStr">
        <is>
          <t>https://www.xiaohongshu.com/user/profile/5cbf48ab000000001700bd78</t>
        </is>
      </c>
      <c r="I223" s="118" t="inlineStr">
        <is>
          <t>shawsuannai</t>
        </is>
      </c>
      <c r="J223" s="18" t="n"/>
      <c r="K223" s="18" t="inlineStr">
        <is>
          <t>家居家装</t>
        </is>
      </c>
      <c r="L223" s="18" t="inlineStr">
        <is>
          <t>koc</t>
        </is>
      </c>
      <c r="M223" s="18" t="n">
        <v>0.2</v>
      </c>
      <c r="N223" s="18" t="n">
        <v>5.8</v>
      </c>
      <c r="O223" s="18" t="inlineStr">
        <is>
          <t>图文</t>
        </is>
      </c>
      <c r="P223" s="21" t="n">
        <v>0.89</v>
      </c>
      <c r="Q223" s="21" t="n">
        <v>0.09</v>
      </c>
      <c r="R223" s="21" t="n">
        <v>0.63</v>
      </c>
      <c r="S223" s="21" t="n">
        <v>0.19</v>
      </c>
      <c r="T223" s="21" t="n">
        <v>0.7</v>
      </c>
      <c r="U223" s="21" t="n">
        <v>0.11</v>
      </c>
      <c r="V223" s="22" t="n">
        <v>4410</v>
      </c>
      <c r="W223" s="18" t="n">
        <v>414</v>
      </c>
      <c r="X223" s="18" t="n">
        <v>950</v>
      </c>
      <c r="Y223" s="18">
        <f>X223*1.1</f>
        <v/>
      </c>
      <c r="Z223" s="20">
        <f>Y223/V223</f>
        <v/>
      </c>
      <c r="AA223" s="20">
        <f>Y223/W223</f>
        <v/>
      </c>
      <c r="AB223" s="18" t="n"/>
      <c r="AC223" s="18" t="n"/>
      <c r="AD223" s="18" t="n"/>
      <c r="AE223" s="18" t="n"/>
    </row>
    <row r="224">
      <c r="A224" s="18" t="n"/>
      <c r="B224" s="18" t="n"/>
      <c r="C224" s="17" t="n">
        <v>46092</v>
      </c>
      <c r="D224" s="18" t="inlineStr">
        <is>
          <t>品牌</t>
        </is>
      </c>
      <c r="E224" s="18" t="inlineStr">
        <is>
          <t>郭达达</t>
        </is>
      </c>
      <c r="F224" s="122" t="n"/>
      <c r="G224" s="122" t="inlineStr">
        <is>
          <t>https://pgy.xiaohongshu.com/solar/pre-trade/blogger-detail/6093e90d000000000101fe94?track_id=kolMatch_f9ca282494f84cf59fa37b06353d9b89&amp;source=Advertiser_Kol</t>
        </is>
      </c>
      <c r="H224" s="122" t="inlineStr">
        <is>
          <t>https://www.xiaohongshu.com/user/profile/6093e90d000000000101fe94</t>
        </is>
      </c>
      <c r="I224" s="118" t="n">
        <v>9525665075</v>
      </c>
      <c r="J224" s="18" t="n"/>
      <c r="K224" s="18" t="inlineStr">
        <is>
          <t>家居家装</t>
        </is>
      </c>
      <c r="L224" s="18" t="inlineStr">
        <is>
          <t>koc</t>
        </is>
      </c>
      <c r="M224" s="18" t="n">
        <v>0.4</v>
      </c>
      <c r="N224" s="18" t="n">
        <v>7.2</v>
      </c>
      <c r="O224" s="18" t="inlineStr">
        <is>
          <t>图文</t>
        </is>
      </c>
      <c r="P224" s="21" t="n">
        <v>0.79</v>
      </c>
      <c r="Q224" s="21" t="n">
        <v>0.07000000000000001</v>
      </c>
      <c r="R224" s="21" t="n">
        <v>0.59</v>
      </c>
      <c r="S224" s="21" t="n">
        <v>0.24</v>
      </c>
      <c r="T224" s="21" t="n">
        <v>0.55</v>
      </c>
      <c r="U224" s="21" t="n">
        <v>0.14</v>
      </c>
      <c r="V224" s="22" t="n">
        <v>8458</v>
      </c>
      <c r="W224" s="18" t="n">
        <v>741</v>
      </c>
      <c r="X224" s="18" t="n">
        <v>1780</v>
      </c>
      <c r="Y224" s="18">
        <f>X224*1.1</f>
        <v/>
      </c>
      <c r="Z224" s="20">
        <f>Y224/V224</f>
        <v/>
      </c>
      <c r="AA224" s="20">
        <f>Y224/W224</f>
        <v/>
      </c>
      <c r="AB224" s="18" t="n"/>
      <c r="AC224" s="18" t="n"/>
      <c r="AD224" s="18" t="n"/>
      <c r="AE224" s="18" t="n"/>
    </row>
    <row r="225" ht="19" customHeight="1" s="151">
      <c r="A225" s="18" t="n"/>
      <c r="B225" s="18" t="n"/>
      <c r="C225" s="17" t="n">
        <v>46092</v>
      </c>
      <c r="D225" s="18" t="inlineStr">
        <is>
          <t>品牌</t>
        </is>
      </c>
      <c r="E225" s="18" t="inlineStr">
        <is>
          <t>很宅的游小鱼🐟</t>
        </is>
      </c>
      <c r="F225" s="122" t="n"/>
      <c r="G225" s="122" t="inlineStr">
        <is>
          <t>https://pgy.xiaohongshu.com/solar/pre-trade/blogger-detail/58d37a1650c4b41383beaa56?track_id=kolMatch_73feeef671dd43ce8654c8e414143991&amp;source=Advertiser_Kol</t>
        </is>
      </c>
      <c r="H225" s="122" t="inlineStr">
        <is>
          <t>https://www.xiaohongshu.com/user/profile/58d37a1650c4b41383beaa56</t>
        </is>
      </c>
      <c r="I225" s="118" t="n">
        <v>118276601</v>
      </c>
      <c r="J225" s="18" t="n"/>
      <c r="K225" s="18" t="inlineStr">
        <is>
          <t>家居家装</t>
        </is>
      </c>
      <c r="L225" s="18" t="inlineStr">
        <is>
          <t>koc</t>
        </is>
      </c>
      <c r="M225" s="18" t="n">
        <v>0.8</v>
      </c>
      <c r="N225" s="18" t="n">
        <v>23</v>
      </c>
      <c r="O225" s="18" t="inlineStr">
        <is>
          <t>图文</t>
        </is>
      </c>
      <c r="P225" s="21" t="n">
        <v>0.89</v>
      </c>
      <c r="Q225" s="21" t="n">
        <v>0.11</v>
      </c>
      <c r="R225" s="21" t="n">
        <v>0.49</v>
      </c>
      <c r="S225" s="21" t="n">
        <v>0.29</v>
      </c>
      <c r="T225" s="21" t="n">
        <v>0.65</v>
      </c>
      <c r="U225" s="21" t="n">
        <v>0.13</v>
      </c>
      <c r="V225" s="22" t="n">
        <v>21882</v>
      </c>
      <c r="W225" s="18" t="n">
        <v>955</v>
      </c>
      <c r="X225" s="18" t="n">
        <v>1500</v>
      </c>
      <c r="Y225" s="18">
        <f>X225*1.1</f>
        <v/>
      </c>
      <c r="Z225" s="20">
        <f>Y225/V225</f>
        <v/>
      </c>
      <c r="AA225" s="20">
        <f>Y225/W225</f>
        <v/>
      </c>
      <c r="AB225" s="18" t="n"/>
      <c r="AC225" s="18" t="n"/>
      <c r="AD225" s="18" t="n"/>
      <c r="AE225" s="18" t="n"/>
    </row>
    <row r="226" ht="19" customHeight="1" s="151">
      <c r="A226" s="18" t="n"/>
      <c r="B226" s="18" t="n"/>
      <c r="C226" s="17" t="n">
        <v>46092</v>
      </c>
      <c r="D226" s="18" t="inlineStr">
        <is>
          <t>品牌</t>
        </is>
      </c>
      <c r="E226" s="18" t="inlineStr">
        <is>
          <t>中古糖匣子</t>
        </is>
      </c>
      <c r="F226" s="122" t="n"/>
      <c r="G226" s="122" t="inlineStr">
        <is>
          <t>https://pgy.xiaohongshu.com/solar/pre-trade/blogger-detail/5cc5cbf60000000010030601?track_id=kolMatch_73feeef671dd43ce8654c8e414143991&amp;source=Advertiser_Kol</t>
        </is>
      </c>
      <c r="H226" s="122" t="inlineStr">
        <is>
          <t>https://www.xiaohongshu.com/user/profile/5cc5cbf60000000010030601</t>
        </is>
      </c>
      <c r="I226" s="118" t="n">
        <v>511361208</v>
      </c>
      <c r="J226" s="18" t="n"/>
      <c r="K226" s="18" t="inlineStr">
        <is>
          <t>家居家装</t>
        </is>
      </c>
      <c r="L226" s="18" t="inlineStr">
        <is>
          <t>koc</t>
        </is>
      </c>
      <c r="M226" s="18" t="n">
        <v>0.4</v>
      </c>
      <c r="N226" s="18" t="n">
        <v>6.1</v>
      </c>
      <c r="O226" s="18" t="inlineStr">
        <is>
          <t>图文</t>
        </is>
      </c>
      <c r="P226" s="21" t="n">
        <v>0.88</v>
      </c>
      <c r="Q226" s="21" t="n">
        <v>0.05</v>
      </c>
      <c r="R226" s="21" t="n">
        <v>0.58</v>
      </c>
      <c r="S226" s="21" t="n">
        <v>0.28</v>
      </c>
      <c r="T226" s="21" t="n">
        <v>0.55</v>
      </c>
      <c r="U226" s="21" t="n">
        <v>0.17</v>
      </c>
      <c r="V226" s="22" t="n">
        <v>2304</v>
      </c>
      <c r="W226" s="18" t="n">
        <v>215</v>
      </c>
      <c r="X226" s="18" t="n">
        <v>1000</v>
      </c>
      <c r="Y226" s="18">
        <f>X226*1.1</f>
        <v/>
      </c>
      <c r="Z226" s="20">
        <f>Y226/V226</f>
        <v/>
      </c>
      <c r="AA226" s="20">
        <f>Y226/W226</f>
        <v/>
      </c>
      <c r="AB226" s="18" t="n"/>
      <c r="AC226" s="18" t="n"/>
      <c r="AD226" s="18" t="n"/>
      <c r="AE226" s="18" t="n"/>
    </row>
    <row r="227" ht="19" customHeight="1" s="151">
      <c r="A227" s="18" t="n"/>
      <c r="B227" s="18" t="n"/>
      <c r="C227" s="17" t="n">
        <v>46092</v>
      </c>
      <c r="D227" s="18" t="inlineStr">
        <is>
          <t>品牌</t>
        </is>
      </c>
      <c r="E227" s="18" t="inlineStr">
        <is>
          <t>葳葳葳蕤_</t>
        </is>
      </c>
      <c r="F227" s="122" t="n"/>
      <c r="G227" s="122" t="inlineStr">
        <is>
          <t>https://pgy.xiaohongshu.com/solar/pre-trade/blogger-detail/5ae3e20511be1055098096e7?track_id=kolMatch_73feeef671dd43ce8654c8e414143991&amp;source=Advertiser_Kol</t>
        </is>
      </c>
      <c r="H227" s="122" t="inlineStr">
        <is>
          <t>https://www.xiaohongshu.com/user/profile/5ae3e20511be1055098096e7</t>
        </is>
      </c>
      <c r="I227" s="118" t="n">
        <v>266078284</v>
      </c>
      <c r="J227" s="18" t="n"/>
      <c r="K227" s="18" t="inlineStr">
        <is>
          <t>家居家装</t>
        </is>
      </c>
      <c r="L227" s="18" t="inlineStr">
        <is>
          <t>koc</t>
        </is>
      </c>
      <c r="M227" s="18" t="n">
        <v>1</v>
      </c>
      <c r="N227" s="18" t="n">
        <v>11</v>
      </c>
      <c r="O227" s="18" t="inlineStr">
        <is>
          <t>图文</t>
        </is>
      </c>
      <c r="P227" s="21" t="n">
        <v>0.8</v>
      </c>
      <c r="Q227" s="21" t="n">
        <v>0.2</v>
      </c>
      <c r="R227" s="21" t="n">
        <v>0.49</v>
      </c>
      <c r="S227" s="21" t="n">
        <v>0.17</v>
      </c>
      <c r="T227" s="21" t="n">
        <v>0.84</v>
      </c>
      <c r="U227" s="21" t="n">
        <v>0.04</v>
      </c>
      <c r="V227" s="22" t="n">
        <v>11499</v>
      </c>
      <c r="W227" s="18" t="n">
        <v>739</v>
      </c>
      <c r="X227" s="18" t="n">
        <v>1000</v>
      </c>
      <c r="Y227" s="18">
        <f>X227*1.1</f>
        <v/>
      </c>
      <c r="Z227" s="20">
        <f>Y227/V227</f>
        <v/>
      </c>
      <c r="AA227" s="20">
        <f>Y227/W227</f>
        <v/>
      </c>
      <c r="AB227" s="18" t="n"/>
      <c r="AC227" s="18" t="n"/>
      <c r="AD227" s="18" t="n"/>
      <c r="AE227" s="18" t="n"/>
    </row>
    <row r="228" ht="19" customHeight="1" s="151">
      <c r="A228" s="18" t="n"/>
      <c r="B228" s="18" t="n"/>
      <c r="C228" s="17" t="n">
        <v>46092</v>
      </c>
      <c r="D228" s="18" t="inlineStr">
        <is>
          <t>品牌</t>
        </is>
      </c>
      <c r="E228" s="18" t="inlineStr">
        <is>
          <t>90后工程师</t>
        </is>
      </c>
      <c r="F228" s="122" t="n"/>
      <c r="G228" s="122" t="inlineStr">
        <is>
          <t>https://pgy.xiaohongshu.com/solar/pre-trade/blogger-detail/5f35e6c5000000000100634c?track_id=kolMatch_73feeef671dd43ce8654c8e414143991&amp;source=Advertiser_Kol</t>
        </is>
      </c>
      <c r="H228" s="122" t="inlineStr">
        <is>
          <t>https://www.xiaohongshu.com/user/profile/5f35e6c5000000000100634c</t>
        </is>
      </c>
      <c r="I228" s="118" t="n">
        <v>767830425</v>
      </c>
      <c r="J228" s="18" t="n"/>
      <c r="K228" s="18" t="inlineStr">
        <is>
          <t>家居家装</t>
        </is>
      </c>
      <c r="L228" s="18" t="inlineStr">
        <is>
          <t>koc</t>
        </is>
      </c>
      <c r="M228" s="18" t="n">
        <v>0.5</v>
      </c>
      <c r="N228" s="18" t="n">
        <v>4.6</v>
      </c>
      <c r="O228" s="18" t="inlineStr">
        <is>
          <t>图文</t>
        </is>
      </c>
      <c r="P228" s="21" t="n">
        <v>0.83</v>
      </c>
      <c r="Q228" s="21" t="n">
        <v>0.06</v>
      </c>
      <c r="R228" s="21" t="n">
        <v>0.6</v>
      </c>
      <c r="S228" s="21" t="n">
        <v>0.21</v>
      </c>
      <c r="T228" s="21" t="n">
        <v>0.54</v>
      </c>
      <c r="U228" s="21" t="n">
        <v>0.17</v>
      </c>
      <c r="V228" s="22" t="n">
        <v>10094</v>
      </c>
      <c r="W228" s="18" t="n">
        <v>697</v>
      </c>
      <c r="X228" s="18" t="n">
        <v>1800</v>
      </c>
      <c r="Y228" s="18">
        <f>X228*1.1</f>
        <v/>
      </c>
      <c r="Z228" s="20">
        <f>Y228/V228</f>
        <v/>
      </c>
      <c r="AA228" s="20">
        <f>Y228/W228</f>
        <v/>
      </c>
      <c r="AB228" s="18" t="n"/>
      <c r="AC228" s="18" t="n"/>
      <c r="AD228" s="18" t="n"/>
      <c r="AE228" s="18" t="n"/>
    </row>
    <row r="229" ht="19" customHeight="1" s="151">
      <c r="A229" s="18" t="n"/>
      <c r="B229" s="18" t="n"/>
      <c r="C229" s="17" t="n">
        <v>46092</v>
      </c>
      <c r="D229" s="18" t="inlineStr">
        <is>
          <t>品牌</t>
        </is>
      </c>
      <c r="E229" s="18" t="inlineStr">
        <is>
          <t>陆鹿</t>
        </is>
      </c>
      <c r="F229" s="122" t="n"/>
      <c r="G229" s="122" t="inlineStr">
        <is>
          <t>https://pgy.xiaohongshu.com/solar/pre-trade/blogger-detail/63e32dd10000000026011c28?track_id=kolMatch_94db55f4ae4b4e72b079e2675080de7a&amp;source=Advertiser_Kol</t>
        </is>
      </c>
      <c r="H229" s="122" t="inlineStr">
        <is>
          <t>https://www.xiaohongshu.com/user/profile/63e32dd10000000026011c28</t>
        </is>
      </c>
      <c r="I229" s="118" t="n">
        <v>5024923835</v>
      </c>
      <c r="J229" s="18" t="n"/>
      <c r="K229" s="18" t="inlineStr">
        <is>
          <t>家居家装</t>
        </is>
      </c>
      <c r="L229" s="18" t="inlineStr">
        <is>
          <t>koc</t>
        </is>
      </c>
      <c r="M229" s="18" t="n">
        <v>0.3</v>
      </c>
      <c r="N229" s="18" t="n">
        <v>12</v>
      </c>
      <c r="O229" s="18" t="inlineStr">
        <is>
          <t>图文</t>
        </is>
      </c>
      <c r="P229" s="21" t="n">
        <v>0.72</v>
      </c>
      <c r="Q229" s="21" t="n">
        <v>0.13</v>
      </c>
      <c r="R229" s="21" t="n">
        <v>0.49</v>
      </c>
      <c r="S229" s="21" t="n">
        <v>0.28</v>
      </c>
      <c r="T229" s="21" t="n">
        <v>0.51</v>
      </c>
      <c r="U229" s="21" t="n">
        <v>0.14</v>
      </c>
      <c r="V229" s="22" t="n">
        <v>28881</v>
      </c>
      <c r="W229" s="18" t="n">
        <v>727</v>
      </c>
      <c r="X229" s="18" t="n">
        <v>1200</v>
      </c>
      <c r="Y229" s="18">
        <f>X229*1.1</f>
        <v/>
      </c>
      <c r="Z229" s="20">
        <f>Y229/V229</f>
        <v/>
      </c>
      <c r="AA229" s="20">
        <f>Y229/W229</f>
        <v/>
      </c>
      <c r="AB229" s="18" t="n"/>
      <c r="AC229" s="18" t="n"/>
      <c r="AD229" s="18" t="n"/>
      <c r="AE229" s="18" t="n"/>
    </row>
    <row r="230" ht="19" customHeight="1" s="151">
      <c r="A230" s="18" t="n"/>
      <c r="B230" s="18" t="n"/>
      <c r="C230" s="17" t="n">
        <v>46092</v>
      </c>
      <c r="D230" s="18" t="inlineStr">
        <is>
          <t>品牌</t>
        </is>
      </c>
      <c r="E230" s="18" t="inlineStr">
        <is>
          <t>迷迭香花园</t>
        </is>
      </c>
      <c r="F230" s="122" t="n"/>
      <c r="G230" s="122" t="inlineStr">
        <is>
          <t>https://pgy.xiaohongshu.com/solar/pre-trade/blogger-detail/5a54586de8ac2b0dfebbcb21?track_id=kolMatch_94db55f4ae4b4e72b079e2675080de7a&amp;source=Advertiser_Kol</t>
        </is>
      </c>
      <c r="H230" s="122" t="inlineStr">
        <is>
          <t>https://www.xiaohongshu.com/user/profile/5a54586de8ac2b0dfebbcb21</t>
        </is>
      </c>
      <c r="I230" s="118" t="n">
        <v>264162557</v>
      </c>
      <c r="J230" s="18" t="n"/>
      <c r="K230" s="18" t="inlineStr">
        <is>
          <t>家居家装</t>
        </is>
      </c>
      <c r="L230" s="18" t="inlineStr">
        <is>
          <t>koc</t>
        </is>
      </c>
      <c r="M230" s="18" t="n">
        <v>0.4</v>
      </c>
      <c r="N230" s="18" t="n">
        <v>3.1</v>
      </c>
      <c r="O230" s="18" t="inlineStr">
        <is>
          <t>图文</t>
        </is>
      </c>
      <c r="P230" s="21" t="n">
        <v>0.52</v>
      </c>
      <c r="Q230" s="21" t="n">
        <v>0.11</v>
      </c>
      <c r="R230" s="21" t="n">
        <v>0.36</v>
      </c>
      <c r="S230" s="21" t="n">
        <v>0.33</v>
      </c>
      <c r="T230" s="21" t="n">
        <v>0.39</v>
      </c>
      <c r="U230" s="21" t="n">
        <v>0.24</v>
      </c>
      <c r="V230" s="22" t="n">
        <v>26273</v>
      </c>
      <c r="W230" s="18" t="n">
        <v>945</v>
      </c>
      <c r="X230" s="18" t="n">
        <v>1500</v>
      </c>
      <c r="Y230" s="18">
        <f>X230*1.1</f>
        <v/>
      </c>
      <c r="Z230" s="20">
        <f>Y230/V230</f>
        <v/>
      </c>
      <c r="AA230" s="20">
        <f>Y230/W230</f>
        <v/>
      </c>
      <c r="AB230" s="18" t="n"/>
      <c r="AC230" s="18" t="n"/>
      <c r="AD230" s="18" t="n"/>
      <c r="AE230" s="18" t="n"/>
    </row>
    <row r="231" ht="19" customHeight="1" s="151">
      <c r="A231" s="18" t="n"/>
      <c r="B231" s="18" t="n"/>
      <c r="C231" s="17" t="n">
        <v>46092</v>
      </c>
      <c r="D231" s="18" t="inlineStr">
        <is>
          <t>品牌</t>
        </is>
      </c>
      <c r="E231" s="18" t="inlineStr">
        <is>
          <t>九月的小家</t>
        </is>
      </c>
      <c r="F231" s="122" t="n"/>
      <c r="G231" s="122" t="inlineStr">
        <is>
          <t>https://pgy.xiaohongshu.com/solar/pre-trade/blogger-detail/642a896d00000000120115ff?track_id=kolMatch_94db55f4ae4b4e72b079e2675080de7a&amp;source=Advertiser_Kol</t>
        </is>
      </c>
      <c r="H231" s="122" t="inlineStr">
        <is>
          <t>https://www.xiaohongshu.com/user/profile/642a896d00000000120115ff</t>
        </is>
      </c>
      <c r="I231" s="118" t="n">
        <v>9691428125</v>
      </c>
      <c r="J231" s="18" t="n"/>
      <c r="K231" s="18" t="inlineStr">
        <is>
          <t>家居家装</t>
        </is>
      </c>
      <c r="L231" s="18" t="inlineStr">
        <is>
          <t>koc</t>
        </is>
      </c>
      <c r="M231" s="18" t="n">
        <v>0.3</v>
      </c>
      <c r="N231" s="18" t="n">
        <v>4.8</v>
      </c>
      <c r="O231" s="18" t="inlineStr">
        <is>
          <t>图文</t>
        </is>
      </c>
      <c r="P231" s="21" t="n">
        <v>0.84</v>
      </c>
      <c r="Q231" s="21" t="n">
        <v>0.06</v>
      </c>
      <c r="R231" s="21" t="n">
        <v>0.64</v>
      </c>
      <c r="S231" s="21" t="n">
        <v>0.18</v>
      </c>
      <c r="T231" s="21" t="n">
        <v>0.5</v>
      </c>
      <c r="U231" s="21" t="n">
        <v>0.17</v>
      </c>
      <c r="V231" s="22" t="n">
        <v>7961</v>
      </c>
      <c r="W231" s="18" t="n">
        <v>219</v>
      </c>
      <c r="X231" s="18" t="n">
        <v>1600</v>
      </c>
      <c r="Y231" s="18">
        <f>X231*1.1</f>
        <v/>
      </c>
      <c r="Z231" s="20">
        <f>Y231/V231</f>
        <v/>
      </c>
      <c r="AA231" s="20">
        <f>Y231/W231</f>
        <v/>
      </c>
      <c r="AB231" s="18" t="n"/>
      <c r="AC231" s="18" t="n"/>
      <c r="AD231" s="18" t="n"/>
      <c r="AE231" s="18" t="n"/>
    </row>
    <row r="232" ht="19" customHeight="1" s="151">
      <c r="A232" s="18" t="n"/>
      <c r="B232" s="18" t="n"/>
      <c r="C232" s="17" t="n">
        <v>46092</v>
      </c>
      <c r="D232" s="18" t="inlineStr">
        <is>
          <t>品牌</t>
        </is>
      </c>
      <c r="E232" s="18" t="inlineStr">
        <is>
          <t>叁一小姐</t>
        </is>
      </c>
      <c r="F232" s="122" t="n"/>
      <c r="G232" s="122" t="inlineStr">
        <is>
          <t>https://pgy.xiaohongshu.com/solar/pre-trade/blogger-detail/5735e29482ec393bb1a30dbc?track_id=kolMatch_94db55f4ae4b4e72b079e2675080de7a&amp;source=Advertiser_Kol</t>
        </is>
      </c>
      <c r="H232" s="122" t="inlineStr">
        <is>
          <t>https://www.xiaohongshu.com/user/profile/5735e29482ec393bb1a30dbc</t>
        </is>
      </c>
      <c r="I232" s="118" t="inlineStr">
        <is>
          <t>1101love1101</t>
        </is>
      </c>
      <c r="J232" s="18" t="n"/>
      <c r="K232" s="18" t="inlineStr">
        <is>
          <t>家居家装</t>
        </is>
      </c>
      <c r="L232" s="18" t="inlineStr">
        <is>
          <t>koc</t>
        </is>
      </c>
      <c r="M232" s="18" t="n">
        <v>0.5</v>
      </c>
      <c r="N232" s="18" t="n">
        <v>14.1</v>
      </c>
      <c r="O232" s="18" t="inlineStr">
        <is>
          <t>图文</t>
        </is>
      </c>
      <c r="P232" s="21" t="n">
        <v>0.84</v>
      </c>
      <c r="Q232" s="21" t="n">
        <v>0.04</v>
      </c>
      <c r="R232" s="21" t="n">
        <v>0.45</v>
      </c>
      <c r="S232" s="21" t="n">
        <v>0.37</v>
      </c>
      <c r="T232" s="21" t="n">
        <v>0.54</v>
      </c>
      <c r="U232" s="21" t="n">
        <v>0.2</v>
      </c>
      <c r="V232" s="22" t="n">
        <v>3164</v>
      </c>
      <c r="W232" s="18" t="n">
        <v>248</v>
      </c>
      <c r="X232" s="18" t="n">
        <v>1100</v>
      </c>
      <c r="Y232" s="18">
        <f>X232*1.1</f>
        <v/>
      </c>
      <c r="Z232" s="20">
        <f>Y232/V232</f>
        <v/>
      </c>
      <c r="AA232" s="20">
        <f>Y232/W232</f>
        <v/>
      </c>
      <c r="AB232" s="18" t="n"/>
      <c r="AC232" s="18" t="n"/>
      <c r="AD232" s="18" t="n"/>
      <c r="AE232" s="18" t="n"/>
    </row>
    <row r="233" ht="19" customHeight="1" s="151">
      <c r="A233" s="18" t="n"/>
      <c r="B233" s="18" t="n"/>
      <c r="C233" s="17" t="n">
        <v>46092</v>
      </c>
      <c r="D233" s="18" t="inlineStr">
        <is>
          <t>品牌</t>
        </is>
      </c>
      <c r="E233" s="18" t="inlineStr">
        <is>
          <t>奥利奥2.0</t>
        </is>
      </c>
      <c r="F233" s="122" t="n"/>
      <c r="G233" s="122" t="inlineStr">
        <is>
          <t>https://pgy.xiaohongshu.com/solar/pre-trade/blogger-detail/65d8079d00000000050337e5?track_id=kolMatch_94db55f4ae4b4e72b079e2675080de7a&amp;source=Advertiser_Kol</t>
        </is>
      </c>
      <c r="H233" s="122" t="inlineStr">
        <is>
          <t>https://www.xiaohongshu.com/user/profile/65d8079d00000000050337e5</t>
        </is>
      </c>
      <c r="I233" s="118" t="n">
        <v>42609706275</v>
      </c>
      <c r="J233" s="18" t="n"/>
      <c r="K233" s="18" t="inlineStr">
        <is>
          <t>家居家装</t>
        </is>
      </c>
      <c r="L233" s="18" t="inlineStr">
        <is>
          <t>koc</t>
        </is>
      </c>
      <c r="M233" s="18" t="n">
        <v>0.7</v>
      </c>
      <c r="N233" s="18" t="n">
        <v>4.1</v>
      </c>
      <c r="O233" s="18" t="inlineStr">
        <is>
          <t>图文</t>
        </is>
      </c>
      <c r="P233" s="21" t="n">
        <v>0.6899999999999999</v>
      </c>
      <c r="Q233" s="21" t="n">
        <v>0.07000000000000001</v>
      </c>
      <c r="R233" s="21" t="n">
        <v>0.49</v>
      </c>
      <c r="S233" s="21" t="n">
        <v>0.29</v>
      </c>
      <c r="T233" s="21" t="n">
        <v>0.73</v>
      </c>
      <c r="U233" s="21" t="n">
        <v>0.1</v>
      </c>
      <c r="V233" s="22" t="n">
        <v>12935</v>
      </c>
      <c r="W233" s="18" t="n">
        <v>939</v>
      </c>
      <c r="X233" s="18" t="n">
        <v>2000</v>
      </c>
      <c r="Y233" s="18">
        <f>X233*1.1</f>
        <v/>
      </c>
      <c r="Z233" s="20">
        <f>Y233/V233</f>
        <v/>
      </c>
      <c r="AA233" s="20">
        <f>Y233/W233</f>
        <v/>
      </c>
      <c r="AB233" s="18" t="n"/>
      <c r="AC233" s="18" t="n"/>
      <c r="AD233" s="18" t="n"/>
      <c r="AE233" s="18" t="n"/>
    </row>
    <row r="234" ht="19" customHeight="1" s="151">
      <c r="A234" s="18" t="n"/>
      <c r="B234" s="18" t="n"/>
      <c r="C234" s="17" t="n">
        <v>46092</v>
      </c>
      <c r="D234" s="18" t="inlineStr">
        <is>
          <t>品牌</t>
        </is>
      </c>
      <c r="E234" s="18" t="inlineStr">
        <is>
          <t>晚安阿梨🍐（山居日记）</t>
        </is>
      </c>
      <c r="F234" s="122" t="n"/>
      <c r="G234" s="122" t="inlineStr">
        <is>
          <t>https://pgy.xiaohongshu.com/solar/pre-trade/blogger-detail/5655cc604476087c2a2988c1?track_id=kolMatch_94db55f4ae4b4e72b079e2675080de7a&amp;source=Advertiser_Kol</t>
        </is>
      </c>
      <c r="H234" s="122" t="inlineStr">
        <is>
          <t>https://www.xiaohongshu.com/user/profile/5655cc604476087c2a2988c1</t>
        </is>
      </c>
      <c r="I234" s="118" t="n">
        <v>111243793</v>
      </c>
      <c r="J234" s="18" t="n"/>
      <c r="K234" s="18" t="inlineStr">
        <is>
          <t>家居家装</t>
        </is>
      </c>
      <c r="L234" s="18" t="inlineStr">
        <is>
          <t>koc</t>
        </is>
      </c>
      <c r="M234" s="18" t="n">
        <v>0.5</v>
      </c>
      <c r="N234" s="18" t="n">
        <v>4.4</v>
      </c>
      <c r="O234" s="18" t="inlineStr">
        <is>
          <t>图文</t>
        </is>
      </c>
      <c r="P234" s="21" t="n">
        <v>0.6899999999999999</v>
      </c>
      <c r="Q234" s="21" t="n">
        <v>0.09</v>
      </c>
      <c r="R234" s="21" t="n">
        <v>0.46</v>
      </c>
      <c r="S234" s="21" t="n">
        <v>0.37</v>
      </c>
      <c r="T234" s="21" t="n">
        <v>0.5</v>
      </c>
      <c r="U234" s="21" t="n">
        <v>0.17</v>
      </c>
      <c r="V234" s="22" t="n">
        <v>11919</v>
      </c>
      <c r="W234" s="18" t="n">
        <v>1173</v>
      </c>
      <c r="X234" s="18" t="n">
        <v>1200</v>
      </c>
      <c r="Y234" s="18">
        <f>X234*1.1</f>
        <v/>
      </c>
      <c r="Z234" s="20">
        <f>Y234/V234</f>
        <v/>
      </c>
      <c r="AA234" s="20">
        <f>Y234/W234</f>
        <v/>
      </c>
      <c r="AB234" s="18" t="n"/>
      <c r="AC234" s="18" t="n"/>
      <c r="AD234" s="18" t="n"/>
      <c r="AE234" s="18" t="n"/>
    </row>
    <row r="235" ht="77.84999999999999" customHeight="1" s="151">
      <c r="A235" s="18" t="n"/>
      <c r="B235" s="18" t="n"/>
      <c r="C235" s="17" t="n">
        <v>46092</v>
      </c>
      <c r="D235" s="18" t="inlineStr">
        <is>
          <t>电商</t>
        </is>
      </c>
      <c r="E235" s="18" t="inlineStr">
        <is>
          <t>Gyy ad (装修中)</t>
        </is>
      </c>
      <c r="F235" s="122" t="n"/>
      <c r="G235" s="122" t="inlineStr">
        <is>
          <t>https://pgy.xiaohongshu.com/solar/pre-trade/blogger-detail/680b6c5f000000000a03ffa3?track_id=kolSearch_aebd10c23b674f5a9294416b1c75f9f3&amp;source=Advertiser_Kol</t>
        </is>
      </c>
      <c r="H235" s="122" t="inlineStr">
        <is>
          <t>https://www.xiaohongshu.com/user/profile/680b6c5f000000000a03ffa3</t>
        </is>
      </c>
      <c r="I235" s="124" t="n">
        <v>95001121081</v>
      </c>
      <c r="J235" s="18" t="n"/>
      <c r="K235" s="18" t="inlineStr">
        <is>
          <t>家居家装</t>
        </is>
      </c>
      <c r="L235" s="18" t="inlineStr">
        <is>
          <t>koc</t>
        </is>
      </c>
      <c r="M235" s="18" t="n">
        <v>0.8</v>
      </c>
      <c r="N235" s="18" t="n">
        <v>7.1</v>
      </c>
      <c r="O235" s="18" t="inlineStr">
        <is>
          <t>图文</t>
        </is>
      </c>
      <c r="P235" s="21" t="n">
        <v>0.87</v>
      </c>
      <c r="Q235" s="18" t="n"/>
      <c r="R235" s="18" t="n"/>
      <c r="S235" s="18" t="n"/>
      <c r="T235" s="21" t="n">
        <v>0.21</v>
      </c>
      <c r="U235" s="21" t="n">
        <v>0.23</v>
      </c>
      <c r="V235" s="22" t="n">
        <v>1184</v>
      </c>
      <c r="W235" s="18" t="n">
        <v>130</v>
      </c>
      <c r="X235" s="18" t="n">
        <v>500</v>
      </c>
      <c r="Y235" s="18">
        <f>X235*1.1</f>
        <v/>
      </c>
      <c r="Z235" s="20">
        <f>Y235/V235</f>
        <v/>
      </c>
      <c r="AA235" s="20">
        <f>Y235/W235</f>
        <v/>
      </c>
      <c r="AB235" s="18" t="n"/>
      <c r="AC235" s="18" t="n"/>
      <c r="AD235" s="18" t="n"/>
      <c r="AE235" s="18" t="n"/>
    </row>
    <row r="236" ht="85.25" customHeight="1" s="151">
      <c r="A236" s="18" t="n"/>
      <c r="B236" s="18" t="n"/>
      <c r="C236" s="17" t="n">
        <v>46092</v>
      </c>
      <c r="D236" s="18" t="inlineStr">
        <is>
          <t>电商</t>
        </is>
      </c>
      <c r="E236" s="18" t="inlineStr">
        <is>
          <t>螃蟹先生i</t>
        </is>
      </c>
      <c r="F236" s="122" t="n"/>
      <c r="G236" s="122" t="inlineStr">
        <is>
          <t>https://pgy.xiaohongshu.com/solar/pre-trade/blogger-detail/5c7c34580000000010037809?track_id=kolSearch_aa4caa3ac8cc4da4880ae6bf8ccde1d5&amp;source=Advertiser_Kol</t>
        </is>
      </c>
      <c r="H236" s="122" t="inlineStr">
        <is>
          <t>https://www.xiaohongshu.com/user/profile/5c7c34580000000010037809</t>
        </is>
      </c>
      <c r="I236" s="124" t="n">
        <v>893372429</v>
      </c>
      <c r="J236" s="18" t="n"/>
      <c r="K236" s="18" t="inlineStr">
        <is>
          <t>家居家装</t>
        </is>
      </c>
      <c r="L236" s="18" t="inlineStr">
        <is>
          <t>koc</t>
        </is>
      </c>
      <c r="M236" s="18" t="n">
        <v>0.1</v>
      </c>
      <c r="N236" s="18" t="n">
        <v>5.8</v>
      </c>
      <c r="O236" s="18" t="inlineStr">
        <is>
          <t>图文</t>
        </is>
      </c>
      <c r="P236" s="21" t="n">
        <v>0.79</v>
      </c>
      <c r="Q236" s="18" t="n"/>
      <c r="R236" s="18" t="n"/>
      <c r="S236" s="18" t="n"/>
      <c r="T236" s="21" t="n">
        <v>0.77</v>
      </c>
      <c r="U236" s="21" t="n">
        <v>0.08</v>
      </c>
      <c r="V236" s="22" t="n">
        <v>33908</v>
      </c>
      <c r="W236" s="18" t="n">
        <v>2862</v>
      </c>
      <c r="X236" s="18" t="n">
        <v>1000</v>
      </c>
      <c r="Y236" s="18">
        <f>X236*1.1</f>
        <v/>
      </c>
      <c r="Z236" s="20">
        <f>Y236/V236</f>
        <v/>
      </c>
      <c r="AA236" s="20">
        <f>Y236/W236</f>
        <v/>
      </c>
      <c r="AB236" s="18" t="n"/>
      <c r="AC236" s="18" t="n"/>
      <c r="AD236" s="18" t="n"/>
      <c r="AE236" s="18" t="n"/>
    </row>
    <row r="237" ht="93.7" customHeight="1" s="151">
      <c r="A237" s="18" t="n"/>
      <c r="B237" s="18" t="n"/>
      <c r="C237" s="17" t="n">
        <v>46092</v>
      </c>
      <c r="D237" s="18" t="inlineStr">
        <is>
          <t>电商</t>
        </is>
      </c>
      <c r="E237" s="18" t="inlineStr">
        <is>
          <t>美美的家</t>
        </is>
      </c>
      <c r="F237" s="122" t="n"/>
      <c r="G237" s="122" t="inlineStr">
        <is>
          <t>https://pgy.xiaohongshu.com/solar/pre-trade/blogger-detail/67bb03a5000000000e02fdcc?track_id=kolSearch_2e220f31d1164236a957a99f8ff27a46&amp;source=Advertiser_Kol</t>
        </is>
      </c>
      <c r="H237" s="122" t="inlineStr">
        <is>
          <t>https://www.xiaohongshu.com/user/profile/67bb03a5000000000e02fdcc</t>
        </is>
      </c>
      <c r="I237" s="124" t="n">
        <v>26233808575</v>
      </c>
      <c r="J237" s="18" t="n"/>
      <c r="K237" s="18" t="inlineStr">
        <is>
          <t>家居家装</t>
        </is>
      </c>
      <c r="L237" s="18" t="inlineStr">
        <is>
          <t>koc</t>
        </is>
      </c>
      <c r="M237" s="18" t="n">
        <v>1.3</v>
      </c>
      <c r="N237" s="18" t="n">
        <v>21</v>
      </c>
      <c r="O237" s="18" t="inlineStr">
        <is>
          <t>图文</t>
        </is>
      </c>
      <c r="P237" s="21" t="n">
        <v>0.95</v>
      </c>
      <c r="Q237" s="18" t="n"/>
      <c r="R237" s="18" t="n"/>
      <c r="S237" s="18" t="n"/>
      <c r="T237" s="21" t="n">
        <v>0.32</v>
      </c>
      <c r="U237" s="21" t="n">
        <v>0.2</v>
      </c>
      <c r="V237" s="22" t="n">
        <v>26921</v>
      </c>
      <c r="W237" s="18" t="n">
        <v>341</v>
      </c>
      <c r="X237" s="18" t="n">
        <v>1700</v>
      </c>
      <c r="Y237" s="18">
        <f>X237*1.1</f>
        <v/>
      </c>
      <c r="Z237" s="20">
        <f>Y237/V237</f>
        <v/>
      </c>
      <c r="AA237" s="20">
        <f>Y237/W237</f>
        <v/>
      </c>
      <c r="AB237" s="18" t="n"/>
      <c r="AC237" s="18" t="n"/>
      <c r="AD237" s="18" t="n"/>
      <c r="AE237" s="18" t="n"/>
    </row>
    <row r="238" ht="83.90000000000001" customHeight="1" s="151">
      <c r="A238" s="18" t="n"/>
      <c r="B238" s="18" t="n"/>
      <c r="C238" s="17" t="n">
        <v>46092</v>
      </c>
      <c r="D238" s="18" t="inlineStr">
        <is>
          <t>电商</t>
        </is>
      </c>
      <c r="E238" s="18" t="inlineStr">
        <is>
          <t>晴天</t>
        </is>
      </c>
      <c r="F238" s="122" t="n"/>
      <c r="G238" s="122" t="inlineStr">
        <is>
          <t>https://pgy.xiaohongshu.com/solar/pre-trade/blogger-detail/5fe6fed30000000001000561?track_id=kolMatch_94db55f4ae4b4e72b079e2675080de7a&amp;source=Advertiser_Kol</t>
        </is>
      </c>
      <c r="H238" s="122" t="inlineStr">
        <is>
          <t>https://www.xiaohongshu.com/user/profile/5fe6fed30000000001000561</t>
        </is>
      </c>
      <c r="I238" s="124" t="n">
        <v>1037868422</v>
      </c>
      <c r="J238" s="18" t="n"/>
      <c r="K238" s="18" t="inlineStr">
        <is>
          <t>家居家装</t>
        </is>
      </c>
      <c r="L238" s="18" t="inlineStr">
        <is>
          <t>koc</t>
        </is>
      </c>
      <c r="M238" s="18" t="n">
        <v>0.2</v>
      </c>
      <c r="N238" s="18" t="n">
        <v>8.6</v>
      </c>
      <c r="O238" s="18" t="inlineStr">
        <is>
          <t>图文</t>
        </is>
      </c>
      <c r="P238" s="21" t="n">
        <v>0.6899999999999999</v>
      </c>
      <c r="Q238" s="18" t="n"/>
      <c r="R238" s="18" t="n"/>
      <c r="S238" s="18" t="n"/>
      <c r="T238" s="21" t="n">
        <v>0.7</v>
      </c>
      <c r="U238" s="21" t="n">
        <v>0.13</v>
      </c>
      <c r="V238" s="22" t="n">
        <v>7159</v>
      </c>
      <c r="W238" s="18" t="n">
        <v>530</v>
      </c>
      <c r="X238" s="18" t="n">
        <v>2000</v>
      </c>
      <c r="Y238" s="18">
        <f>X238*1.1</f>
        <v/>
      </c>
      <c r="Z238" s="20">
        <f>Y238/V238</f>
        <v/>
      </c>
      <c r="AA238" s="20">
        <f>Y238/W238</f>
        <v/>
      </c>
      <c r="AB238" s="18" t="n"/>
      <c r="AC238" s="18" t="n"/>
      <c r="AD238" s="18" t="n"/>
      <c r="AE238" s="18" t="n"/>
    </row>
    <row r="239" ht="73.45" customHeight="1" s="151">
      <c r="A239" s="18" t="n"/>
      <c r="B239" s="18" t="n"/>
      <c r="C239" s="17" t="n">
        <v>46092</v>
      </c>
      <c r="D239" s="18" t="inlineStr">
        <is>
          <t>电商</t>
        </is>
      </c>
      <c r="E239" s="18" t="inlineStr">
        <is>
          <t>欣欣de小家</t>
        </is>
      </c>
      <c r="F239" s="122" t="n"/>
      <c r="G239" s="122" t="inlineStr">
        <is>
          <t>https://pgy.xiaohongshu.com/solar/pre-trade/blogger-detail/5a33a82611be1006308ae371?track_id=kolMatch_8582aea41f874173a0e71d9e62ab079e&amp;source=Advertiser_Kol</t>
        </is>
      </c>
      <c r="H239" s="122" t="inlineStr">
        <is>
          <t>https://www.xiaohongshu.com/user/profile/5a33a82611be1006308ae371</t>
        </is>
      </c>
      <c r="I239" s="124" t="n">
        <v>499954614</v>
      </c>
      <c r="J239" s="18" t="n"/>
      <c r="K239" s="18" t="inlineStr">
        <is>
          <t>家居家装</t>
        </is>
      </c>
      <c r="L239" s="18" t="inlineStr">
        <is>
          <t>koc</t>
        </is>
      </c>
      <c r="M239" s="18" t="n">
        <v>1.2</v>
      </c>
      <c r="N239" s="18" t="n">
        <v>27</v>
      </c>
      <c r="O239" s="18" t="inlineStr">
        <is>
          <t>图文</t>
        </is>
      </c>
      <c r="P239" s="21" t="n">
        <v>0.9</v>
      </c>
      <c r="Q239" s="18" t="n"/>
      <c r="R239" s="18" t="n"/>
      <c r="S239" s="18" t="n"/>
      <c r="T239" s="21" t="n">
        <v>0.49</v>
      </c>
      <c r="U239" s="21" t="n">
        <v>0.15</v>
      </c>
      <c r="V239" s="22" t="n">
        <v>11676</v>
      </c>
      <c r="W239" s="18" t="n">
        <v>542</v>
      </c>
      <c r="X239" s="18" t="n">
        <v>2000</v>
      </c>
      <c r="Y239" s="18">
        <f>X239*1.1</f>
        <v/>
      </c>
      <c r="Z239" s="20">
        <f>Y239/V239</f>
        <v/>
      </c>
      <c r="AA239" s="20">
        <f>Y239/W239</f>
        <v/>
      </c>
      <c r="AB239" s="18" t="n"/>
      <c r="AC239" s="18" t="n"/>
      <c r="AD239" s="18" t="n"/>
      <c r="AE239" s="18" t="n"/>
    </row>
    <row r="240" ht="80.8" customHeight="1" s="151">
      <c r="A240" s="18" t="n"/>
      <c r="B240" s="18" t="n"/>
      <c r="C240" s="17" t="n">
        <v>46092</v>
      </c>
      <c r="D240" s="18" t="inlineStr">
        <is>
          <t>电商</t>
        </is>
      </c>
      <c r="E240" s="18" t="inlineStr">
        <is>
          <t>YANRAN嫣然</t>
        </is>
      </c>
      <c r="F240" s="122" t="n"/>
      <c r="G240" s="122" t="inlineStr">
        <is>
          <t>https://pgy.xiaohongshu.com/solar/pre-trade/blogger-detail/66f7c320000000001d021353?track_id=kolMatch_8582aea41f874173a0e71d9e62ab079e&amp;source=Advertiser_Kol</t>
        </is>
      </c>
      <c r="H240" s="122" t="inlineStr">
        <is>
          <t>https://www.xiaohongshu.com/user/profile/66f7c320000000001d021353</t>
        </is>
      </c>
      <c r="I240" s="124" t="n">
        <v>63803234737</v>
      </c>
      <c r="J240" s="18" t="n"/>
      <c r="K240" s="18" t="inlineStr">
        <is>
          <t>家居家装</t>
        </is>
      </c>
      <c r="L240" s="18" t="inlineStr">
        <is>
          <t>koc</t>
        </is>
      </c>
      <c r="M240" s="18" t="n">
        <v>0.7</v>
      </c>
      <c r="N240" s="18" t="n">
        <v>12</v>
      </c>
      <c r="O240" s="18" t="inlineStr">
        <is>
          <t>图文</t>
        </is>
      </c>
      <c r="P240" s="21" t="n">
        <v>0.93</v>
      </c>
      <c r="Q240" s="18" t="n"/>
      <c r="R240" s="18" t="n"/>
      <c r="S240" s="18" t="n"/>
      <c r="T240" s="21" t="n">
        <v>0.72</v>
      </c>
      <c r="U240" s="21" t="n">
        <v>0.1</v>
      </c>
      <c r="V240" s="22" t="n">
        <v>38009</v>
      </c>
      <c r="W240" s="18" t="n">
        <v>3566</v>
      </c>
      <c r="X240" s="18" t="n">
        <v>1000</v>
      </c>
      <c r="Y240" s="18">
        <f>X240*1.1</f>
        <v/>
      </c>
      <c r="Z240" s="20">
        <f>Y240/V240</f>
        <v/>
      </c>
      <c r="AA240" s="20">
        <f>Y240/W240</f>
        <v/>
      </c>
      <c r="AB240" s="18" t="n"/>
      <c r="AC240" s="18" t="n"/>
      <c r="AD240" s="18" t="n"/>
      <c r="AE240" s="18" t="n"/>
    </row>
    <row r="241" ht="76.65000000000001" customHeight="1" s="151">
      <c r="A241" s="18" t="n"/>
      <c r="B241" s="18" t="n"/>
      <c r="C241" s="17" t="n">
        <v>46092</v>
      </c>
      <c r="D241" s="18" t="inlineStr">
        <is>
          <t>电商</t>
        </is>
      </c>
      <c r="E241" s="18" t="inlineStr">
        <is>
          <t>Cykler</t>
        </is>
      </c>
      <c r="F241" s="122" t="n"/>
      <c r="G241" s="122" t="inlineStr">
        <is>
          <t>https://pgy.xiaohongshu.com/solar/pre-trade/blogger-detail/60841d2400000000010036f8?track_id=kolMatch_8582aea41f874173a0e71d9e62ab079e&amp;source=Advertiser_Kol</t>
        </is>
      </c>
      <c r="H241" s="122" t="inlineStr">
        <is>
          <t>https://www.xiaohongshu.com/user/profile/60841d2400000000010036f8</t>
        </is>
      </c>
      <c r="I241" s="124" t="n">
        <v>9470355930</v>
      </c>
      <c r="J241" s="18" t="n"/>
      <c r="K241" s="18" t="inlineStr">
        <is>
          <t>家居家装</t>
        </is>
      </c>
      <c r="L241" s="18" t="inlineStr">
        <is>
          <t>koc</t>
        </is>
      </c>
      <c r="M241" s="18" t="n">
        <v>0.5</v>
      </c>
      <c r="N241" s="18" t="n">
        <v>5.3</v>
      </c>
      <c r="O241" s="18" t="inlineStr">
        <is>
          <t>图文</t>
        </is>
      </c>
      <c r="P241" s="21" t="n">
        <v>0.22</v>
      </c>
      <c r="Q241" s="18" t="n"/>
      <c r="R241" s="18" t="n"/>
      <c r="S241" s="18" t="n"/>
      <c r="T241" s="21" t="n">
        <v>0.59</v>
      </c>
      <c r="U241" s="21" t="n">
        <v>0.1</v>
      </c>
      <c r="V241" s="22" t="n">
        <v>4088</v>
      </c>
      <c r="W241" s="18" t="n">
        <v>165</v>
      </c>
      <c r="X241" s="18" t="n">
        <v>1200</v>
      </c>
      <c r="Y241" s="18">
        <f>X241*1.1</f>
        <v/>
      </c>
      <c r="Z241" s="20">
        <f>Y241/V241</f>
        <v/>
      </c>
      <c r="AA241" s="20">
        <f>Y241/W241</f>
        <v/>
      </c>
      <c r="AB241" s="18" t="n"/>
      <c r="AC241" s="18" t="n"/>
      <c r="AD241" s="18" t="n"/>
      <c r="AE241" s="18" t="n"/>
    </row>
    <row r="242" ht="88.5" customHeight="1" s="151">
      <c r="A242" s="18" t="n"/>
      <c r="B242" s="18" t="n"/>
      <c r="C242" s="17" t="n">
        <v>46092</v>
      </c>
      <c r="D242" s="18" t="inlineStr">
        <is>
          <t>电商</t>
        </is>
      </c>
      <c r="E242" s="18" t="inlineStr">
        <is>
          <t>沫沫的家</t>
        </is>
      </c>
      <c r="F242" s="122" t="n"/>
      <c r="G242" s="122" t="inlineStr">
        <is>
          <t>https://pgy.xiaohongshu.com/solar/pre-trade/blogger-detail/640c4e7b0000000029016d9d?track_id=kolMatch_8582aea41f874173a0e71d9e62ab079e&amp;source=Advertiser_Kol</t>
        </is>
      </c>
      <c r="H242" s="122" t="inlineStr">
        <is>
          <t>https://www.xiaohongshu.com/user/profile/640c4e7b0000000029016d9d</t>
        </is>
      </c>
      <c r="I242" s="124" t="n">
        <v>2273530539</v>
      </c>
      <c r="J242" s="18" t="n"/>
      <c r="K242" s="18" t="inlineStr">
        <is>
          <t>家居家装</t>
        </is>
      </c>
      <c r="L242" s="18" t="inlineStr">
        <is>
          <t>koc</t>
        </is>
      </c>
      <c r="M242" s="18" t="n">
        <v>1.7</v>
      </c>
      <c r="N242" s="18" t="n">
        <v>14</v>
      </c>
      <c r="O242" s="18" t="inlineStr">
        <is>
          <t>图文</t>
        </is>
      </c>
      <c r="P242" s="21" t="n">
        <v>0.6899999999999999</v>
      </c>
      <c r="Q242" s="18" t="n"/>
      <c r="R242" s="18" t="n"/>
      <c r="S242" s="18" t="n"/>
      <c r="T242" s="21" t="n">
        <v>0.25</v>
      </c>
      <c r="U242" s="21" t="n">
        <v>0.24</v>
      </c>
      <c r="V242" s="22" t="n">
        <v>36330</v>
      </c>
      <c r="W242" s="18" t="n">
        <v>1113</v>
      </c>
      <c r="X242" s="18" t="n">
        <v>1500</v>
      </c>
      <c r="Y242" s="18">
        <f>X242*1.1</f>
        <v/>
      </c>
      <c r="Z242" s="20">
        <f>Y242/V242</f>
        <v/>
      </c>
      <c r="AA242" s="20">
        <f>Y242/W242</f>
        <v/>
      </c>
      <c r="AB242" s="18" t="n"/>
      <c r="AC242" s="18" t="n"/>
      <c r="AD242" s="18" t="n"/>
      <c r="AE242" s="18" t="n"/>
    </row>
    <row r="243" ht="80.75" customHeight="1" s="151">
      <c r="A243" s="18" t="n"/>
      <c r="B243" s="18" t="n"/>
      <c r="C243" s="17" t="n">
        <v>46092</v>
      </c>
      <c r="D243" s="18" t="inlineStr">
        <is>
          <t>电商</t>
        </is>
      </c>
      <c r="E243" s="18" t="inlineStr">
        <is>
          <t>啵啵的生活日记</t>
        </is>
      </c>
      <c r="F243" s="122" t="n"/>
      <c r="G243" s="122" t="inlineStr">
        <is>
          <t>https://pgy.xiaohongshu.com/solar/pre-trade/blogger-detail/5b658b3a6b58b759ac289145?track_id=kolMatch_8582aea41f874173a0e71d9e62ab079e&amp;source=Advertiser_Kol</t>
        </is>
      </c>
      <c r="H243" s="122" t="inlineStr">
        <is>
          <t>https://www.xiaohongshu.com/user/profile/5b658b3a6b58b759ac289145</t>
        </is>
      </c>
      <c r="I243" s="124" t="n">
        <v>607785527</v>
      </c>
      <c r="J243" s="18" t="n"/>
      <c r="K243" s="18" t="inlineStr">
        <is>
          <t>家居家装</t>
        </is>
      </c>
      <c r="L243" s="18" t="inlineStr">
        <is>
          <t>koc</t>
        </is>
      </c>
      <c r="M243" s="18" t="n">
        <v>0.3</v>
      </c>
      <c r="N243" s="18" t="n">
        <v>13</v>
      </c>
      <c r="O243" s="18" t="inlineStr">
        <is>
          <t>图文</t>
        </is>
      </c>
      <c r="P243" s="21" t="n">
        <v>0.73</v>
      </c>
      <c r="Q243" s="18" t="n"/>
      <c r="R243" s="18" t="n"/>
      <c r="S243" s="18" t="n"/>
      <c r="T243" s="21" t="n">
        <v>0.4</v>
      </c>
      <c r="U243" s="21" t="n">
        <v>0.17</v>
      </c>
      <c r="V243" s="22" t="n">
        <v>30566</v>
      </c>
      <c r="W243" s="18" t="n">
        <v>1115</v>
      </c>
      <c r="X243" s="18" t="n">
        <v>1730</v>
      </c>
      <c r="Y243" s="18">
        <f>X243*1.1</f>
        <v/>
      </c>
      <c r="Z243" s="20">
        <f>Y243/V243</f>
        <v/>
      </c>
      <c r="AA243" s="20">
        <f>Y243/W243</f>
        <v/>
      </c>
      <c r="AB243" s="18" t="n"/>
      <c r="AC243" s="18" t="n"/>
      <c r="AD243" s="18" t="n"/>
      <c r="AE243" s="18" t="n"/>
    </row>
    <row r="244" ht="77.40000000000001" customHeight="1" s="151">
      <c r="A244" s="18" t="n"/>
      <c r="B244" s="18" t="n"/>
      <c r="C244" s="17" t="n">
        <v>46092</v>
      </c>
      <c r="D244" s="18" t="inlineStr">
        <is>
          <t>电商</t>
        </is>
      </c>
      <c r="E244" s="18" t="inlineStr">
        <is>
          <t>爱喝一丢丢</t>
        </is>
      </c>
      <c r="F244" s="122" t="n"/>
      <c r="G244" s="122" t="inlineStr">
        <is>
          <t>https://pgy.xiaohongshu.com/solar/pre-trade/blogger-detail/67ab2991000000000a03c237?track_id=kolMatch_8582aea41f874173a0e71d9e62ab079e&amp;source=Advertiser_Kol</t>
        </is>
      </c>
      <c r="H244" s="122" t="inlineStr">
        <is>
          <t>https://www.xiaohongshu.com/user/profile/67ab2991000000000a03c237</t>
        </is>
      </c>
      <c r="I244" s="124" t="n">
        <v>11596495855</v>
      </c>
      <c r="J244" s="18" t="n"/>
      <c r="K244" s="18" t="inlineStr">
        <is>
          <t>家居家装</t>
        </is>
      </c>
      <c r="L244" s="18" t="inlineStr">
        <is>
          <t>koc</t>
        </is>
      </c>
      <c r="M244" s="18" t="n">
        <v>0.5</v>
      </c>
      <c r="N244" s="18" t="n">
        <v>18</v>
      </c>
      <c r="O244" s="18" t="inlineStr">
        <is>
          <t>图文</t>
        </is>
      </c>
      <c r="P244" s="21" t="n">
        <v>0.9399999999999999</v>
      </c>
      <c r="Q244" s="18" t="n"/>
      <c r="R244" s="18" t="n"/>
      <c r="S244" s="18" t="n"/>
      <c r="T244" s="21" t="n">
        <v>0.65</v>
      </c>
      <c r="U244" s="21" t="n">
        <v>0.11</v>
      </c>
      <c r="V244" s="22" t="n">
        <v>8214</v>
      </c>
      <c r="W244" s="18" t="n">
        <v>564</v>
      </c>
      <c r="X244" s="18" t="n">
        <v>1400</v>
      </c>
      <c r="Y244" s="18">
        <f>X244*1.1</f>
        <v/>
      </c>
      <c r="Z244" s="20">
        <f>Y244/V244</f>
        <v/>
      </c>
      <c r="AA244" s="20">
        <f>Y244/W244</f>
        <v/>
      </c>
      <c r="AB244" s="18" t="n"/>
      <c r="AC244" s="18" t="n"/>
      <c r="AD244" s="18" t="n"/>
      <c r="AE244" s="18" t="n"/>
    </row>
    <row r="245" ht="80.05" customHeight="1" s="151">
      <c r="A245" s="18" t="n"/>
      <c r="B245" s="18" t="n"/>
      <c r="C245" s="17" t="n">
        <v>46092</v>
      </c>
      <c r="D245" s="18" t="inlineStr">
        <is>
          <t>电商</t>
        </is>
      </c>
      <c r="E245" s="18" t="inlineStr">
        <is>
          <t>汐茵嘟家</t>
        </is>
      </c>
      <c r="F245" s="122" t="n"/>
      <c r="G245" s="122" t="inlineStr">
        <is>
          <t>https://pgy.xiaohongshu.com/solar/pre-trade/blogger-detail/60c8902a000000000101f71f?track_id=kolMatch_16460b883e1d43c1842f9886e2922097&amp;source=Advertiser_Kol</t>
        </is>
      </c>
      <c r="H245" s="122" t="inlineStr">
        <is>
          <t>https://www.xiaohongshu.com/user/profile/60c8902a000000000101f71f</t>
        </is>
      </c>
      <c r="I245" s="124" t="n">
        <v>95677185694</v>
      </c>
      <c r="J245" s="18" t="n"/>
      <c r="K245" s="18" t="inlineStr">
        <is>
          <t>家居家装</t>
        </is>
      </c>
      <c r="L245" s="18" t="inlineStr">
        <is>
          <t>koc</t>
        </is>
      </c>
      <c r="M245" s="18" t="n">
        <v>1.6</v>
      </c>
      <c r="N245" s="18" t="n">
        <v>14</v>
      </c>
      <c r="O245" s="18" t="inlineStr">
        <is>
          <t>图文</t>
        </is>
      </c>
      <c r="P245" s="21" t="n">
        <v>0.7</v>
      </c>
      <c r="Q245" s="18" t="n"/>
      <c r="R245" s="18" t="n"/>
      <c r="S245" s="18" t="n"/>
      <c r="T245" s="21" t="n">
        <v>0.19</v>
      </c>
      <c r="U245" s="21" t="n">
        <v>0.25</v>
      </c>
      <c r="V245" s="22" t="n">
        <v>156934</v>
      </c>
      <c r="W245" s="18" t="n">
        <v>475</v>
      </c>
      <c r="X245" s="18" t="n">
        <v>2000</v>
      </c>
      <c r="Y245" s="18">
        <f>X245*1.1</f>
        <v/>
      </c>
      <c r="Z245" s="20">
        <f>Y245/V245</f>
        <v/>
      </c>
      <c r="AA245" s="20">
        <f>Y245/W245</f>
        <v/>
      </c>
      <c r="AB245" s="18" t="n"/>
      <c r="AC245" s="18" t="n"/>
      <c r="AD245" s="18" t="n"/>
      <c r="AE245" s="18" t="n"/>
    </row>
    <row r="246" ht="72.34999999999999" customHeight="1" s="151">
      <c r="A246" s="18" t="n"/>
      <c r="B246" s="18" t="n"/>
      <c r="C246" s="17" t="n">
        <v>46092</v>
      </c>
      <c r="D246" s="18" t="inlineStr">
        <is>
          <t>电商</t>
        </is>
      </c>
      <c r="E246" s="18" t="inlineStr">
        <is>
          <t>冰吸生椰拿铁</t>
        </is>
      </c>
      <c r="F246" s="122" t="n"/>
      <c r="G246" s="122" t="inlineStr">
        <is>
          <t>https://pgy.xiaohongshu.com/solar/pre-trade/blogger-detail/667014f100000000030310f3?track_id=kolMatch_16460b883e1d43c1842f9886e2922097&amp;source=Advertiser_Kol</t>
        </is>
      </c>
      <c r="H246" s="122" t="inlineStr">
        <is>
          <t>https://www.xiaohongshu.com/user/profile/667014f100000000030310f3</t>
        </is>
      </c>
      <c r="I246" s="124" t="n">
        <v>95226205583</v>
      </c>
      <c r="J246" s="18" t="n"/>
      <c r="K246" s="18" t="inlineStr">
        <is>
          <t>家居家装</t>
        </is>
      </c>
      <c r="L246" s="18" t="inlineStr">
        <is>
          <t>koc</t>
        </is>
      </c>
      <c r="M246" s="18" t="n">
        <v>0.8</v>
      </c>
      <c r="N246" s="18" t="n">
        <v>22</v>
      </c>
      <c r="O246" s="18" t="inlineStr">
        <is>
          <t>图文</t>
        </is>
      </c>
      <c r="P246" s="21" t="n">
        <v>0.6</v>
      </c>
      <c r="Q246" s="18" t="n"/>
      <c r="R246" s="18" t="n"/>
      <c r="S246" s="18" t="n"/>
      <c r="T246" s="21" t="n">
        <v>0.48</v>
      </c>
      <c r="U246" s="21" t="n">
        <v>0.15</v>
      </c>
      <c r="V246" s="22" t="n">
        <v>14294</v>
      </c>
      <c r="W246" s="18" t="n">
        <v>738</v>
      </c>
      <c r="X246" s="18" t="n">
        <v>1600</v>
      </c>
      <c r="Y246" s="18">
        <f>X246*1.1</f>
        <v/>
      </c>
      <c r="Z246" s="20">
        <f>Y246/V246</f>
        <v/>
      </c>
      <c r="AA246" s="20">
        <f>Y246/W246</f>
        <v/>
      </c>
      <c r="AB246" s="18" t="n"/>
      <c r="AC246" s="18" t="n"/>
      <c r="AD246" s="18" t="n"/>
      <c r="AE246" s="18" t="n"/>
    </row>
    <row r="247" ht="71.8" customHeight="1" s="151">
      <c r="A247" s="18" t="n"/>
      <c r="B247" s="18" t="n"/>
      <c r="C247" s="17" t="n">
        <v>46092</v>
      </c>
      <c r="D247" s="18" t="inlineStr">
        <is>
          <t>电商</t>
        </is>
      </c>
      <c r="E247" s="18" t="inlineStr">
        <is>
          <t>muimui（软装中）</t>
        </is>
      </c>
      <c r="F247" s="122" t="n"/>
      <c r="G247" s="122" t="inlineStr">
        <is>
          <t>https://pgy.xiaohongshu.com/solar/pre-trade/blogger-detail/66a3ada0000000001d033f1e?track_id=kolMatch_584bbfe61f5a4fb0bfac5af502bd4c66&amp;source=Advertiser_Kol</t>
        </is>
      </c>
      <c r="H247" s="122" t="inlineStr">
        <is>
          <t>https://www.xiaohongshu.com/user/profile/66a3ada0000000001d033f1e</t>
        </is>
      </c>
      <c r="I247" s="124" t="n">
        <v>94102906230</v>
      </c>
      <c r="J247" s="18" t="n"/>
      <c r="K247" s="18" t="inlineStr">
        <is>
          <t>家居家装</t>
        </is>
      </c>
      <c r="L247" s="18" t="inlineStr">
        <is>
          <t>koc</t>
        </is>
      </c>
      <c r="M247" s="18" t="n">
        <v>0.4</v>
      </c>
      <c r="N247" s="18" t="n">
        <v>5.4</v>
      </c>
      <c r="O247" s="18" t="inlineStr">
        <is>
          <t>图文</t>
        </is>
      </c>
      <c r="P247" s="21" t="n">
        <v>0.86</v>
      </c>
      <c r="Q247" s="18" t="n"/>
      <c r="R247" s="18" t="n"/>
      <c r="S247" s="18" t="n"/>
      <c r="T247" s="21" t="n">
        <v>0.6</v>
      </c>
      <c r="U247" s="21" t="n">
        <v>0.12</v>
      </c>
      <c r="V247" s="22" t="n">
        <v>5333</v>
      </c>
      <c r="W247" s="18" t="n">
        <v>222</v>
      </c>
      <c r="X247" s="18" t="n">
        <v>2000</v>
      </c>
      <c r="Y247" s="18">
        <f>X247*1.1</f>
        <v/>
      </c>
      <c r="Z247" s="20">
        <f>Y247/V247</f>
        <v/>
      </c>
      <c r="AA247" s="20">
        <f>Y247/W247</f>
        <v/>
      </c>
      <c r="AB247" s="18" t="n"/>
      <c r="AC247" s="18" t="n"/>
      <c r="AD247" s="18" t="n"/>
      <c r="AE247" s="18" t="n"/>
    </row>
    <row r="248" ht="81.3" customHeight="1" s="151">
      <c r="A248" s="18" t="n"/>
      <c r="B248" s="18" t="n"/>
      <c r="C248" s="17" t="n">
        <v>46092</v>
      </c>
      <c r="D248" s="18" t="inlineStr">
        <is>
          <t>电商</t>
        </is>
      </c>
      <c r="E248" s="18" t="inlineStr">
        <is>
          <t>Rehome</t>
        </is>
      </c>
      <c r="F248" s="122" t="n"/>
      <c r="G248" s="122" t="inlineStr">
        <is>
          <t>https://pgy.xiaohongshu.com/solar/pre-trade/blogger-detail/5b1cdfeee8ac2b04cd661722?track_id=kolMatch_584bbfe61f5a4fb0bfac5af502bd4c66&amp;source=Advertiser_Kol</t>
        </is>
      </c>
      <c r="H248" s="122" t="inlineStr">
        <is>
          <t>https://www.xiaohongshu.com/user/profile/5b1cdfeee8ac2b04cd661722</t>
        </is>
      </c>
      <c r="I248" s="124" t="n">
        <v>425080037</v>
      </c>
      <c r="J248" s="18" t="n"/>
      <c r="K248" s="18" t="inlineStr">
        <is>
          <t>家居家装</t>
        </is>
      </c>
      <c r="L248" s="18" t="inlineStr">
        <is>
          <t>koc</t>
        </is>
      </c>
      <c r="M248" s="18" t="n">
        <v>1.1</v>
      </c>
      <c r="N248" s="18" t="n">
        <v>17.4</v>
      </c>
      <c r="O248" s="18" t="inlineStr">
        <is>
          <t>图文</t>
        </is>
      </c>
      <c r="P248" s="21" t="n">
        <v>0.9399999999999999</v>
      </c>
      <c r="Q248" s="18" t="n"/>
      <c r="R248" s="18" t="n"/>
      <c r="S248" s="18" t="n"/>
      <c r="T248" s="21" t="n">
        <v>0.72</v>
      </c>
      <c r="U248" s="21" t="n">
        <v>0.11</v>
      </c>
      <c r="V248" s="22" t="n">
        <v>1224</v>
      </c>
      <c r="W248" s="18" t="n">
        <v>347</v>
      </c>
      <c r="X248" s="18" t="n">
        <v>1875</v>
      </c>
      <c r="Y248" s="18">
        <f>X248*1.1</f>
        <v/>
      </c>
      <c r="Z248" s="20">
        <f>Y248/V248</f>
        <v/>
      </c>
      <c r="AA248" s="20">
        <f>Y248/W248</f>
        <v/>
      </c>
      <c r="AB248" s="18" t="n"/>
      <c r="AC248" s="18" t="n"/>
      <c r="AD248" s="18" t="n"/>
      <c r="AE248" s="18" t="n"/>
    </row>
    <row r="249">
      <c r="A249" s="37" t="inlineStr">
        <is>
          <t>以下为3月12日新提报</t>
        </is>
      </c>
      <c r="B249" s="37" t="n"/>
      <c r="C249" s="37" t="n"/>
      <c r="D249" s="37" t="n"/>
      <c r="E249" s="37" t="n"/>
      <c r="F249" s="123" t="n"/>
      <c r="G249" s="123" t="n"/>
      <c r="H249" s="123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>
        <f>X249*1.1</f>
        <v/>
      </c>
      <c r="Z249" s="40">
        <f>Y249/V249</f>
        <v/>
      </c>
      <c r="AA249" s="40">
        <f>Y249/W249</f>
        <v/>
      </c>
      <c r="AB249" s="37" t="n"/>
      <c r="AC249" s="37" t="n"/>
      <c r="AD249" s="37" t="n"/>
      <c r="AE249" s="37" t="n"/>
    </row>
    <row r="250" ht="81.05" customHeight="1" s="151">
      <c r="A250" s="18" t="n"/>
      <c r="B250" s="18" t="n"/>
      <c r="C250" s="17" t="n">
        <v>46093</v>
      </c>
      <c r="D250" s="18" t="inlineStr">
        <is>
          <t>电商</t>
        </is>
      </c>
      <c r="E250" s="18" t="inlineStr">
        <is>
          <t>K姐姐i</t>
        </is>
      </c>
      <c r="F250" s="122" t="n"/>
      <c r="G250" s="122" t="inlineStr">
        <is>
          <t>https://pgy.xiaohongshu.com/solar/pre-trade/blogger-detail/5ae13bd44eacab3462d33018?track_id=kolMatch_380851593b5949d38472d708c9404697&amp;source=Advertiser_Kol</t>
        </is>
      </c>
      <c r="H250" s="122" t="inlineStr">
        <is>
          <t>https://www.xiaohongshu.com/user/profile/5ae13bd44eacab3462d33018</t>
        </is>
      </c>
      <c r="I250" s="18" t="inlineStr">
        <is>
          <t>Kelly_qi520</t>
        </is>
      </c>
      <c r="J250" s="18" t="n"/>
      <c r="K250" s="18" t="inlineStr">
        <is>
          <t>美食</t>
        </is>
      </c>
      <c r="L250" s="18" t="inlineStr">
        <is>
          <t>koc</t>
        </is>
      </c>
      <c r="M250" s="18" t="n">
        <v>19.6</v>
      </c>
      <c r="N250" s="18" t="n">
        <v>124.3</v>
      </c>
      <c r="O250" s="18" t="inlineStr">
        <is>
          <t>图文</t>
        </is>
      </c>
      <c r="P250" s="21" t="n">
        <v>0.95</v>
      </c>
      <c r="Q250" s="18" t="n"/>
      <c r="R250" s="18" t="n"/>
      <c r="S250" s="18" t="n"/>
      <c r="T250" s="21" t="n">
        <v>0.64</v>
      </c>
      <c r="U250" s="21" t="n">
        <v>0.14</v>
      </c>
      <c r="V250" s="22" t="n">
        <v>13789</v>
      </c>
      <c r="W250" s="22" t="n">
        <v>2011</v>
      </c>
      <c r="X250" s="18" t="n">
        <v>2000</v>
      </c>
      <c r="Y250" s="18">
        <f>X250*1.1</f>
        <v/>
      </c>
      <c r="Z250" s="20">
        <f>Y250/V250</f>
        <v/>
      </c>
      <c r="AA250" s="20">
        <f>Y250/W250</f>
        <v/>
      </c>
      <c r="AB250" s="18" t="n"/>
      <c r="AC250" s="18" t="n"/>
      <c r="AD250" s="18" t="n"/>
      <c r="AE250" s="18" t="n"/>
    </row>
    <row r="251" ht="80.90000000000001" customHeight="1" s="151">
      <c r="A251" s="18" t="n"/>
      <c r="B251" s="18" t="n"/>
      <c r="C251" s="17" t="n">
        <v>46093</v>
      </c>
      <c r="D251" s="18" t="inlineStr">
        <is>
          <t>电商</t>
        </is>
      </c>
      <c r="E251" s="18" t="inlineStr">
        <is>
          <t>万万</t>
        </is>
      </c>
      <c r="F251" s="122" t="n"/>
      <c r="G251" s="122" t="inlineStr">
        <is>
          <t>https://pgy.xiaohongshu.com/solar/pre-trade/blogger-detail/593fe36e50c4b45723f17280?track_id=kolMatch_380851593b5949d38472d708c9404697&amp;source=Advertiser_Kol</t>
        </is>
      </c>
      <c r="H251" s="122" t="inlineStr">
        <is>
          <t>https://www.xiaohongshu.com/user/profile/593fe36e50c4b45723f17280</t>
        </is>
      </c>
      <c r="I251" s="18" t="inlineStr">
        <is>
          <t>ymm610</t>
        </is>
      </c>
      <c r="J251" s="18" t="n"/>
      <c r="K251" s="18" t="inlineStr">
        <is>
          <t>美食</t>
        </is>
      </c>
      <c r="L251" s="18" t="inlineStr">
        <is>
          <t>koc</t>
        </is>
      </c>
      <c r="M251" s="18" t="n">
        <v>0.9</v>
      </c>
      <c r="N251" s="18" t="n">
        <v>6.3</v>
      </c>
      <c r="O251" s="18" t="inlineStr">
        <is>
          <t>图文</t>
        </is>
      </c>
      <c r="P251" s="21" t="n">
        <v>0.85</v>
      </c>
      <c r="Q251" s="18" t="n"/>
      <c r="R251" s="18" t="n"/>
      <c r="S251" s="18" t="n"/>
      <c r="T251" s="21" t="n">
        <v>0.5</v>
      </c>
      <c r="U251" s="21" t="n">
        <v>0.16</v>
      </c>
      <c r="V251" s="22" t="n">
        <v>5106</v>
      </c>
      <c r="W251" s="18" t="n">
        <v>353</v>
      </c>
      <c r="X251" s="18" t="n">
        <v>2000</v>
      </c>
      <c r="Y251" s="18">
        <f>X251*1.1</f>
        <v/>
      </c>
      <c r="Z251" s="20">
        <f>Y251/V251</f>
        <v/>
      </c>
      <c r="AA251" s="20">
        <f>Y251/W251</f>
        <v/>
      </c>
      <c r="AB251" s="18" t="n"/>
      <c r="AC251" s="18" t="n"/>
      <c r="AD251" s="18" t="n"/>
      <c r="AE251" s="18" t="n"/>
    </row>
    <row r="252" ht="86.45" customHeight="1" s="151">
      <c r="A252" s="18" t="n"/>
      <c r="B252" s="18" t="n"/>
      <c r="C252" s="17" t="n">
        <v>46093</v>
      </c>
      <c r="D252" s="18" t="inlineStr">
        <is>
          <t>电商</t>
        </is>
      </c>
      <c r="E252" s="18" t="inlineStr">
        <is>
          <t>一口奶糖</t>
        </is>
      </c>
      <c r="F252" s="122" t="n"/>
      <c r="G252" s="122" t="inlineStr">
        <is>
          <t>https://pgy.xiaohongshu.com/solar/pre-trade/blogger-detail/5b65678c3af703000169fede?track_id=kolMatch_2052b719e5d24036a913e9f5cd6a151d&amp;source=Advertiser_Kol</t>
        </is>
      </c>
      <c r="H252" s="122" t="inlineStr">
        <is>
          <t>https://www.xiaohongshu.com/user/profile/5b65678c3af703000169fede</t>
        </is>
      </c>
      <c r="I252" s="18" t="n">
        <v>563759573</v>
      </c>
      <c r="J252" s="18" t="n"/>
      <c r="K252" s="18" t="inlineStr">
        <is>
          <t>家居家装</t>
        </is>
      </c>
      <c r="L252" s="18" t="inlineStr">
        <is>
          <t>koc</t>
        </is>
      </c>
      <c r="M252" s="18" t="n">
        <v>0.5</v>
      </c>
      <c r="N252" s="18" t="n">
        <v>9.9</v>
      </c>
      <c r="O252" s="18" t="inlineStr">
        <is>
          <t>图文</t>
        </is>
      </c>
      <c r="P252" s="21" t="n">
        <v>0.89</v>
      </c>
      <c r="Q252" s="18" t="n"/>
      <c r="R252" s="18" t="n"/>
      <c r="S252" s="18" t="n"/>
      <c r="T252" s="21" t="n">
        <v>0.62</v>
      </c>
      <c r="U252" s="21" t="n">
        <v>0.13</v>
      </c>
      <c r="V252" s="22" t="n">
        <v>4301</v>
      </c>
      <c r="W252" s="18" t="n">
        <v>107</v>
      </c>
      <c r="X252" s="18" t="n">
        <v>1080</v>
      </c>
      <c r="Y252" s="18">
        <f>X252*1.1</f>
        <v/>
      </c>
      <c r="Z252" s="20">
        <f>Y252/V252</f>
        <v/>
      </c>
      <c r="AA252" s="20">
        <f>Y252/W252</f>
        <v/>
      </c>
      <c r="AB252" s="18" t="n"/>
      <c r="AC252" s="18" t="n"/>
      <c r="AD252" s="18" t="n"/>
      <c r="AE252" s="18" t="n"/>
    </row>
    <row r="253" ht="82.34999999999999" customHeight="1" s="151">
      <c r="A253" s="18" t="n"/>
      <c r="B253" s="18" t="n"/>
      <c r="C253" s="17" t="n">
        <v>46093</v>
      </c>
      <c r="D253" s="18" t="inlineStr">
        <is>
          <t>电商</t>
        </is>
      </c>
      <c r="E253" s="18" t="inlineStr">
        <is>
          <t>麦子的美食日记</t>
        </is>
      </c>
      <c r="F253" s="122" t="n"/>
      <c r="G253" s="122" t="inlineStr">
        <is>
          <t>https://pgy.xiaohongshu.com/solar/pre-trade/blogger-detail/5af0f03411be10477403ea28?track_id=kolMatch_2052b719e5d24036a913e9f5cd6a151d&amp;source=Advertiser_Kol</t>
        </is>
      </c>
      <c r="H253" s="122" t="inlineStr">
        <is>
          <t>https://www.xiaohongshu.com/user/profile/5af0f03411be10477403ea28</t>
        </is>
      </c>
      <c r="I253" s="18" t="n">
        <v>948666830</v>
      </c>
      <c r="J253" s="18" t="n"/>
      <c r="K253" s="18" t="inlineStr">
        <is>
          <t>美食</t>
        </is>
      </c>
      <c r="L253" s="18" t="inlineStr">
        <is>
          <t>koc</t>
        </is>
      </c>
      <c r="M253" s="18" t="n">
        <v>13.2</v>
      </c>
      <c r="N253" s="18" t="n">
        <v>456.5</v>
      </c>
      <c r="O253" s="18" t="inlineStr">
        <is>
          <t>图文</t>
        </is>
      </c>
      <c r="P253" s="21" t="n">
        <v>0.89</v>
      </c>
      <c r="Q253" s="18" t="n"/>
      <c r="R253" s="18" t="n"/>
      <c r="S253" s="18" t="n"/>
      <c r="T253" s="21" t="n">
        <v>0.5</v>
      </c>
      <c r="U253" s="21" t="n">
        <v>0.17</v>
      </c>
      <c r="V253" s="22" t="n">
        <v>9746</v>
      </c>
      <c r="W253" s="22" t="n">
        <v>1049</v>
      </c>
      <c r="X253" s="18" t="n">
        <v>2000</v>
      </c>
      <c r="Y253" s="18">
        <f>X253*1.1</f>
        <v/>
      </c>
      <c r="Z253" s="20">
        <f>Y253/V253</f>
        <v/>
      </c>
      <c r="AA253" s="20">
        <f>Y253/W253</f>
        <v/>
      </c>
      <c r="AB253" s="18" t="n"/>
      <c r="AC253" s="18" t="n"/>
      <c r="AD253" s="18" t="n"/>
      <c r="AE253" s="18" t="n"/>
    </row>
    <row r="254" ht="87.84999999999999" customHeight="1" s="151">
      <c r="A254" s="18" t="n"/>
      <c r="B254" s="18" t="n"/>
      <c r="C254" s="17" t="n">
        <v>46093</v>
      </c>
      <c r="D254" s="18" t="inlineStr">
        <is>
          <t>电商</t>
        </is>
      </c>
      <c r="E254" s="18" t="inlineStr">
        <is>
          <t>琪琪家装修日记</t>
        </is>
      </c>
      <c r="F254" s="122" t="n"/>
      <c r="G254" s="122" t="inlineStr">
        <is>
          <t>https://pgy.xiaohongshu.com/solar/pre-trade/blogger-detail/5fc7795300000000010011de?track_id=kolSimilar_116173e5367e49c18618235a2f9284db&amp;source=Advertiser_Similar_Kol</t>
        </is>
      </c>
      <c r="H254" s="122" t="inlineStr">
        <is>
          <t>https://www.xiaohongshu.com/user/profile/5fc7795300000000010011de</t>
        </is>
      </c>
      <c r="I254" s="18" t="n">
        <v>1070688782</v>
      </c>
      <c r="J254" s="18" t="n"/>
      <c r="K254" s="18" t="inlineStr">
        <is>
          <t>家居家装</t>
        </is>
      </c>
      <c r="L254" s="18" t="inlineStr">
        <is>
          <t>koc</t>
        </is>
      </c>
      <c r="M254" s="18" t="n">
        <v>2.6</v>
      </c>
      <c r="N254" s="18" t="n">
        <v>20.6</v>
      </c>
      <c r="O254" s="18" t="inlineStr">
        <is>
          <t>图文</t>
        </is>
      </c>
      <c r="P254" s="21" t="n">
        <v>0.78</v>
      </c>
      <c r="Q254" s="18" t="n"/>
      <c r="R254" s="18" t="n"/>
      <c r="S254" s="18" t="n"/>
      <c r="T254" s="21" t="n">
        <v>0.21</v>
      </c>
      <c r="U254" s="21" t="n">
        <v>0.24</v>
      </c>
      <c r="V254" s="22" t="n">
        <v>7379</v>
      </c>
      <c r="W254" s="18" t="n">
        <v>294</v>
      </c>
      <c r="X254" s="18" t="n">
        <v>3000</v>
      </c>
      <c r="Y254" s="18">
        <f>X254*1.1</f>
        <v/>
      </c>
      <c r="Z254" s="20">
        <f>Y254/V254</f>
        <v/>
      </c>
      <c r="AA254" s="20">
        <f>Y254/W254</f>
        <v/>
      </c>
      <c r="AB254" s="18" t="n"/>
      <c r="AC254" s="18" t="n"/>
      <c r="AD254" s="18" t="n"/>
      <c r="AE254" s="18" t="n"/>
    </row>
    <row r="255" ht="82.95" customHeight="1" s="151">
      <c r="A255" s="18" t="n"/>
      <c r="B255" s="18" t="n"/>
      <c r="C255" s="17" t="n">
        <v>46093</v>
      </c>
      <c r="D255" s="18" t="inlineStr">
        <is>
          <t>电商</t>
        </is>
      </c>
      <c r="E255" s="18" t="inlineStr">
        <is>
          <t>小嫚子的厨房</t>
        </is>
      </c>
      <c r="F255" s="122" t="n"/>
      <c r="G255" s="122" t="inlineStr">
        <is>
          <t>https://pgy.xiaohongshu.com/solar/pre-trade/blogger-detail/5c0a911d000000000500831e?track_id=kolMatch_2052b719e5d24036a913e9f5cd6a151d&amp;source=Advertiser_Kol</t>
        </is>
      </c>
      <c r="H255" s="122" t="inlineStr">
        <is>
          <t>https://www.xiaohongshu.com/user/profile/5c0a911d000000000500831e</t>
        </is>
      </c>
      <c r="I255" s="18" t="n">
        <v>383947102</v>
      </c>
      <c r="J255" s="18" t="n"/>
      <c r="K255" s="18" t="inlineStr">
        <is>
          <t>美食</t>
        </is>
      </c>
      <c r="L255" s="18" t="inlineStr">
        <is>
          <t>koc</t>
        </is>
      </c>
      <c r="M255" s="18" t="n">
        <v>9.5</v>
      </c>
      <c r="N255" s="18" t="n">
        <v>48.7</v>
      </c>
      <c r="O255" s="18" t="inlineStr">
        <is>
          <t>图文</t>
        </is>
      </c>
      <c r="P255" s="21" t="n">
        <v>0.92</v>
      </c>
      <c r="Q255" s="18" t="n"/>
      <c r="R255" s="18" t="n"/>
      <c r="S255" s="18" t="n"/>
      <c r="T255" s="21" t="n">
        <v>0.59</v>
      </c>
      <c r="U255" s="21" t="n">
        <v>0.16</v>
      </c>
      <c r="V255" s="22" t="n">
        <v>12936</v>
      </c>
      <c r="W255" s="18" t="n">
        <v>219</v>
      </c>
      <c r="X255" s="18" t="n">
        <v>1200</v>
      </c>
      <c r="Y255" s="18">
        <f>X255*1.1</f>
        <v/>
      </c>
      <c r="Z255" s="20">
        <f>Y255/V255</f>
        <v/>
      </c>
      <c r="AA255" s="20">
        <f>Y255/W255</f>
        <v/>
      </c>
      <c r="AB255" s="18" t="n"/>
      <c r="AC255" s="18" t="n"/>
      <c r="AD255" s="18" t="n"/>
      <c r="AE255" s="18" t="n"/>
    </row>
    <row r="256" ht="83.84999999999999" customHeight="1" s="151">
      <c r="A256" s="18" t="n"/>
      <c r="B256" s="18" t="n"/>
      <c r="C256" s="17" t="n">
        <v>46093</v>
      </c>
      <c r="D256" s="18" t="inlineStr">
        <is>
          <t>电商</t>
        </is>
      </c>
      <c r="E256" s="18" t="inlineStr">
        <is>
          <t>酸酸分享家</t>
        </is>
      </c>
      <c r="F256" s="122" t="n"/>
      <c r="G256" s="122" t="inlineStr">
        <is>
          <t>https://pgy.xiaohongshu.com/solar/pre-trade/blogger-detail/667e310300000000070046cb?track_id=kolSimilar_1c943b8bf5a0435880345511e38da7f6&amp;source=Advertiser_Similar_Kol</t>
        </is>
      </c>
      <c r="H256" s="122" t="inlineStr">
        <is>
          <t>https://www.xiaohongshu.com/user/profile/667e310300000000070046cb</t>
        </is>
      </c>
      <c r="I256" s="18" t="n">
        <v>95674008851</v>
      </c>
      <c r="J256" s="18" t="n"/>
      <c r="K256" s="18" t="inlineStr">
        <is>
          <t>家居家装</t>
        </is>
      </c>
      <c r="L256" s="18" t="inlineStr">
        <is>
          <t>koc</t>
        </is>
      </c>
      <c r="M256" s="18" t="n">
        <v>2.1</v>
      </c>
      <c r="N256" s="18" t="n">
        <v>15.6</v>
      </c>
      <c r="O256" s="18" t="inlineStr">
        <is>
          <t>图文</t>
        </is>
      </c>
      <c r="P256" s="21" t="n">
        <v>0.7</v>
      </c>
      <c r="Q256" s="18" t="n"/>
      <c r="R256" s="18" t="n"/>
      <c r="S256" s="18" t="n"/>
      <c r="T256" s="21" t="n">
        <v>0.34</v>
      </c>
      <c r="U256" s="21" t="n">
        <v>0.18</v>
      </c>
      <c r="V256" s="22" t="n">
        <v>7497</v>
      </c>
      <c r="W256" s="18" t="n">
        <v>834</v>
      </c>
      <c r="X256" s="18" t="n">
        <v>3000</v>
      </c>
      <c r="Y256" s="18">
        <f>X256*1.1</f>
        <v/>
      </c>
      <c r="Z256" s="20">
        <f>Y256/V256</f>
        <v/>
      </c>
      <c r="AA256" s="20">
        <f>Y256/W256</f>
        <v/>
      </c>
      <c r="AB256" s="18" t="n"/>
      <c r="AC256" s="18" t="n"/>
      <c r="AD256" s="18" t="n"/>
      <c r="AE256" s="18" t="n"/>
    </row>
    <row r="257" ht="86.15000000000001" customHeight="1" s="151">
      <c r="A257" s="18" t="n"/>
      <c r="B257" s="18" t="n"/>
      <c r="C257" s="17" t="n">
        <v>46093</v>
      </c>
      <c r="D257" s="18" t="inlineStr">
        <is>
          <t>电商</t>
        </is>
      </c>
      <c r="E257" s="18" t="inlineStr">
        <is>
          <t>拿铁不加糖</t>
        </is>
      </c>
      <c r="F257" s="122" t="n"/>
      <c r="G257" s="122" t="inlineStr">
        <is>
          <t>https://pgy.xiaohongshu.com/solar/pre-trade/blogger-detail/5ff3e4ca00000000010087a0?track_id=kolSimilar_1c943b8bf5a0435880345511e38da7f6&amp;source=Advertiser_Similar_Kol</t>
        </is>
      </c>
      <c r="H257" s="122" t="inlineStr">
        <is>
          <t>https://www.xiaohongshu.com/user/profile/5ff3e4ca00000000010087a0</t>
        </is>
      </c>
      <c r="I257" s="18" t="inlineStr">
        <is>
          <t>natiebujiatang</t>
        </is>
      </c>
      <c r="J257" s="18" t="n"/>
      <c r="K257" s="18" t="inlineStr">
        <is>
          <t>家居家装/美食</t>
        </is>
      </c>
      <c r="L257" s="18" t="inlineStr">
        <is>
          <t>koc</t>
        </is>
      </c>
      <c r="M257" s="18" t="n">
        <v>2.4</v>
      </c>
      <c r="N257" s="18" t="n">
        <v>53.6</v>
      </c>
      <c r="O257" s="18" t="inlineStr">
        <is>
          <t>图文</t>
        </is>
      </c>
      <c r="P257" s="21" t="n">
        <v>0.86</v>
      </c>
      <c r="Q257" s="18" t="n"/>
      <c r="R257" s="18" t="n"/>
      <c r="S257" s="18" t="n"/>
      <c r="T257" s="21" t="n">
        <v>0.51</v>
      </c>
      <c r="U257" s="21" t="n">
        <v>0.15</v>
      </c>
      <c r="V257" s="22" t="n">
        <v>11286</v>
      </c>
      <c r="W257" s="22" t="n">
        <v>1112</v>
      </c>
      <c r="X257" s="18" t="n">
        <v>3000</v>
      </c>
      <c r="Y257" s="18">
        <f>X257*1.1</f>
        <v/>
      </c>
      <c r="Z257" s="20">
        <f>Y257/V257</f>
        <v/>
      </c>
      <c r="AA257" s="20">
        <f>Y257/W257</f>
        <v/>
      </c>
      <c r="AB257" s="18" t="n"/>
      <c r="AC257" s="18" t="n"/>
      <c r="AD257" s="18" t="n"/>
      <c r="AE257" s="18" t="n"/>
    </row>
    <row r="258" ht="81.95" customHeight="1" s="151">
      <c r="A258" s="18" t="n"/>
      <c r="B258" s="18" t="n"/>
      <c r="C258" s="17" t="n">
        <v>46093</v>
      </c>
      <c r="D258" s="18" t="inlineStr">
        <is>
          <t>电商</t>
        </is>
      </c>
      <c r="E258" s="18" t="inlineStr">
        <is>
          <t>宽宽小食堂</t>
        </is>
      </c>
      <c r="F258" s="122" t="n"/>
      <c r="G258" s="122" t="inlineStr">
        <is>
          <t>https://pgy.xiaohongshu.com/solar/pre-trade/blogger-detail/5fc0d0370000000001004536?track_id=kolMatch_2052b719e5d24036a913e9f5cd6a151d&amp;source=Advertiser_Kol</t>
        </is>
      </c>
      <c r="H258" s="122" t="inlineStr">
        <is>
          <t>https://www.xiaohongshu.com/user/profile/5fc0d0370000000001004536</t>
        </is>
      </c>
      <c r="I258" s="18" t="inlineStr">
        <is>
          <t>Aichigui666</t>
        </is>
      </c>
      <c r="J258" s="18" t="n"/>
      <c r="K258" s="18" t="inlineStr">
        <is>
          <t>美食</t>
        </is>
      </c>
      <c r="L258" s="18" t="inlineStr">
        <is>
          <t>koc</t>
        </is>
      </c>
      <c r="M258" s="18" t="n">
        <v>10.3</v>
      </c>
      <c r="N258" s="18" t="n">
        <v>424</v>
      </c>
      <c r="O258" s="18" t="inlineStr">
        <is>
          <t>图文</t>
        </is>
      </c>
      <c r="P258" s="21" t="n">
        <v>0.86</v>
      </c>
      <c r="Q258" s="18" t="n"/>
      <c r="R258" s="18" t="n"/>
      <c r="S258" s="18" t="n"/>
      <c r="T258" s="21" t="n">
        <v>0.53</v>
      </c>
      <c r="U258" s="21" t="n">
        <v>0.15</v>
      </c>
      <c r="V258" s="22" t="n">
        <v>20363</v>
      </c>
      <c r="W258" s="22" t="n">
        <v>2176</v>
      </c>
      <c r="X258" s="18" t="n">
        <v>2000</v>
      </c>
      <c r="Y258" s="18">
        <f>X258*1.1</f>
        <v/>
      </c>
      <c r="Z258" s="20">
        <f>Y258/V258</f>
        <v/>
      </c>
      <c r="AA258" s="20">
        <f>Y258/W258</f>
        <v/>
      </c>
      <c r="AB258" s="18" t="n"/>
      <c r="AC258" s="18" t="n"/>
      <c r="AD258" s="18" t="n"/>
      <c r="AE258" s="18" t="n"/>
    </row>
    <row r="259" ht="88.5" customHeight="1" s="151">
      <c r="A259" s="18" t="n"/>
      <c r="B259" s="18" t="n"/>
      <c r="C259" s="17" t="n">
        <v>46093</v>
      </c>
      <c r="D259" s="18" t="inlineStr">
        <is>
          <t>电商</t>
        </is>
      </c>
      <c r="E259" s="18" t="inlineStr">
        <is>
          <t>莫宝在装修</t>
        </is>
      </c>
      <c r="F259" s="122" t="n"/>
      <c r="G259" s="122" t="inlineStr">
        <is>
          <t>https://pgy.xiaohongshu.com/solar/pre-trade/blogger-detail/65d4a743000000000d024bd1?track_id=kolSimilar_f9e0d9f46f6b4ff6b6c4ffac0dd6e0f2&amp;source=Advertiser_Similar_Kol</t>
        </is>
      </c>
      <c r="H259" s="122" t="inlineStr">
        <is>
          <t>https://www.xiaohongshu.com/user/profile/65d4a743000000000d024bd1</t>
        </is>
      </c>
      <c r="I259" s="18" t="n">
        <v>11042382040</v>
      </c>
      <c r="J259" s="18" t="n"/>
      <c r="K259" s="18" t="inlineStr">
        <is>
          <t>家居家装</t>
        </is>
      </c>
      <c r="L259" s="18" t="inlineStr">
        <is>
          <t>koc</t>
        </is>
      </c>
      <c r="M259" s="18" t="n">
        <v>3.6</v>
      </c>
      <c r="N259" s="18" t="n">
        <v>24.3</v>
      </c>
      <c r="O259" s="18" t="inlineStr">
        <is>
          <t>图文</t>
        </is>
      </c>
      <c r="P259" s="21" t="n">
        <v>0.6899999999999999</v>
      </c>
      <c r="Q259" s="18" t="n"/>
      <c r="R259" s="18" t="n"/>
      <c r="S259" s="18" t="n"/>
      <c r="T259" s="21" t="n">
        <v>0.45</v>
      </c>
      <c r="U259" s="21" t="n">
        <v>0.21</v>
      </c>
      <c r="V259" s="18" t="n">
        <v>8500</v>
      </c>
      <c r="W259" s="18" t="n">
        <v>600</v>
      </c>
      <c r="X259" s="18" t="n">
        <v>3000</v>
      </c>
      <c r="Y259" s="18">
        <f>X259*1.1</f>
        <v/>
      </c>
      <c r="Z259" s="20">
        <f>Y259/V259</f>
        <v/>
      </c>
      <c r="AA259" s="20">
        <f>Y259/W259</f>
        <v/>
      </c>
      <c r="AB259" s="18" t="n"/>
      <c r="AC259" s="18" t="n"/>
      <c r="AD259" s="18" t="n"/>
      <c r="AE259" s="18" t="n"/>
    </row>
    <row r="260" ht="91.40000000000001" customHeight="1" s="151">
      <c r="A260" s="18" t="n"/>
      <c r="B260" s="18" t="n"/>
      <c r="C260" s="17" t="n">
        <v>46093</v>
      </c>
      <c r="D260" s="18" t="inlineStr">
        <is>
          <t>电商</t>
        </is>
      </c>
      <c r="E260" s="18" t="inlineStr">
        <is>
          <t>妙脆角呀</t>
        </is>
      </c>
      <c r="F260" s="122" t="n"/>
      <c r="G260" s="122" t="inlineStr">
        <is>
          <t>https://pgy.xiaohongshu.com/solar/pre-trade/blogger-detail/563f56179eb5781de464f403?track_id=kolMatch_2052b719e5d24036a913e9f5cd6a151d&amp;source=Advertiser_Kol</t>
        </is>
      </c>
      <c r="H260" s="122" t="inlineStr">
        <is>
          <t>https://www.xiaohongshu.com/user/profile/563f56179eb5781de464f403</t>
        </is>
      </c>
      <c r="I260" s="18" t="n">
        <v>103670042</v>
      </c>
      <c r="J260" s="18" t="n"/>
      <c r="K260" s="18" t="inlineStr">
        <is>
          <t>美食</t>
        </is>
      </c>
      <c r="L260" s="18" t="inlineStr">
        <is>
          <t>koc</t>
        </is>
      </c>
      <c r="M260" s="18" t="n">
        <v>3.6</v>
      </c>
      <c r="N260" s="18" t="n">
        <v>25.4</v>
      </c>
      <c r="O260" s="18" t="inlineStr">
        <is>
          <t>图文</t>
        </is>
      </c>
      <c r="P260" s="21" t="n">
        <v>0.87</v>
      </c>
      <c r="Q260" s="18" t="n"/>
      <c r="R260" s="18" t="n"/>
      <c r="S260" s="18" t="n"/>
      <c r="T260" s="21" t="n">
        <v>0.72</v>
      </c>
      <c r="U260" s="21" t="n">
        <v>0.12</v>
      </c>
      <c r="V260" s="22" t="n">
        <v>33029</v>
      </c>
      <c r="W260" s="22" t="n">
        <v>1161</v>
      </c>
      <c r="X260" s="18" t="n">
        <v>2000</v>
      </c>
      <c r="Y260" s="18">
        <f>X260*1.1</f>
        <v/>
      </c>
      <c r="Z260" s="20">
        <f>Y260/V260</f>
        <v/>
      </c>
      <c r="AA260" s="20">
        <f>Y260/W260</f>
        <v/>
      </c>
      <c r="AB260" s="18" t="n"/>
      <c r="AC260" s="18" t="n"/>
      <c r="AD260" s="18" t="n"/>
      <c r="AE260" s="18" t="n"/>
    </row>
    <row r="261" ht="84.65000000000001" customHeight="1" s="151">
      <c r="A261" s="18" t="n"/>
      <c r="B261" s="18" t="n"/>
      <c r="C261" s="17" t="n">
        <v>46093</v>
      </c>
      <c r="D261" s="18" t="inlineStr">
        <is>
          <t>电商</t>
        </is>
      </c>
      <c r="E261" s="18" t="inlineStr">
        <is>
          <t>栗子的家</t>
        </is>
      </c>
      <c r="F261" s="122" t="n"/>
      <c r="G261" s="122" t="inlineStr">
        <is>
          <t>https://pgy.xiaohongshu.com/solar/pre-trade/blogger-detail/67bae2e00000000008015785?track_id=kolMatch_b2d36be9ebf3459f95d50154f8eb49c6&amp;source=Advertiser_Kol</t>
        </is>
      </c>
      <c r="H261" s="122" t="inlineStr">
        <is>
          <t>https://www.xiaohongshu.com/user/profile/67bae2e00000000008015785</t>
        </is>
      </c>
      <c r="I261" s="18" t="n">
        <v>63817014468</v>
      </c>
      <c r="J261" s="18" t="n"/>
      <c r="K261" s="18" t="inlineStr">
        <is>
          <t>家居家装</t>
        </is>
      </c>
      <c r="L261" s="18" t="inlineStr">
        <is>
          <t>koc</t>
        </is>
      </c>
      <c r="M261" s="18" t="n">
        <v>2.1</v>
      </c>
      <c r="N261" s="18" t="n">
        <v>14.1</v>
      </c>
      <c r="O261" s="18" t="inlineStr">
        <is>
          <t>图文</t>
        </is>
      </c>
      <c r="P261" s="21" t="n">
        <v>0.75</v>
      </c>
      <c r="Q261" s="18" t="n"/>
      <c r="R261" s="18" t="n"/>
      <c r="S261" s="18" t="n"/>
      <c r="T261" s="21" t="n">
        <v>0.24</v>
      </c>
      <c r="U261" s="21" t="n">
        <v>0.21</v>
      </c>
      <c r="V261" s="22" t="n">
        <v>7084</v>
      </c>
      <c r="W261" s="18" t="n">
        <v>242</v>
      </c>
      <c r="X261" s="18" t="n">
        <v>1500</v>
      </c>
      <c r="Y261" s="18">
        <f>X261*1.1</f>
        <v/>
      </c>
      <c r="Z261" s="20">
        <f>Y261/V261</f>
        <v/>
      </c>
      <c r="AA261" s="20">
        <f>Y261/W261</f>
        <v/>
      </c>
      <c r="AB261" s="18" t="n"/>
      <c r="AC261" s="18" t="n"/>
      <c r="AD261" s="18" t="n"/>
      <c r="AE261" s="18" t="n"/>
    </row>
    <row r="262" ht="87.8" customHeight="1" s="151">
      <c r="A262" s="18" t="n"/>
      <c r="B262" s="18" t="n"/>
      <c r="C262" s="17" t="n">
        <v>46093</v>
      </c>
      <c r="D262" s="18" t="inlineStr">
        <is>
          <t>电商</t>
        </is>
      </c>
      <c r="E262" s="18" t="inlineStr">
        <is>
          <t>菠萝的装修日记</t>
        </is>
      </c>
      <c r="F262" s="122" t="n"/>
      <c r="G262" s="122" t="inlineStr">
        <is>
          <t>https://pgy.xiaohongshu.com/solar/pre-trade/blogger-detail/59befa5151783a239233413b?track_id=kolMatch_b2d36be9ebf3459f95d50154f8eb49c6&amp;source=Advertiser_Kol</t>
        </is>
      </c>
      <c r="H262" s="122" t="inlineStr">
        <is>
          <t>https://www.xiaohongshu.com/user/profile/59befa5151783a239233413b</t>
        </is>
      </c>
      <c r="I262" s="18" t="n">
        <v>267099250</v>
      </c>
      <c r="J262" s="18" t="n"/>
      <c r="K262" s="18" t="inlineStr">
        <is>
          <t>家居家装</t>
        </is>
      </c>
      <c r="L262" s="18" t="inlineStr">
        <is>
          <t>koc</t>
        </is>
      </c>
      <c r="M262" s="18" t="n">
        <v>0.8</v>
      </c>
      <c r="N262" s="18" t="n">
        <v>21.1</v>
      </c>
      <c r="O262" s="18" t="inlineStr">
        <is>
          <t>图文</t>
        </is>
      </c>
      <c r="P262" s="21" t="n">
        <v>0.78</v>
      </c>
      <c r="Q262" s="18" t="n"/>
      <c r="R262" s="18" t="n"/>
      <c r="S262" s="18" t="n"/>
      <c r="T262" s="21" t="n">
        <v>0.46</v>
      </c>
      <c r="U262" s="21" t="n">
        <v>0.1</v>
      </c>
      <c r="V262" s="22" t="n">
        <v>2244</v>
      </c>
      <c r="W262" s="18" t="n">
        <v>144</v>
      </c>
      <c r="X262" s="18" t="n">
        <v>1200</v>
      </c>
      <c r="Y262" s="18">
        <f>X262*1.1</f>
        <v/>
      </c>
      <c r="Z262" s="20">
        <f>Y262/V262</f>
        <v/>
      </c>
      <c r="AA262" s="20">
        <f>Y262/W262</f>
        <v/>
      </c>
      <c r="AB262" s="18" t="n"/>
      <c r="AC262" s="18" t="n"/>
      <c r="AD262" s="18" t="n"/>
      <c r="AE262" s="18" t="n"/>
    </row>
    <row r="263" ht="83.75" customHeight="1" s="151">
      <c r="A263" s="18" t="n"/>
      <c r="B263" s="18" t="n"/>
      <c r="C263" s="17" t="n">
        <v>46093</v>
      </c>
      <c r="D263" s="18" t="inlineStr">
        <is>
          <t>电商</t>
        </is>
      </c>
      <c r="E263" s="18" t="inlineStr">
        <is>
          <t>紫薯小家🍠</t>
        </is>
      </c>
      <c r="F263" s="122" t="n"/>
      <c r="G263" s="122" t="inlineStr">
        <is>
          <t>https://pgy.xiaohongshu.com/solar/pre-trade/blogger-detail/61a9c0080000000010009ffa?track_id=kolMatch_b2d36be9ebf3459f95d50154f8eb49c6&amp;source=Advertiser_Kol</t>
        </is>
      </c>
      <c r="H263" s="122" t="inlineStr">
        <is>
          <t>https://www.xiaohongshu.com/user/profile/61a9c0080000000010009ffa</t>
        </is>
      </c>
      <c r="I263" s="18" t="n">
        <v>8048999246</v>
      </c>
      <c r="J263" s="18" t="n"/>
      <c r="K263" s="18" t="inlineStr">
        <is>
          <t>家居家装</t>
        </is>
      </c>
      <c r="L263" s="18" t="inlineStr">
        <is>
          <t>koc</t>
        </is>
      </c>
      <c r="M263" s="18" t="n">
        <v>1.8</v>
      </c>
      <c r="N263" s="18" t="n">
        <v>75.90000000000001</v>
      </c>
      <c r="O263" s="18" t="inlineStr">
        <is>
          <t>图文</t>
        </is>
      </c>
      <c r="P263" s="21" t="n">
        <v>0.92</v>
      </c>
      <c r="Q263" s="18" t="n"/>
      <c r="R263" s="18" t="n"/>
      <c r="S263" s="18" t="n"/>
      <c r="T263" s="21" t="n">
        <v>0.31</v>
      </c>
      <c r="U263" s="21" t="n">
        <v>0.22</v>
      </c>
      <c r="V263" s="22" t="n">
        <v>10421</v>
      </c>
      <c r="W263" s="18" t="n">
        <v>514</v>
      </c>
      <c r="X263" s="18" t="n">
        <v>2000</v>
      </c>
      <c r="Y263" s="18">
        <f>X263*1.1</f>
        <v/>
      </c>
      <c r="Z263" s="20">
        <f>Y263/V263</f>
        <v/>
      </c>
      <c r="AA263" s="20">
        <f>Y263/W263</f>
        <v/>
      </c>
      <c r="AB263" s="18" t="n"/>
      <c r="AC263" s="18" t="n"/>
      <c r="AD263" s="18" t="n"/>
      <c r="AE263" s="18" t="n"/>
    </row>
    <row r="264">
      <c r="A264" s="18" t="n"/>
      <c r="B264" s="18" t="n"/>
      <c r="C264" s="17" t="n">
        <v>46093</v>
      </c>
      <c r="D264" s="18" t="inlineStr">
        <is>
          <t>品牌</t>
        </is>
      </c>
      <c r="E264" s="18" t="inlineStr">
        <is>
          <t>依依食记</t>
        </is>
      </c>
      <c r="F264" s="122" t="n"/>
      <c r="G264" s="122" t="inlineStr">
        <is>
          <t>https://pgy.xiaohongshu.com/solar/pre-trade/blogger-detail/6275160c0000000021020a99?track_id=kolSearch_62a4a4131a9143d0a2804384970217ad&amp;source=Advertiser_Kol</t>
        </is>
      </c>
      <c r="H264" s="122" t="inlineStr">
        <is>
          <t>https://www.xiaohongshu.com/user/profile/6275160c0000000021020a99</t>
        </is>
      </c>
      <c r="I264" s="18" t="inlineStr">
        <is>
          <t>yutumama8</t>
        </is>
      </c>
      <c r="J264" s="18" t="n"/>
      <c r="K264" s="18" t="inlineStr">
        <is>
          <t>美食</t>
        </is>
      </c>
      <c r="L264" s="18" t="inlineStr">
        <is>
          <t>koc</t>
        </is>
      </c>
      <c r="M264" s="18" t="n">
        <v>4</v>
      </c>
      <c r="N264" s="18" t="n">
        <v>92</v>
      </c>
      <c r="O264" s="18" t="inlineStr">
        <is>
          <t>图文</t>
        </is>
      </c>
      <c r="P264" s="21" t="n">
        <v>0.9</v>
      </c>
      <c r="Q264" s="21" t="n">
        <v>0.12</v>
      </c>
      <c r="R264" s="21" t="n">
        <v>0.5</v>
      </c>
      <c r="S264" s="21" t="n">
        <v>0.26</v>
      </c>
      <c r="T264" s="21" t="n">
        <v>0.48</v>
      </c>
      <c r="U264" s="21" t="n">
        <v>0.16</v>
      </c>
      <c r="V264" s="22" t="n">
        <v>5182</v>
      </c>
      <c r="W264" s="18" t="n">
        <v>379</v>
      </c>
      <c r="X264" s="18" t="n">
        <v>1000</v>
      </c>
      <c r="Y264" s="18">
        <f>X264*1.1</f>
        <v/>
      </c>
      <c r="Z264" s="20">
        <f>Y264/V264</f>
        <v/>
      </c>
      <c r="AA264" s="20">
        <f>Y264/W264</f>
        <v/>
      </c>
      <c r="AB264" s="18" t="n"/>
      <c r="AC264" s="18" t="n"/>
      <c r="AD264" s="18" t="n"/>
      <c r="AE264" s="18" t="n"/>
    </row>
    <row r="265">
      <c r="A265" s="18" t="n"/>
      <c r="B265" s="18" t="n"/>
      <c r="C265" s="17" t="n">
        <v>46093</v>
      </c>
      <c r="D265" s="18" t="inlineStr">
        <is>
          <t>品牌</t>
        </is>
      </c>
      <c r="E265" s="18" t="inlineStr">
        <is>
          <t>橙橙爱家居</t>
        </is>
      </c>
      <c r="F265" s="122" t="n"/>
      <c r="G265" s="122" t="inlineStr">
        <is>
          <t>https://pgy.xiaohongshu.com/solar/pre-trade/blogger-detail/6222daf60000000010008efd?track_id=kolMatch_e537f5a5d271477e95a6b3639552c90f&amp;source=Advertiser_Kol</t>
        </is>
      </c>
      <c r="H265" s="122" t="inlineStr">
        <is>
          <t>https://www.xiaohongshu.com/user/profile/6222daf60000000010008efd</t>
        </is>
      </c>
      <c r="I265" s="18" t="n">
        <v>5234189178</v>
      </c>
      <c r="J265" s="18" t="n"/>
      <c r="K265" s="18" t="inlineStr">
        <is>
          <t>家居家装</t>
        </is>
      </c>
      <c r="L265" s="18" t="inlineStr">
        <is>
          <t>koc</t>
        </is>
      </c>
      <c r="M265" s="18" t="n">
        <v>1.5</v>
      </c>
      <c r="N265" s="18" t="n">
        <v>28.5</v>
      </c>
      <c r="O265" s="18" t="inlineStr">
        <is>
          <t>图文</t>
        </is>
      </c>
      <c r="P265" s="21" t="n">
        <v>0.34</v>
      </c>
      <c r="Q265" s="21" t="n">
        <v>0.15</v>
      </c>
      <c r="R265" s="21" t="n">
        <v>0.25</v>
      </c>
      <c r="S265" s="21" t="n">
        <v>0.4</v>
      </c>
      <c r="T265" s="21" t="n">
        <v>0.32</v>
      </c>
      <c r="U265" s="21" t="n">
        <v>0.22</v>
      </c>
      <c r="V265" s="18" t="n">
        <v>4900</v>
      </c>
      <c r="W265" s="18" t="n">
        <v>330</v>
      </c>
      <c r="X265" s="18" t="n">
        <v>1500</v>
      </c>
      <c r="Y265" s="18">
        <f>X265*1.1</f>
        <v/>
      </c>
      <c r="Z265" s="20">
        <f>Y265/V265</f>
        <v/>
      </c>
      <c r="AA265" s="20">
        <f>Y265/W265</f>
        <v/>
      </c>
      <c r="AB265" s="18" t="n"/>
      <c r="AC265" s="18" t="n"/>
      <c r="AD265" s="18" t="n"/>
      <c r="AE265" s="18" t="n"/>
    </row>
    <row r="266">
      <c r="A266" s="18" t="n"/>
      <c r="B266" s="18" t="n"/>
      <c r="C266" s="17" t="n">
        <v>46093</v>
      </c>
      <c r="D266" s="18" t="inlineStr">
        <is>
          <t>品牌</t>
        </is>
      </c>
      <c r="E266" s="18" t="inlineStr">
        <is>
          <t>知知🏠</t>
        </is>
      </c>
      <c r="F266" s="122" t="n"/>
      <c r="G266" s="122" t="inlineStr">
        <is>
          <t>https://pgy.xiaohongshu.com/solar/pre-trade/blogger-detail/6030d541000000000101cc9c?track_id=kolMatch_e537f5a5d271477e95a6b3639552c90f&amp;source=Advertiser_Kol</t>
        </is>
      </c>
      <c r="H266" s="122" t="inlineStr">
        <is>
          <t>https://www.xiaohongshu.com/user/profile/6030d541000000000101cc9c</t>
        </is>
      </c>
      <c r="I266" s="18" t="inlineStr">
        <is>
          <t>Zy20230913</t>
        </is>
      </c>
      <c r="J266" s="18" t="n"/>
      <c r="K266" s="18" t="inlineStr">
        <is>
          <t>家居家装</t>
        </is>
      </c>
      <c r="L266" s="18" t="inlineStr">
        <is>
          <t>koc</t>
        </is>
      </c>
      <c r="M266" s="18" t="n">
        <v>1.7</v>
      </c>
      <c r="N266" s="18" t="n">
        <v>6.6</v>
      </c>
      <c r="O266" s="18" t="inlineStr">
        <is>
          <t>图文</t>
        </is>
      </c>
      <c r="P266" s="21" t="n">
        <v>0.75</v>
      </c>
      <c r="Q266" s="21" t="n">
        <v>0.16</v>
      </c>
      <c r="R266" s="21" t="n">
        <v>0.2</v>
      </c>
      <c r="S266" s="21" t="n">
        <v>0.24</v>
      </c>
      <c r="T266" s="21" t="n">
        <v>0.19</v>
      </c>
      <c r="U266" s="21" t="n">
        <v>0.24</v>
      </c>
      <c r="V266" s="22" t="n">
        <v>4520</v>
      </c>
      <c r="W266" s="18" t="n">
        <v>523</v>
      </c>
      <c r="X266" s="18" t="n">
        <v>2000</v>
      </c>
      <c r="Y266" s="18">
        <f>X266*1.1</f>
        <v/>
      </c>
      <c r="Z266" s="20">
        <f>Y266/V266</f>
        <v/>
      </c>
      <c r="AA266" s="20">
        <f>Y266/W266</f>
        <v/>
      </c>
      <c r="AB266" s="18" t="n"/>
      <c r="AC266" s="18" t="n"/>
      <c r="AD266" s="18" t="n"/>
      <c r="AE266" s="18" t="n"/>
    </row>
    <row r="267">
      <c r="A267" s="18" t="n"/>
      <c r="B267" s="18" t="n"/>
      <c r="C267" s="17" t="n">
        <v>46093</v>
      </c>
      <c r="D267" s="18" t="inlineStr">
        <is>
          <t>品牌</t>
        </is>
      </c>
      <c r="E267" s="18" t="inlineStr">
        <is>
          <t>家电小侦探</t>
        </is>
      </c>
      <c r="F267" s="122" t="n"/>
      <c r="G267" s="122" t="inlineStr">
        <is>
          <t>https://pgy.xiaohongshu.com/solar/pre-trade/blogger-detail/68294f6d000000000e0121c5?track_id=kolMatch_e537f5a5d271477e95a6b3639552c90f&amp;source=Advertiser_Kol</t>
        </is>
      </c>
      <c r="H267" s="122" t="inlineStr">
        <is>
          <t>https://www.xiaohongshu.com/user/profile/68294f6d000000000e0121c5</t>
        </is>
      </c>
      <c r="I267" s="18" t="n">
        <v>95032272275</v>
      </c>
      <c r="J267" s="18" t="n"/>
      <c r="K267" s="18" t="inlineStr">
        <is>
          <t>家居家装</t>
        </is>
      </c>
      <c r="L267" s="18" t="inlineStr">
        <is>
          <t>koc</t>
        </is>
      </c>
      <c r="M267" s="18" t="n">
        <v>1.4</v>
      </c>
      <c r="N267" s="18" t="n">
        <v>8.1</v>
      </c>
      <c r="O267" s="18" t="inlineStr">
        <is>
          <t>图文</t>
        </is>
      </c>
      <c r="P267" s="21" t="n">
        <v>0.64</v>
      </c>
      <c r="Q267" s="21" t="n">
        <v>0.08</v>
      </c>
      <c r="R267" s="21" t="n">
        <v>0.41</v>
      </c>
      <c r="S267" s="21" t="n">
        <v>0.32</v>
      </c>
      <c r="T267" s="21" t="n">
        <v>0.44</v>
      </c>
      <c r="U267" s="21" t="n">
        <v>0.18</v>
      </c>
      <c r="V267" s="22" t="n">
        <v>6801</v>
      </c>
      <c r="W267" s="18" t="n">
        <v>390</v>
      </c>
      <c r="X267" s="18" t="n">
        <v>2000</v>
      </c>
      <c r="Y267" s="18">
        <f>X267*1.1</f>
        <v/>
      </c>
      <c r="Z267" s="20">
        <f>Y267/V267</f>
        <v/>
      </c>
      <c r="AA267" s="20">
        <f>Y267/W267</f>
        <v/>
      </c>
      <c r="AB267" s="18" t="n"/>
      <c r="AC267" s="18" t="n"/>
      <c r="AD267" s="18" t="n"/>
      <c r="AE267" s="18" t="n"/>
    </row>
    <row r="268">
      <c r="A268" s="18" t="n"/>
      <c r="B268" s="18" t="n"/>
      <c r="C268" s="17" t="n">
        <v>46093</v>
      </c>
      <c r="D268" s="18" t="inlineStr">
        <is>
          <t>品牌</t>
        </is>
      </c>
      <c r="E268" s="18" t="inlineStr">
        <is>
          <t>雨小暖的家</t>
        </is>
      </c>
      <c r="F268" s="122" t="n"/>
      <c r="G268" s="122" t="inlineStr">
        <is>
          <t>https://pgy.xiaohongshu.com/solar/pre-trade/blogger-detail/67dafeed000000000a03f4ea?track_id=kolMatch_c1f0a61264524609927a82460c87b14f&amp;source=Advertiser_Kol</t>
        </is>
      </c>
      <c r="H268" s="122" t="inlineStr">
        <is>
          <t>https://www.xiaohongshu.com/user/profile/67dafeed000000000a03f4ea</t>
        </is>
      </c>
      <c r="I268" s="18" t="n">
        <v>95463613495</v>
      </c>
      <c r="J268" s="18" t="n"/>
      <c r="K268" s="18" t="inlineStr">
        <is>
          <t>家居家装</t>
        </is>
      </c>
      <c r="L268" s="18" t="inlineStr">
        <is>
          <t>koc</t>
        </is>
      </c>
      <c r="M268" s="18" t="n">
        <v>1.2</v>
      </c>
      <c r="N268" s="18" t="n">
        <v>5.4</v>
      </c>
      <c r="O268" s="18" t="inlineStr">
        <is>
          <t>图文</t>
        </is>
      </c>
      <c r="P268" s="21" t="n">
        <v>0.67</v>
      </c>
      <c r="Q268" s="21" t="n">
        <v>0.15</v>
      </c>
      <c r="R268" s="21" t="n">
        <v>0.37</v>
      </c>
      <c r="S268" s="21" t="n">
        <v>0.29</v>
      </c>
      <c r="T268" s="21" t="n">
        <v>0.62</v>
      </c>
      <c r="U268" s="21" t="n">
        <v>0.1</v>
      </c>
      <c r="V268" s="22" t="n">
        <v>4533</v>
      </c>
      <c r="W268" s="18" t="n">
        <v>231</v>
      </c>
      <c r="X268" s="18" t="n">
        <v>1500</v>
      </c>
      <c r="Y268" s="18">
        <f>X268*1.1</f>
        <v/>
      </c>
      <c r="Z268" s="20">
        <f>Y268/V268</f>
        <v/>
      </c>
      <c r="AA268" s="20">
        <f>Y268/W268</f>
        <v/>
      </c>
      <c r="AB268" s="18" t="n"/>
      <c r="AC268" s="18" t="n"/>
      <c r="AD268" s="18" t="n"/>
      <c r="AE268" s="18" t="n"/>
    </row>
    <row r="269">
      <c r="A269" s="18" t="n"/>
      <c r="B269" s="18" t="n"/>
      <c r="C269" s="17" t="n">
        <v>46093</v>
      </c>
      <c r="D269" s="18" t="inlineStr">
        <is>
          <t>品牌</t>
        </is>
      </c>
      <c r="E269" s="18" t="inlineStr">
        <is>
          <t>是十亿呀</t>
        </is>
      </c>
      <c r="F269" s="122" t="n"/>
      <c r="G269" s="122" t="inlineStr">
        <is>
          <t>https://pgy.xiaohongshu.com/solar/pre-trade/blogger-detail/65a4be2c0000000003027450?track_id=kolMatch_c1f0a61264524609927a82460c87b14f&amp;source=Advertiser_Kol</t>
        </is>
      </c>
      <c r="H269" s="122" t="inlineStr">
        <is>
          <t>https://www.xiaohongshu.com/user/profile/65a4be2c0000000003027450</t>
        </is>
      </c>
      <c r="I269" s="18" t="inlineStr">
        <is>
          <t>Mingqi141343</t>
        </is>
      </c>
      <c r="J269" s="18" t="n"/>
      <c r="K269" s="18" t="inlineStr">
        <is>
          <t>家居家装</t>
        </is>
      </c>
      <c r="L269" s="18" t="inlineStr">
        <is>
          <t>koc</t>
        </is>
      </c>
      <c r="M269" s="18" t="n">
        <v>1.4</v>
      </c>
      <c r="N269" s="18" t="n">
        <v>6.8</v>
      </c>
      <c r="O269" s="18" t="inlineStr">
        <is>
          <t>图文</t>
        </is>
      </c>
      <c r="P269" s="21" t="n">
        <v>0.82</v>
      </c>
      <c r="Q269" s="21" t="n">
        <v>0.12</v>
      </c>
      <c r="R269" s="21" t="n">
        <v>0.34</v>
      </c>
      <c r="S269" s="21" t="n">
        <v>0.23</v>
      </c>
      <c r="T269" s="21" t="n">
        <v>0.16</v>
      </c>
      <c r="U269" s="21" t="n">
        <v>0.32</v>
      </c>
      <c r="V269" s="22" t="n">
        <v>6082</v>
      </c>
      <c r="W269" s="18" t="n">
        <v>536</v>
      </c>
      <c r="X269" s="18" t="n">
        <v>1500</v>
      </c>
      <c r="Y269" s="18">
        <f>X269*1.1</f>
        <v/>
      </c>
      <c r="Z269" s="20">
        <f>Y269/V269</f>
        <v/>
      </c>
      <c r="AA269" s="20">
        <f>Y269/W269</f>
        <v/>
      </c>
      <c r="AB269" s="18" t="n"/>
      <c r="AC269" s="18" t="n"/>
      <c r="AD269" s="18" t="n"/>
      <c r="AE269" s="18" t="n"/>
    </row>
    <row r="270">
      <c r="A270" s="18" t="n"/>
      <c r="B270" s="18" t="n"/>
      <c r="C270" s="17" t="n">
        <v>46093</v>
      </c>
      <c r="D270" s="18" t="inlineStr">
        <is>
          <t>品牌</t>
        </is>
      </c>
      <c r="E270" s="18" t="inlineStr">
        <is>
          <t>李李</t>
        </is>
      </c>
      <c r="F270" s="122" t="n"/>
      <c r="G270" s="122" t="inlineStr">
        <is>
          <t>https://pgy.xiaohongshu.com/solar/pre-trade/blogger-detail/666fe6b700000000030316f0?track_id=kolMatch_2052b719e5d24036a913e9f5cd6a151d&amp;source=Advertiser_Kol</t>
        </is>
      </c>
      <c r="H270" s="122" t="inlineStr">
        <is>
          <t>https://www.xiaohongshu.com/user/profile/666fe6b700000000030316f0</t>
        </is>
      </c>
      <c r="I270" s="18" t="inlineStr">
        <is>
          <t>zfy0521</t>
        </is>
      </c>
      <c r="J270" s="18" t="n"/>
      <c r="K270" s="18" t="inlineStr">
        <is>
          <t>美食</t>
        </is>
      </c>
      <c r="L270" s="18" t="inlineStr">
        <is>
          <t>koc</t>
        </is>
      </c>
      <c r="M270" s="18" t="n">
        <v>8.800000000000001</v>
      </c>
      <c r="N270" s="18" t="n">
        <v>49.4</v>
      </c>
      <c r="O270" s="18" t="inlineStr">
        <is>
          <t>图文</t>
        </is>
      </c>
      <c r="P270" s="21" t="n">
        <v>0.92</v>
      </c>
      <c r="Q270" s="21" t="n">
        <v>0.17</v>
      </c>
      <c r="R270" s="21" t="n">
        <v>0.58</v>
      </c>
      <c r="S270" s="21" t="n">
        <v>0.18</v>
      </c>
      <c r="T270" s="21" t="n">
        <v>0.66</v>
      </c>
      <c r="U270" s="21" t="n">
        <v>0.12</v>
      </c>
      <c r="V270" s="22" t="n">
        <v>16998</v>
      </c>
      <c r="W270" s="18" t="n">
        <v>609</v>
      </c>
      <c r="X270" s="18" t="n">
        <v>2000</v>
      </c>
      <c r="Y270" s="18">
        <f>X270*1.1</f>
        <v/>
      </c>
      <c r="Z270" s="20">
        <f>Y270/V270</f>
        <v/>
      </c>
      <c r="AA270" s="20">
        <f>Y270/W270</f>
        <v/>
      </c>
      <c r="AB270" s="18" t="n"/>
      <c r="AC270" s="18" t="n"/>
      <c r="AD270" s="18" t="n"/>
      <c r="AE270" s="18" t="n"/>
    </row>
    <row r="271">
      <c r="A271" s="18" t="n"/>
      <c r="B271" s="18" t="n"/>
      <c r="C271" s="17" t="n">
        <v>46093</v>
      </c>
      <c r="D271" s="18" t="inlineStr">
        <is>
          <t>品牌</t>
        </is>
      </c>
      <c r="E271" s="18" t="inlineStr">
        <is>
          <t>阿杜的装修日记</t>
        </is>
      </c>
      <c r="F271" s="122" t="n"/>
      <c r="G271" s="122" t="inlineStr">
        <is>
          <t>https://pgy.xiaohongshu.com/solar/pre-trade/blogger-detail/5ed46d26000000000101cfa0?track_id=kolMatch_c1f0a61264524609927a82460c87b14f&amp;source=Advertiser_Kol</t>
        </is>
      </c>
      <c r="H271" s="122" t="inlineStr">
        <is>
          <t>https://www.xiaohongshu.com/user/profile/5ed46d26000000000101cfa0</t>
        </is>
      </c>
      <c r="I271" s="18" t="n">
        <v>198366484</v>
      </c>
      <c r="J271" s="18" t="n"/>
      <c r="K271" s="18" t="inlineStr">
        <is>
          <t>家居家装</t>
        </is>
      </c>
      <c r="L271" s="18" t="inlineStr">
        <is>
          <t>koc</t>
        </is>
      </c>
      <c r="M271" s="18" t="n">
        <v>2.1</v>
      </c>
      <c r="N271" s="18" t="n">
        <v>10.6</v>
      </c>
      <c r="O271" s="18" t="inlineStr">
        <is>
          <t>图文</t>
        </is>
      </c>
      <c r="P271" s="21" t="n">
        <v>0.73</v>
      </c>
      <c r="Q271" s="21" t="n">
        <v>0.07000000000000001</v>
      </c>
      <c r="R271" s="21" t="n">
        <v>0.26</v>
      </c>
      <c r="S271" s="21" t="n">
        <v>0.31</v>
      </c>
      <c r="T271" s="21" t="n">
        <v>0.3</v>
      </c>
      <c r="U271" s="21" t="n">
        <v>0.25</v>
      </c>
      <c r="V271" s="22" t="n">
        <v>5788</v>
      </c>
      <c r="W271" s="18" t="n">
        <v>277</v>
      </c>
      <c r="X271" s="18" t="n">
        <v>2000</v>
      </c>
      <c r="Y271" s="18">
        <f>X271*1.1</f>
        <v/>
      </c>
      <c r="Z271" s="20">
        <f>Y271/V271</f>
        <v/>
      </c>
      <c r="AA271" s="20">
        <f>Y271/W271</f>
        <v/>
      </c>
      <c r="AB271" s="18" t="n"/>
      <c r="AC271" s="18" t="n"/>
      <c r="AD271" s="18" t="n"/>
      <c r="AE271" s="18" t="n"/>
    </row>
    <row r="272">
      <c r="A272" s="18" t="n"/>
      <c r="B272" s="18" t="n"/>
      <c r="C272" s="17" t="n">
        <v>46093</v>
      </c>
      <c r="D272" s="18" t="inlineStr">
        <is>
          <t>品牌</t>
        </is>
      </c>
      <c r="E272" s="18" t="inlineStr">
        <is>
          <t>小刘同学呐</t>
        </is>
      </c>
      <c r="F272" s="122" t="n"/>
      <c r="G272" s="122" t="inlineStr">
        <is>
          <t>https://pgy.xiaohongshu.com/solar/pre-trade/blogger-detail/60644e3100000000010030a5?track_id=kolMatch_c1f0a61264524609927a82460c87b14f&amp;source=Advertiser_Kol</t>
        </is>
      </c>
      <c r="H272" s="122" t="inlineStr">
        <is>
          <t>https://www.xiaohongshu.com/user/profile/60644e3100000000010030a5</t>
        </is>
      </c>
      <c r="I272" s="18" t="n">
        <v>94151742420</v>
      </c>
      <c r="J272" s="18" t="n"/>
      <c r="K272" s="18" t="inlineStr">
        <is>
          <t>家居家装</t>
        </is>
      </c>
      <c r="L272" s="18" t="inlineStr">
        <is>
          <t>koc</t>
        </is>
      </c>
      <c r="M272" s="18" t="n">
        <v>1.6</v>
      </c>
      <c r="N272" s="18" t="n">
        <v>8.199999999999999</v>
      </c>
      <c r="O272" s="18" t="inlineStr">
        <is>
          <t>图文</t>
        </is>
      </c>
      <c r="P272" s="21" t="n">
        <v>0.78</v>
      </c>
      <c r="Q272" s="21" t="n">
        <v>0.14</v>
      </c>
      <c r="R272" s="21" t="n">
        <v>0.3</v>
      </c>
      <c r="S272" s="21" t="n">
        <v>0.22</v>
      </c>
      <c r="T272" s="21" t="n">
        <v>0.28</v>
      </c>
      <c r="U272" s="21" t="n">
        <v>0.23</v>
      </c>
      <c r="V272" s="22" t="n">
        <v>2189</v>
      </c>
      <c r="W272" s="18" t="n">
        <v>122</v>
      </c>
      <c r="X272" s="18" t="n">
        <v>2000</v>
      </c>
      <c r="Y272" s="18">
        <f>X272*1.1</f>
        <v/>
      </c>
      <c r="Z272" s="20">
        <f>Y272/V272</f>
        <v/>
      </c>
      <c r="AA272" s="20">
        <f>Y272/W272</f>
        <v/>
      </c>
      <c r="AB272" s="18" t="n"/>
      <c r="AC272" s="18" t="n"/>
      <c r="AD272" s="18" t="n"/>
      <c r="AE272" s="18" t="n"/>
    </row>
    <row r="273">
      <c r="A273" s="18" t="n"/>
      <c r="B273" s="18" t="n"/>
      <c r="C273" s="17" t="n">
        <v>46093</v>
      </c>
      <c r="D273" s="18" t="inlineStr">
        <is>
          <t>品牌</t>
        </is>
      </c>
      <c r="E273" s="18" t="inlineStr">
        <is>
          <t>嘢嘢的窝</t>
        </is>
      </c>
      <c r="F273" s="122" t="n"/>
      <c r="G273" s="122" t="inlineStr">
        <is>
          <t>https://pgy.xiaohongshu.com/solar/pre-trade/blogger-detail/5659c2ab44760852c355e9c6?track_id=kolMatch_b2d36be9ebf3459f95d50154f8eb49c6&amp;source=Advertiser_Kol</t>
        </is>
      </c>
      <c r="H273" s="122" t="inlineStr">
        <is>
          <t>https://www.xiaohongshu.com/user/profile/5659c2ab44760852c355e9c6</t>
        </is>
      </c>
      <c r="I273" s="18" t="inlineStr">
        <is>
          <t>MelodyH</t>
        </is>
      </c>
      <c r="J273" s="18" t="n"/>
      <c r="K273" s="18" t="inlineStr">
        <is>
          <t>家居家装</t>
        </is>
      </c>
      <c r="L273" s="18" t="inlineStr">
        <is>
          <t>koc</t>
        </is>
      </c>
      <c r="M273" s="18" t="n">
        <v>0.4</v>
      </c>
      <c r="N273" s="18" t="n">
        <v>3.7</v>
      </c>
      <c r="O273" s="18" t="inlineStr">
        <is>
          <t>图文</t>
        </is>
      </c>
      <c r="P273" s="21" t="n">
        <v>0.79</v>
      </c>
      <c r="Q273" s="21" t="n">
        <v>0.13</v>
      </c>
      <c r="R273" s="21" t="n">
        <v>0.51</v>
      </c>
      <c r="S273" s="21" t="n">
        <v>0.18</v>
      </c>
      <c r="T273" s="21" t="n">
        <v>0.37</v>
      </c>
      <c r="U273" s="21" t="n">
        <v>0.2</v>
      </c>
      <c r="V273" s="22" t="n">
        <v>2763</v>
      </c>
      <c r="W273" s="18" t="n">
        <v>270</v>
      </c>
      <c r="X273" s="18" t="n">
        <v>1300</v>
      </c>
      <c r="Y273" s="18">
        <f>X273*1.1</f>
        <v/>
      </c>
      <c r="Z273" s="20">
        <f>Y273/V273</f>
        <v/>
      </c>
      <c r="AA273" s="20">
        <f>Y273/W273</f>
        <v/>
      </c>
      <c r="AB273" s="18" t="n"/>
      <c r="AC273" s="18" t="n"/>
      <c r="AD273" s="18" t="n"/>
      <c r="AE273" s="18" t="n"/>
    </row>
    <row r="274">
      <c r="A274" s="18" t="n"/>
      <c r="B274" s="18" t="n"/>
      <c r="C274" s="17" t="n">
        <v>46093</v>
      </c>
      <c r="D274" s="18" t="inlineStr">
        <is>
          <t>品牌</t>
        </is>
      </c>
      <c r="E274" s="18" t="inlineStr">
        <is>
          <t>九八五家居测评</t>
        </is>
      </c>
      <c r="F274" s="122" t="n"/>
      <c r="G274" s="122" t="inlineStr">
        <is>
          <t>https://pgy.xiaohongshu.com/solar/pre-trade/blogger-detail/682dae24000000000e0108e5?track_id=kolMatch_b2d36be9ebf3459f95d50154f8eb49c6&amp;source=Advertiser_Kol</t>
        </is>
      </c>
      <c r="H274" s="122" t="inlineStr">
        <is>
          <t>https://www.xiaohongshu.com/user/profile/682dae24000000000e0108e5</t>
        </is>
      </c>
      <c r="I274" s="18" t="inlineStr">
        <is>
          <t>jiubawu9850</t>
        </is>
      </c>
      <c r="J274" s="18" t="n"/>
      <c r="K274" s="18" t="inlineStr">
        <is>
          <t>家居家装</t>
        </is>
      </c>
      <c r="L274" s="18" t="inlineStr">
        <is>
          <t>koc</t>
        </is>
      </c>
      <c r="M274" s="18" t="n">
        <v>1.2</v>
      </c>
      <c r="N274" s="18" t="n">
        <v>15.5</v>
      </c>
      <c r="O274" s="18" t="inlineStr">
        <is>
          <t>图文</t>
        </is>
      </c>
      <c r="P274" s="21" t="n">
        <v>0.76</v>
      </c>
      <c r="Q274" s="21" t="n">
        <v>0.09</v>
      </c>
      <c r="R274" s="21" t="n">
        <v>0.46</v>
      </c>
      <c r="S274" s="21" t="n">
        <v>0.3</v>
      </c>
      <c r="T274" s="21" t="n">
        <v>0.54</v>
      </c>
      <c r="U274" s="21" t="n">
        <v>0.15</v>
      </c>
      <c r="V274" s="22" t="n">
        <v>8346</v>
      </c>
      <c r="W274" s="18" t="n">
        <v>397</v>
      </c>
      <c r="X274" s="18" t="n">
        <v>2000</v>
      </c>
      <c r="Y274" s="18">
        <f>X274*1.1</f>
        <v/>
      </c>
      <c r="Z274" s="20">
        <f>Y274/V274</f>
        <v/>
      </c>
      <c r="AA274" s="20">
        <f>Y274/W274</f>
        <v/>
      </c>
      <c r="AB274" s="18" t="n"/>
      <c r="AC274" s="18" t="n"/>
      <c r="AD274" s="18" t="n"/>
      <c r="AE274" s="18" t="n"/>
    </row>
    <row r="275">
      <c r="A275" s="18" t="n"/>
      <c r="B275" s="18" t="n"/>
      <c r="C275" s="17" t="n">
        <v>46093</v>
      </c>
      <c r="D275" s="18" t="inlineStr">
        <is>
          <t>品牌</t>
        </is>
      </c>
      <c r="E275" s="18" t="inlineStr">
        <is>
          <t>Rose</t>
        </is>
      </c>
      <c r="F275" s="122" t="n"/>
      <c r="G275" s="122" t="inlineStr">
        <is>
          <t>https://pgy.xiaohongshu.com/solar/pre-trade/blogger-detail/6544c47d000000000d005098?track_id=kolSimilar_fb779faba42246f38b62156cf7dbda60&amp;source=Advertiser_Similar_Kol</t>
        </is>
      </c>
      <c r="H275" s="122" t="inlineStr">
        <is>
          <t>https://www.xiaohongshu.com/user/profile/6544c47d000000000d005098</t>
        </is>
      </c>
      <c r="I275" s="18" t="inlineStr">
        <is>
          <t>Rose111111119</t>
        </is>
      </c>
      <c r="J275" s="18" t="n"/>
      <c r="K275" s="18" t="inlineStr">
        <is>
          <t>家居家装</t>
        </is>
      </c>
      <c r="L275" s="18" t="inlineStr">
        <is>
          <t>koc</t>
        </is>
      </c>
      <c r="M275" s="18" t="n">
        <v>0.6</v>
      </c>
      <c r="N275" s="18" t="n">
        <v>7.8</v>
      </c>
      <c r="O275" s="18" t="inlineStr">
        <is>
          <t>图文</t>
        </is>
      </c>
      <c r="P275" s="21" t="n">
        <v>0.95</v>
      </c>
      <c r="Q275" s="21" t="n">
        <v>0.09</v>
      </c>
      <c r="R275" s="21" t="n">
        <v>0.45</v>
      </c>
      <c r="S275" s="21" t="n">
        <v>0.26</v>
      </c>
      <c r="T275" s="21" t="n">
        <v>0.63</v>
      </c>
      <c r="U275" s="21" t="n">
        <v>0.13</v>
      </c>
      <c r="V275" s="18" t="n">
        <v>1500</v>
      </c>
      <c r="W275" s="18" t="n">
        <v>110</v>
      </c>
      <c r="X275" s="18" t="n">
        <v>1500</v>
      </c>
      <c r="Y275" s="18">
        <f>X275*1.1</f>
        <v/>
      </c>
      <c r="Z275" s="20">
        <f>Y275/V275</f>
        <v/>
      </c>
      <c r="AA275" s="20">
        <f>Y275/W275</f>
        <v/>
      </c>
      <c r="AB275" s="18" t="n"/>
      <c r="AC275" s="18" t="n"/>
      <c r="AD275" s="18" t="n"/>
      <c r="AE275" s="18" t="n"/>
    </row>
    <row r="276">
      <c r="A276" s="18" t="n"/>
      <c r="B276" s="18" t="n"/>
      <c r="C276" s="17" t="n">
        <v>46093</v>
      </c>
      <c r="D276" s="18" t="inlineStr">
        <is>
          <t>品牌</t>
        </is>
      </c>
      <c r="E276" s="18" t="inlineStr">
        <is>
          <t>等敏敏呀</t>
        </is>
      </c>
      <c r="F276" s="122" t="n"/>
      <c r="G276" s="122" t="inlineStr">
        <is>
          <t>https://pgy.xiaohongshu.com/solar/pre-trade/blogger-detail/58ece54d82ec39342ce3ac0b?track_id=kolMatch_2052b719e5d24036a913e9f5cd6a151d&amp;source=Advertiser_Kol</t>
        </is>
      </c>
      <c r="H276" s="122" t="inlineStr">
        <is>
          <t>https://www.xiaohongshu.com/user/profile/58ece54d82ec39342ce3ac0b</t>
        </is>
      </c>
      <c r="I276" s="18" t="inlineStr">
        <is>
          <t>Jiem0228</t>
        </is>
      </c>
      <c r="J276" s="18" t="n"/>
      <c r="K276" s="18" t="inlineStr">
        <is>
          <t>美食</t>
        </is>
      </c>
      <c r="L276" s="18" t="inlineStr">
        <is>
          <t>koc</t>
        </is>
      </c>
      <c r="M276" s="18" t="n">
        <v>5.7</v>
      </c>
      <c r="N276" s="18" t="n">
        <v>25.3</v>
      </c>
      <c r="O276" s="18" t="inlineStr">
        <is>
          <t>图文</t>
        </is>
      </c>
      <c r="P276" s="21" t="n">
        <v>0.91</v>
      </c>
      <c r="Q276" s="21" t="n">
        <v>0.26</v>
      </c>
      <c r="R276" s="21" t="n">
        <v>0.51</v>
      </c>
      <c r="S276" s="21" t="n">
        <v>0.14</v>
      </c>
      <c r="T276" s="21" t="n">
        <v>0.61</v>
      </c>
      <c r="U276" s="21" t="n">
        <v>0.11</v>
      </c>
      <c r="V276" s="22" t="n">
        <v>19477</v>
      </c>
      <c r="W276" s="22" t="n">
        <v>1105</v>
      </c>
      <c r="X276" s="18" t="n">
        <v>1300</v>
      </c>
      <c r="Y276" s="18">
        <f>X276*1.1</f>
        <v/>
      </c>
      <c r="Z276" s="20">
        <f>Y276/V276</f>
        <v/>
      </c>
      <c r="AA276" s="20">
        <f>Y276/W276</f>
        <v/>
      </c>
      <c r="AB276" s="18" t="n"/>
      <c r="AC276" s="18" t="n"/>
      <c r="AD276" s="18" t="n"/>
      <c r="AE276" s="18" t="n"/>
    </row>
    <row r="277">
      <c r="A277" s="18" t="n"/>
      <c r="B277" s="18" t="n"/>
      <c r="C277" s="17" t="n">
        <v>46093</v>
      </c>
      <c r="D277" s="18" t="inlineStr">
        <is>
          <t>品牌</t>
        </is>
      </c>
      <c r="E277" s="18" t="inlineStr">
        <is>
          <t>小糯米的幸福家</t>
        </is>
      </c>
      <c r="F277" s="122" t="n"/>
      <c r="G277" s="122" t="inlineStr">
        <is>
          <t>https://pgy.xiaohongshu.com/solar/pre-trade/blogger-detail/5af43e81f7e8b979a5ac0bba?track_id=kolSimilar_fb779faba42246f38b62156cf7dbda60&amp;source=Advertiser_Similar_Kol</t>
        </is>
      </c>
      <c r="H277" s="122" t="inlineStr">
        <is>
          <t>https://www.xiaohongshu.com/user/profile/5af43e81f7e8b979a5ac0bba</t>
        </is>
      </c>
      <c r="I277" s="18" t="n">
        <v>944511244</v>
      </c>
      <c r="J277" s="18" t="n"/>
      <c r="K277" s="18" t="inlineStr">
        <is>
          <t>家居家装</t>
        </is>
      </c>
      <c r="L277" s="18" t="inlineStr">
        <is>
          <t>koc</t>
        </is>
      </c>
      <c r="M277" s="18" t="n">
        <v>0.2</v>
      </c>
      <c r="N277" s="18" t="n">
        <v>2.2</v>
      </c>
      <c r="O277" s="18" t="inlineStr">
        <is>
          <t>图文</t>
        </is>
      </c>
      <c r="P277" s="21" t="n">
        <v>0.86</v>
      </c>
      <c r="Q277" s="21" t="n">
        <v>0.05</v>
      </c>
      <c r="R277" s="21" t="n">
        <v>0.4</v>
      </c>
      <c r="S277" s="21" t="n">
        <v>0.39</v>
      </c>
      <c r="T277" s="21" t="n">
        <v>0.44</v>
      </c>
      <c r="U277" s="21" t="n">
        <v>0.23</v>
      </c>
      <c r="V277" s="22" t="n">
        <v>1353</v>
      </c>
      <c r="W277" s="18" t="n">
        <v>147</v>
      </c>
      <c r="X277" s="18" t="n">
        <v>600</v>
      </c>
      <c r="Y277" s="18">
        <f>X277*1.1</f>
        <v/>
      </c>
      <c r="Z277" s="20">
        <f>Y277/V277</f>
        <v/>
      </c>
      <c r="AA277" s="20">
        <f>Y277/W277</f>
        <v/>
      </c>
      <c r="AB277" s="18" t="n"/>
      <c r="AC277" s="18" t="n"/>
      <c r="AD277" s="18" t="n"/>
      <c r="AE277" s="18" t="n"/>
    </row>
    <row r="278">
      <c r="A278" s="18" t="n"/>
      <c r="B278" s="18" t="n"/>
      <c r="C278" s="17" t="n">
        <v>46093</v>
      </c>
      <c r="D278" s="18" t="inlineStr">
        <is>
          <t>品牌</t>
        </is>
      </c>
      <c r="E278" s="18" t="inlineStr">
        <is>
          <t>小懒猫的家</t>
        </is>
      </c>
      <c r="F278" s="122" t="n"/>
      <c r="G278" s="122" t="inlineStr">
        <is>
          <t>https://pgy.xiaohongshu.com/solar/pre-trade/blogger-detail/66a09fb20000000024022d34?track_id=kolMatch_c1f0a61264524609927a82460c87b14f&amp;source=Advertiser_Kol</t>
        </is>
      </c>
      <c r="H278" s="122" t="inlineStr">
        <is>
          <t>https://www.xiaohongshu.com/user/profile/66a09fb20000000024022d34</t>
        </is>
      </c>
      <c r="I278" s="18" t="inlineStr">
        <is>
          <t>ekfl888</t>
        </is>
      </c>
      <c r="J278" s="18" t="n"/>
      <c r="K278" s="18" t="inlineStr">
        <is>
          <t>家居家装</t>
        </is>
      </c>
      <c r="L278" s="18" t="inlineStr">
        <is>
          <t>koc</t>
        </is>
      </c>
      <c r="M278" s="18" t="n">
        <v>1.5</v>
      </c>
      <c r="N278" s="18" t="n">
        <v>6</v>
      </c>
      <c r="O278" s="18" t="inlineStr">
        <is>
          <t>图文</t>
        </is>
      </c>
      <c r="P278" s="21" t="n">
        <v>0.7</v>
      </c>
      <c r="Q278" s="21" t="n">
        <v>0.1</v>
      </c>
      <c r="R278" s="21" t="n">
        <v>0.35</v>
      </c>
      <c r="S278" s="21" t="n">
        <v>0.32</v>
      </c>
      <c r="T278" s="21" t="n">
        <v>0.33</v>
      </c>
      <c r="U278" s="21" t="n">
        <v>0.23</v>
      </c>
      <c r="V278" s="22" t="n">
        <v>3741</v>
      </c>
      <c r="W278" s="18" t="n">
        <v>215</v>
      </c>
      <c r="X278" s="18" t="n">
        <v>2000</v>
      </c>
      <c r="Y278" s="18">
        <f>X278*1.1</f>
        <v/>
      </c>
      <c r="Z278" s="20">
        <f>Y278/V278</f>
        <v/>
      </c>
      <c r="AA278" s="20">
        <f>Y278/W278</f>
        <v/>
      </c>
      <c r="AB278" s="18" t="n"/>
      <c r="AC278" s="18" t="n"/>
      <c r="AD278" s="18" t="n"/>
      <c r="AE278" s="18" t="n"/>
    </row>
    <row r="279">
      <c r="A279" s="18" t="n"/>
      <c r="B279" s="18" t="n"/>
      <c r="C279" s="17" t="n">
        <v>46093</v>
      </c>
      <c r="D279" s="18" t="inlineStr">
        <is>
          <t>品牌</t>
        </is>
      </c>
      <c r="E279" s="18" t="inlineStr">
        <is>
          <t>SNAP_POP</t>
        </is>
      </c>
      <c r="F279" s="122" t="n"/>
      <c r="G279" s="122" t="inlineStr">
        <is>
          <t>https://pgy.xiaohongshu.com/solar/pre-trade/blogger-detail/658d486e0000000022010279?track_id=kolSimilar_fb779faba42246f38b62156cf7dbda60&amp;source=Advertiser_Similar_Kol</t>
        </is>
      </c>
      <c r="H279" s="122" t="inlineStr">
        <is>
          <t>https://www.xiaohongshu.com/user/profile/658d486e0000000022010279</t>
        </is>
      </c>
      <c r="I279" s="18" t="inlineStr">
        <is>
          <t>snappop</t>
        </is>
      </c>
      <c r="J279" s="18" t="n"/>
      <c r="K279" s="18" t="inlineStr">
        <is>
          <t>家居家装</t>
        </is>
      </c>
      <c r="L279" s="18" t="inlineStr">
        <is>
          <t>koc</t>
        </is>
      </c>
      <c r="M279" s="18" t="n">
        <v>0.5</v>
      </c>
      <c r="N279" s="18" t="n">
        <v>5.4</v>
      </c>
      <c r="O279" s="18" t="inlineStr">
        <is>
          <t>图文</t>
        </is>
      </c>
      <c r="P279" s="21" t="n">
        <v>0.84</v>
      </c>
      <c r="Q279" s="21" t="n">
        <v>0.09</v>
      </c>
      <c r="R279" s="21" t="n">
        <v>0.59</v>
      </c>
      <c r="S279" s="21" t="n">
        <v>0.23</v>
      </c>
      <c r="T279" s="21" t="n">
        <v>0.82</v>
      </c>
      <c r="U279" s="21" t="n">
        <v>0.05</v>
      </c>
      <c r="V279" s="18" t="n">
        <v>4500</v>
      </c>
      <c r="W279" s="18" t="n">
        <v>550</v>
      </c>
      <c r="X279" s="18" t="n">
        <v>1300</v>
      </c>
      <c r="Y279" s="18">
        <f>X279*1.1</f>
        <v/>
      </c>
      <c r="Z279" s="20">
        <f>Y279/V279</f>
        <v/>
      </c>
      <c r="AA279" s="20">
        <f>Y279/W279</f>
        <v/>
      </c>
      <c r="AB279" s="18" t="n"/>
      <c r="AC279" s="18" t="n"/>
      <c r="AD279" s="18" t="n"/>
      <c r="AE279" s="18" t="n"/>
    </row>
    <row r="280">
      <c r="A280" s="18" t="n"/>
      <c r="B280" s="18" t="n"/>
      <c r="C280" s="17" t="n">
        <v>46093</v>
      </c>
      <c r="D280" s="18" t="inlineStr">
        <is>
          <t>品牌</t>
        </is>
      </c>
      <c r="E280" s="18" t="inlineStr">
        <is>
          <t>VvSuda</t>
        </is>
      </c>
      <c r="F280" s="122" t="n"/>
      <c r="G280" s="122" t="inlineStr">
        <is>
          <t>https://pgy.xiaohongshu.com/solar/pre-trade/blogger-detail/59ba5e4c51783a3e626beefd?track_id=kolSimilar_fb779faba42246f38b62156cf7dbda60&amp;source=Advertiser_Similar_Kol</t>
        </is>
      </c>
      <c r="H280" s="122" t="inlineStr">
        <is>
          <t>https://www.xiaohongshu.com/user/profile/59ba5e4c51783a3e626beefd</t>
        </is>
      </c>
      <c r="I280" s="18" t="n">
        <v>115930274</v>
      </c>
      <c r="J280" s="18" t="n"/>
      <c r="K280" s="18" t="inlineStr">
        <is>
          <t>家居家装</t>
        </is>
      </c>
      <c r="L280" s="18" t="inlineStr">
        <is>
          <t>koc</t>
        </is>
      </c>
      <c r="M280" s="18" t="n">
        <v>0.3</v>
      </c>
      <c r="N280" s="18" t="n">
        <v>4.1</v>
      </c>
      <c r="O280" s="18" t="inlineStr">
        <is>
          <t>图文</t>
        </is>
      </c>
      <c r="P280" s="21" t="n">
        <v>0.84</v>
      </c>
      <c r="Q280" s="21" t="n">
        <v>0.06</v>
      </c>
      <c r="R280" s="21" t="n">
        <v>0.49</v>
      </c>
      <c r="S280" s="21" t="n">
        <v>0.35</v>
      </c>
      <c r="T280" s="21" t="n">
        <v>0.5600000000000001</v>
      </c>
      <c r="U280" s="21" t="n">
        <v>0.18</v>
      </c>
      <c r="V280" s="22" t="n">
        <v>10669</v>
      </c>
      <c r="W280" s="18" t="n">
        <v>1169</v>
      </c>
      <c r="X280" s="18" t="n">
        <v>1600</v>
      </c>
      <c r="Y280" s="18">
        <f>X280*1.1</f>
        <v/>
      </c>
      <c r="Z280" s="20">
        <f>Y280/V280</f>
        <v/>
      </c>
      <c r="AA280" s="20">
        <f>Y280/W280</f>
        <v/>
      </c>
      <c r="AB280" s="18" t="n"/>
      <c r="AC280" s="18" t="n"/>
      <c r="AD280" s="18" t="n"/>
      <c r="AE280" s="18" t="n"/>
    </row>
    <row r="281">
      <c r="A281" s="18" t="n"/>
      <c r="B281" s="18" t="n"/>
      <c r="C281" s="17" t="n">
        <v>46093</v>
      </c>
      <c r="D281" s="18" t="inlineStr">
        <is>
          <t>品牌</t>
        </is>
      </c>
      <c r="E281" s="18" t="inlineStr">
        <is>
          <t>仲一粒</t>
        </is>
      </c>
      <c r="F281" s="122" t="n"/>
      <c r="G281" s="122" t="inlineStr">
        <is>
          <t>https://pgy.xiaohongshu.com/solar/pre-trade/blogger-detail/5b361cebe8ac2b7f8f9b1c56?track_id=kolSimilar_fb779faba42246f38b62156cf7dbda60&amp;source=Advertiser_Similar_Kol</t>
        </is>
      </c>
      <c r="H281" s="122" t="inlineStr">
        <is>
          <t>https://www.xiaohongshu.com/user/profile/5b361cebe8ac2b7f8f9b1c56</t>
        </is>
      </c>
      <c r="I281" s="18" t="inlineStr">
        <is>
          <t>Deedrrrr</t>
        </is>
      </c>
      <c r="J281" s="18" t="n"/>
      <c r="K281" s="18" t="inlineStr">
        <is>
          <t>家居家装</t>
        </is>
      </c>
      <c r="L281" s="18" t="inlineStr">
        <is>
          <t>koc</t>
        </is>
      </c>
      <c r="M281" s="18" t="n">
        <v>0.3</v>
      </c>
      <c r="N281" s="18" t="n">
        <v>4.2</v>
      </c>
      <c r="O281" s="18" t="inlineStr">
        <is>
          <t>图文</t>
        </is>
      </c>
      <c r="P281" s="21" t="n">
        <v>0.79</v>
      </c>
      <c r="Q281" s="21" t="n">
        <v>0.04</v>
      </c>
      <c r="R281" s="21" t="n">
        <v>0.44</v>
      </c>
      <c r="S281" s="21" t="n">
        <v>0.38</v>
      </c>
      <c r="T281" s="21" t="n">
        <v>0.66</v>
      </c>
      <c r="U281" s="21" t="n">
        <v>0.12</v>
      </c>
      <c r="V281" s="22" t="n">
        <v>4111</v>
      </c>
      <c r="W281" s="18" t="n">
        <v>882</v>
      </c>
      <c r="X281" s="18" t="n">
        <v>1800</v>
      </c>
      <c r="Y281" s="18">
        <f>X281*1.1</f>
        <v/>
      </c>
      <c r="Z281" s="20">
        <f>Y281/V281</f>
        <v/>
      </c>
      <c r="AA281" s="20">
        <f>Y281/W281</f>
        <v/>
      </c>
      <c r="AB281" s="18" t="n"/>
      <c r="AC281" s="18" t="n"/>
      <c r="AD281" s="18" t="n"/>
      <c r="AE281" s="18" t="n"/>
    </row>
    <row r="282">
      <c r="A282" s="18" t="n"/>
      <c r="B282" s="18" t="n"/>
      <c r="C282" s="17" t="n">
        <v>46093</v>
      </c>
      <c r="D282" s="18" t="inlineStr">
        <is>
          <t>品牌</t>
        </is>
      </c>
      <c r="E282" s="18" t="inlineStr">
        <is>
          <t>橙橙的家居生活</t>
        </is>
      </c>
      <c r="F282" s="122" t="n"/>
      <c r="G282" s="122" t="inlineStr">
        <is>
          <t>https://pgy.xiaohongshu.com/solar/pre-trade/blogger-detail/5f990bdd000000000101c307?track_id=kolMatch_4ad8c83b2e1841c1893f4c3561de1d64&amp;source=Advertiser_Kol</t>
        </is>
      </c>
      <c r="H282" s="122" t="inlineStr">
        <is>
          <t>https://www.xiaohongshu.com/user/profile/5f990bdd000000000101c307</t>
        </is>
      </c>
      <c r="I282" s="18" t="inlineStr">
        <is>
          <t>Jy241110</t>
        </is>
      </c>
      <c r="J282" s="18" t="n"/>
      <c r="K282" s="18" t="inlineStr">
        <is>
          <t>家居家装</t>
        </is>
      </c>
      <c r="L282" s="18" t="inlineStr">
        <is>
          <t>koc</t>
        </is>
      </c>
      <c r="M282" s="18" t="n">
        <v>1.7</v>
      </c>
      <c r="N282" s="18" t="n">
        <v>18.5</v>
      </c>
      <c r="O282" s="18" t="inlineStr">
        <is>
          <t>图文</t>
        </is>
      </c>
      <c r="P282" s="21" t="n">
        <v>0.85</v>
      </c>
      <c r="Q282" s="21" t="n">
        <v>0.08</v>
      </c>
      <c r="R282" s="21" t="n">
        <v>0.42</v>
      </c>
      <c r="S282" s="21" t="n">
        <v>0.19</v>
      </c>
      <c r="T282" s="21" t="n">
        <v>0.2</v>
      </c>
      <c r="U282" s="21" t="n">
        <v>0.32</v>
      </c>
      <c r="V282" s="22" t="n">
        <v>9888</v>
      </c>
      <c r="W282" s="18" t="n">
        <v>506</v>
      </c>
      <c r="X282" s="18" t="n">
        <v>2000</v>
      </c>
      <c r="Y282" s="18">
        <f>X282*1.1</f>
        <v/>
      </c>
      <c r="Z282" s="20">
        <f>Y282/V282</f>
        <v/>
      </c>
      <c r="AA282" s="20">
        <f>Y282/W282</f>
        <v/>
      </c>
      <c r="AB282" s="18" t="n"/>
      <c r="AC282" s="18" t="n"/>
      <c r="AD282" s="18" t="n"/>
      <c r="AE282" s="18" t="n"/>
    </row>
    <row r="283">
      <c r="A283" s="18" t="n"/>
      <c r="B283" s="18" t="n"/>
      <c r="C283" s="17" t="n">
        <v>46093</v>
      </c>
      <c r="D283" s="18" t="inlineStr">
        <is>
          <t>品牌</t>
        </is>
      </c>
      <c r="E283" s="18" t="inlineStr">
        <is>
          <t>墩墩墩🍥的家🏠</t>
        </is>
      </c>
      <c r="F283" s="122" t="n"/>
      <c r="G283" s="122" t="inlineStr">
        <is>
          <t>https://pgy.xiaohongshu.com/solar/pre-trade/blogger-detail/65d83c430000000005031bbb?track_id=kolMatch_4ad8c83b2e1841c1893f4c3561de1d64&amp;source=Advertiser_Kol</t>
        </is>
      </c>
      <c r="H283" s="122" t="inlineStr">
        <is>
          <t>https://www.xiaohongshu.com/user/profile/65d83c430000000005031bbb</t>
        </is>
      </c>
      <c r="I283" s="18" t="n">
        <v>11804137465</v>
      </c>
      <c r="J283" s="18" t="n"/>
      <c r="K283" s="18" t="inlineStr">
        <is>
          <t>家居家装</t>
        </is>
      </c>
      <c r="L283" s="18" t="inlineStr">
        <is>
          <t>koc</t>
        </is>
      </c>
      <c r="M283" s="18" t="n">
        <v>1.5</v>
      </c>
      <c r="N283" s="18" t="n">
        <v>20.7</v>
      </c>
      <c r="O283" s="18" t="inlineStr">
        <is>
          <t>图文</t>
        </is>
      </c>
      <c r="P283" s="21" t="n">
        <v>0.75</v>
      </c>
      <c r="Q283" s="21" t="n">
        <v>0.12</v>
      </c>
      <c r="R283" s="21" t="n">
        <v>0.45</v>
      </c>
      <c r="S283" s="21" t="n">
        <v>0.29</v>
      </c>
      <c r="T283" s="21" t="n">
        <v>0.5</v>
      </c>
      <c r="U283" s="21" t="n">
        <v>0.17</v>
      </c>
      <c r="V283" s="22" t="n">
        <v>17220</v>
      </c>
      <c r="W283" s="18" t="n">
        <v>682</v>
      </c>
      <c r="X283" s="18" t="n">
        <v>1800</v>
      </c>
      <c r="Y283" s="18">
        <f>X283*1.1</f>
        <v/>
      </c>
      <c r="Z283" s="20">
        <f>Y283/V283</f>
        <v/>
      </c>
      <c r="AA283" s="20">
        <f>Y283/W283</f>
        <v/>
      </c>
      <c r="AB283" s="18" t="n"/>
      <c r="AC283" s="18" t="n"/>
      <c r="AD283" s="18" t="n"/>
      <c r="AE283" s="18" t="n"/>
    </row>
    <row r="284">
      <c r="A284" s="37" t="inlineStr">
        <is>
          <t>以下为3月13日新提报</t>
        </is>
      </c>
      <c r="B284" s="37" t="n"/>
      <c r="C284" s="37" t="n"/>
      <c r="D284" s="37" t="n"/>
      <c r="E284" s="37" t="n"/>
      <c r="F284" s="123" t="n"/>
      <c r="G284" s="123" t="n"/>
      <c r="H284" s="123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>
        <f>X284*1.1</f>
        <v/>
      </c>
      <c r="Z284" s="40">
        <f>Y284/V284</f>
        <v/>
      </c>
      <c r="AA284" s="40">
        <f>Y284/W284</f>
        <v/>
      </c>
      <c r="AB284" s="37" t="n"/>
      <c r="AC284" s="37" t="n"/>
      <c r="AD284" s="37" t="n"/>
      <c r="AE284" s="37" t="n"/>
    </row>
    <row r="285" ht="85.55" customHeight="1" s="151">
      <c r="A285" s="18" t="n"/>
      <c r="B285" s="18" t="n"/>
      <c r="C285" s="17" t="n">
        <v>46094</v>
      </c>
      <c r="D285" s="18" t="inlineStr">
        <is>
          <t>电商</t>
        </is>
      </c>
      <c r="E285" s="18" t="inlineStr">
        <is>
          <t>屿里家居（软装中）</t>
        </is>
      </c>
      <c r="F285" s="122" t="n"/>
      <c r="G285" s="122" t="inlineStr">
        <is>
          <t>https://pgy.xiaohongshu.com/solar/pre-trade/blogger-detail/668ab210000000000b03036c?track_id=kolMatch_c87142a7924c4525addbb0128f5fe4f0&amp;source=Advertiser_Kol</t>
        </is>
      </c>
      <c r="H285" s="122" t="inlineStr">
        <is>
          <t>https://www.xiaohongshu.com/user/profile/668ab210000000000b03036c</t>
        </is>
      </c>
      <c r="I285" s="18" t="n">
        <v>11617110512</v>
      </c>
      <c r="J285" s="18" t="n"/>
      <c r="K285" s="18" t="inlineStr">
        <is>
          <t>家居家装</t>
        </is>
      </c>
      <c r="L285" s="18" t="inlineStr">
        <is>
          <t>koc</t>
        </is>
      </c>
      <c r="M285" s="18" t="n">
        <v>0.9</v>
      </c>
      <c r="N285" s="18" t="n">
        <v>13.2</v>
      </c>
      <c r="O285" s="18" t="inlineStr">
        <is>
          <t>图文</t>
        </is>
      </c>
      <c r="P285" s="21" t="n">
        <v>0.92</v>
      </c>
      <c r="Q285" s="18" t="n"/>
      <c r="R285" s="21" t="n"/>
      <c r="S285" s="21" t="n"/>
      <c r="T285" s="21" t="n">
        <v>0.39</v>
      </c>
      <c r="U285" s="21" t="n">
        <v>0.33</v>
      </c>
      <c r="V285" s="22" t="n">
        <v>4002</v>
      </c>
      <c r="W285" s="18" t="n">
        <v>222</v>
      </c>
      <c r="X285" s="18" t="n">
        <v>500</v>
      </c>
      <c r="Y285" s="18">
        <f>X285*1.1</f>
        <v/>
      </c>
      <c r="Z285" s="20">
        <f>Y285/V285</f>
        <v/>
      </c>
      <c r="AA285" s="20">
        <f>Y285/W285</f>
        <v/>
      </c>
      <c r="AB285" s="18" t="n"/>
      <c r="AC285" s="18" t="n"/>
      <c r="AD285" s="18" t="n"/>
      <c r="AE285" s="18" t="n"/>
    </row>
    <row r="286" ht="83.05" customHeight="1" s="151">
      <c r="A286" s="18" t="n"/>
      <c r="B286" s="18" t="n"/>
      <c r="C286" s="17" t="n">
        <v>46094</v>
      </c>
      <c r="D286" s="18" t="inlineStr">
        <is>
          <t>电商</t>
        </is>
      </c>
      <c r="E286" s="18" t="inlineStr">
        <is>
          <t>小徐同学的家🏠</t>
        </is>
      </c>
      <c r="F286" s="122" t="n"/>
      <c r="G286" s="122" t="inlineStr">
        <is>
          <t>https://pgy.xiaohongshu.com/solar/pre-trade/blogger-detail/6030d21800000000010029be?track_id=kolSimilar_79217c7acaa64b89a428a6ea804cbfc9&amp;source=Advertiser_Similar_Kol</t>
        </is>
      </c>
      <c r="H286" s="122" t="inlineStr">
        <is>
          <t>https://www.xiaohongshu.com/user/profile/6030d21800000000010029be</t>
        </is>
      </c>
      <c r="I286" s="18" t="n">
        <v>4271900670</v>
      </c>
      <c r="J286" s="18" t="n"/>
      <c r="K286" s="18" t="inlineStr">
        <is>
          <t>家居家装</t>
        </is>
      </c>
      <c r="L286" s="18" t="inlineStr">
        <is>
          <t>koc</t>
        </is>
      </c>
      <c r="M286" s="18" t="n">
        <v>0.2</v>
      </c>
      <c r="N286" s="18" t="n">
        <v>19.1</v>
      </c>
      <c r="O286" s="18" t="inlineStr">
        <is>
          <t>图文</t>
        </is>
      </c>
      <c r="P286" s="21" t="n">
        <v>0.8</v>
      </c>
      <c r="Q286" s="18" t="n"/>
      <c r="R286" s="21" t="n"/>
      <c r="S286" s="21" t="n"/>
      <c r="T286" s="21" t="n">
        <v>0.36</v>
      </c>
      <c r="U286" s="21" t="n">
        <v>0.16</v>
      </c>
      <c r="V286" s="22" t="n">
        <v>1777</v>
      </c>
      <c r="W286" s="18" t="n">
        <v>159</v>
      </c>
      <c r="X286" s="18" t="n">
        <v>400</v>
      </c>
      <c r="Y286" s="18">
        <f>X286*1.1</f>
        <v/>
      </c>
      <c r="Z286" s="20">
        <f>Y286/V286</f>
        <v/>
      </c>
      <c r="AA286" s="20">
        <f>Y286/W286</f>
        <v/>
      </c>
      <c r="AB286" s="18" t="n"/>
      <c r="AC286" s="18" t="n"/>
      <c r="AD286" s="18" t="n"/>
      <c r="AE286" s="18" t="n"/>
    </row>
    <row r="287" ht="85.09999999999999" customHeight="1" s="151">
      <c r="A287" s="18" t="n"/>
      <c r="B287" s="18" t="n"/>
      <c r="C287" s="17" t="n">
        <v>46094</v>
      </c>
      <c r="D287" s="18" t="inlineStr">
        <is>
          <t>电商</t>
        </is>
      </c>
      <c r="E287" s="18" t="inlineStr">
        <is>
          <t>柚宁JOJO</t>
        </is>
      </c>
      <c r="F287" s="122" t="n"/>
      <c r="G287" s="122" t="inlineStr">
        <is>
          <t>https://pgy.xiaohongshu.com/solar/pre-trade/blogger-detail/60c5aa0b00000000010014c0?track_id=kolSimilar_e30558116ae34fe9a154008bf6a55e25&amp;source=Advertiser_Similar_Kol</t>
        </is>
      </c>
      <c r="H287" s="122" t="inlineStr">
        <is>
          <t>https://www.xiaohongshu.com/user/profile/60c5aa0b00000000010014c0</t>
        </is>
      </c>
      <c r="I287" s="18" t="n">
        <v>9567301202</v>
      </c>
      <c r="J287" s="18" t="n"/>
      <c r="K287" s="18" t="inlineStr">
        <is>
          <t>家居家装</t>
        </is>
      </c>
      <c r="L287" s="18" t="inlineStr">
        <is>
          <t>koc</t>
        </is>
      </c>
      <c r="M287" s="18" t="n">
        <v>0.2</v>
      </c>
      <c r="N287" s="18" t="n">
        <v>2.1</v>
      </c>
      <c r="O287" s="18" t="inlineStr">
        <is>
          <t>图文</t>
        </is>
      </c>
      <c r="P287" s="21" t="n">
        <v>0.8</v>
      </c>
      <c r="Q287" s="18" t="n"/>
      <c r="R287" s="21" t="n"/>
      <c r="S287" s="21" t="n"/>
      <c r="T287" s="21" t="n">
        <v>0.25</v>
      </c>
      <c r="U287" s="21" t="n">
        <v>0.23</v>
      </c>
      <c r="V287" s="22" t="n">
        <v>1235</v>
      </c>
      <c r="W287" s="18" t="n">
        <v>154</v>
      </c>
      <c r="X287" s="18" t="n">
        <v>280</v>
      </c>
      <c r="Y287" s="18">
        <f>X287*1.1</f>
        <v/>
      </c>
      <c r="Z287" s="20">
        <f>Y287/V287</f>
        <v/>
      </c>
      <c r="AA287" s="20">
        <f>Y287/W287</f>
        <v/>
      </c>
      <c r="AB287" s="18" t="n"/>
      <c r="AC287" s="18" t="n"/>
      <c r="AD287" s="18" t="n"/>
      <c r="AE287" s="18" t="n"/>
    </row>
    <row r="288" ht="87.09999999999999" customHeight="1" s="151">
      <c r="A288" s="18" t="n"/>
      <c r="B288" s="18" t="n"/>
      <c r="C288" s="17" t="n">
        <v>46094</v>
      </c>
      <c r="D288" s="18" t="inlineStr">
        <is>
          <t>电商</t>
        </is>
      </c>
      <c r="E288" s="18" t="inlineStr">
        <is>
          <t>Hannah的日常</t>
        </is>
      </c>
      <c r="F288" s="122" t="n"/>
      <c r="G288" s="122" t="inlineStr">
        <is>
          <t>https://pgy.xiaohongshu.com/solar/pre-trade/blogger-detail/5c40866c0000000005006554?track_id=kolMatch_33a6211a510e462b8d3fc7b4dd0e311a&amp;source=Advertiser_Kol</t>
        </is>
      </c>
      <c r="H288" s="122" t="inlineStr">
        <is>
          <t>https://www.xiaohongshu.com/user/profile/5c40866c0000000005006554</t>
        </is>
      </c>
      <c r="I288" s="18" t="n">
        <v>509001612</v>
      </c>
      <c r="J288" s="18" t="n"/>
      <c r="K288" s="18" t="inlineStr">
        <is>
          <t>美食</t>
        </is>
      </c>
      <c r="L288" s="18" t="inlineStr">
        <is>
          <t>koc</t>
        </is>
      </c>
      <c r="M288" s="18" t="n">
        <v>0.3</v>
      </c>
      <c r="N288" s="18" t="n">
        <v>5.3</v>
      </c>
      <c r="O288" s="18" t="inlineStr">
        <is>
          <t>图文</t>
        </is>
      </c>
      <c r="P288" s="21" t="n">
        <v>0.85</v>
      </c>
      <c r="Q288" s="18" t="n"/>
      <c r="R288" s="21" t="n"/>
      <c r="S288" s="21" t="n"/>
      <c r="T288" s="21" t="n">
        <v>0.66</v>
      </c>
      <c r="U288" s="21" t="n">
        <v>0.13</v>
      </c>
      <c r="V288" s="22" t="n">
        <v>6807</v>
      </c>
      <c r="W288" s="18" t="n">
        <v>256</v>
      </c>
      <c r="X288" s="18" t="n">
        <v>800</v>
      </c>
      <c r="Y288" s="18">
        <f>X288*1.1</f>
        <v/>
      </c>
      <c r="Z288" s="20">
        <f>Y288/V288</f>
        <v/>
      </c>
      <c r="AA288" s="20">
        <f>Y288/W288</f>
        <v/>
      </c>
      <c r="AB288" s="18" t="n"/>
      <c r="AC288" s="18" t="n"/>
      <c r="AD288" s="18" t="n"/>
      <c r="AE288" s="18" t="n"/>
    </row>
    <row r="289" ht="90.34999999999999" customHeight="1" s="151">
      <c r="A289" s="18" t="n"/>
      <c r="B289" s="18" t="n"/>
      <c r="C289" s="17" t="n">
        <v>46094</v>
      </c>
      <c r="D289" s="18" t="inlineStr">
        <is>
          <t>电商</t>
        </is>
      </c>
      <c r="E289" s="18" t="inlineStr">
        <is>
          <t>家居小桃酱</t>
        </is>
      </c>
      <c r="F289" s="122" t="n"/>
      <c r="G289" s="122" t="inlineStr">
        <is>
          <t>https://pgy.xiaohongshu.com/solar/pre-trade/blogger-detail/67a5e3b9000000000e01c7f4?track_id=kolSimilar_6671f97ff6eb48299cf3d2c7bd7125de&amp;source=Advertiser_Similar_Kol</t>
        </is>
      </c>
      <c r="H289" s="122" t="inlineStr">
        <is>
          <t>https://www.xiaohongshu.com/user/profile/67a5e3b9000000000e01c7f4</t>
        </is>
      </c>
      <c r="I289" s="18" t="n">
        <v>63816159569</v>
      </c>
      <c r="J289" s="18" t="n"/>
      <c r="K289" s="18" t="inlineStr">
        <is>
          <t>家居家装</t>
        </is>
      </c>
      <c r="L289" s="18" t="inlineStr">
        <is>
          <t>koc</t>
        </is>
      </c>
      <c r="M289" s="18" t="n">
        <v>0.4</v>
      </c>
      <c r="N289" s="18" t="n">
        <v>2.8</v>
      </c>
      <c r="O289" s="18" t="inlineStr">
        <is>
          <t>图文</t>
        </is>
      </c>
      <c r="P289" s="21" t="n">
        <v>0.89</v>
      </c>
      <c r="Q289" s="18" t="n"/>
      <c r="R289" s="21" t="n"/>
      <c r="S289" s="21" t="n"/>
      <c r="T289" s="21" t="n">
        <v>0.31</v>
      </c>
      <c r="U289" s="21" t="n">
        <v>0.32</v>
      </c>
      <c r="V289" s="22" t="n">
        <v>1329</v>
      </c>
      <c r="W289" s="18" t="n">
        <v>108</v>
      </c>
      <c r="X289" s="18" t="n">
        <v>300</v>
      </c>
      <c r="Y289" s="18">
        <f>X289*1.1</f>
        <v/>
      </c>
      <c r="Z289" s="20">
        <f>Y289/V289</f>
        <v/>
      </c>
      <c r="AA289" s="20">
        <f>Y289/W289</f>
        <v/>
      </c>
      <c r="AB289" s="18" t="n"/>
      <c r="AC289" s="18" t="n"/>
      <c r="AD289" s="18" t="n"/>
      <c r="AE289" s="18" t="n"/>
    </row>
    <row r="290" ht="85.5" customHeight="1" s="151">
      <c r="A290" s="18" t="n"/>
      <c r="B290" s="18" t="n"/>
      <c r="C290" s="17" t="n">
        <v>46094</v>
      </c>
      <c r="D290" s="18" t="inlineStr">
        <is>
          <t>电商</t>
        </is>
      </c>
      <c r="E290" s="18" t="inlineStr">
        <is>
          <t>瑾妈育儿说(备孕中)</t>
        </is>
      </c>
      <c r="F290" s="122" t="n"/>
      <c r="G290" s="122" t="inlineStr">
        <is>
          <t>https://pgy.xiaohongshu.com/solar/pre-trade/blogger-detail/6555e89f000000001000928e?track_id=kolSimilar_6671f97ff6eb48299cf3d2c7bd7125de&amp;source=Advertiser_Similar_Kol</t>
        </is>
      </c>
      <c r="H290" s="122" t="inlineStr">
        <is>
          <t>https://www.xiaohongshu.com/user/profile/6555e89f000000001000928e</t>
        </is>
      </c>
      <c r="I290" s="18" t="n">
        <v>7065238013</v>
      </c>
      <c r="J290" s="18" t="n"/>
      <c r="K290" s="18" t="inlineStr">
        <is>
          <t>家居家装</t>
        </is>
      </c>
      <c r="L290" s="18" t="inlineStr">
        <is>
          <t>koc</t>
        </is>
      </c>
      <c r="M290" s="18" t="n">
        <v>1</v>
      </c>
      <c r="N290" s="18" t="n">
        <v>10.3</v>
      </c>
      <c r="O290" s="18" t="inlineStr">
        <is>
          <t>图文</t>
        </is>
      </c>
      <c r="P290" s="21" t="n">
        <v>0.91</v>
      </c>
      <c r="Q290" s="18" t="n"/>
      <c r="R290" s="21" t="n"/>
      <c r="S290" s="21" t="n"/>
      <c r="T290" s="21" t="n">
        <v>0.18</v>
      </c>
      <c r="U290" s="21" t="n">
        <v>0.39</v>
      </c>
      <c r="V290" s="22" t="n">
        <v>3907</v>
      </c>
      <c r="W290" s="18" t="n">
        <v>157</v>
      </c>
      <c r="X290" s="18" t="n">
        <v>1000</v>
      </c>
      <c r="Y290" s="18">
        <f>X290*1.1</f>
        <v/>
      </c>
      <c r="Z290" s="20">
        <f>Y290/V290</f>
        <v/>
      </c>
      <c r="AA290" s="20">
        <f>Y290/W290</f>
        <v/>
      </c>
      <c r="AB290" s="18" t="n"/>
      <c r="AC290" s="18" t="n"/>
      <c r="AD290" s="18" t="n"/>
      <c r="AE290" s="18" t="n"/>
    </row>
    <row r="291" ht="90.8" customHeight="1" s="151">
      <c r="A291" s="18" t="n"/>
      <c r="B291" s="18" t="n"/>
      <c r="C291" s="17" t="n">
        <v>46094</v>
      </c>
      <c r="D291" s="18" t="inlineStr">
        <is>
          <t>电商</t>
        </is>
      </c>
      <c r="E291" s="18" t="inlineStr">
        <is>
          <t>杨咩咩的小家🏠</t>
        </is>
      </c>
      <c r="F291" s="122" t="n"/>
      <c r="G291" s="122" t="inlineStr">
        <is>
          <t>https://pgy.xiaohongshu.com/solar/pre-trade/blogger-detail/67e5269d000000000e013fa1?track_id=kolSimilar_4e2e4aae42714958844451fc0954d28e&amp;source=Advertiser_Similar_Kol</t>
        </is>
      </c>
      <c r="H291" s="122" t="inlineStr">
        <is>
          <t>https://www.xiaohongshu.com/user/profile/67e5269d000000000e013fa1</t>
        </is>
      </c>
      <c r="I291" s="18" t="n">
        <v>94191495528</v>
      </c>
      <c r="J291" s="18" t="n"/>
      <c r="K291" s="18" t="inlineStr">
        <is>
          <t>家居家装</t>
        </is>
      </c>
      <c r="L291" s="18" t="inlineStr">
        <is>
          <t>koc</t>
        </is>
      </c>
      <c r="M291" s="18" t="n">
        <v>0.5</v>
      </c>
      <c r="N291" s="18" t="n">
        <v>6.2</v>
      </c>
      <c r="O291" s="18" t="inlineStr">
        <is>
          <t>图文</t>
        </is>
      </c>
      <c r="P291" s="21" t="n">
        <v>0.88</v>
      </c>
      <c r="Q291" s="18" t="n"/>
      <c r="R291" s="21" t="n"/>
      <c r="S291" s="21" t="n"/>
      <c r="T291" s="21" t="n">
        <v>0.2</v>
      </c>
      <c r="U291" s="21" t="n">
        <v>0.41</v>
      </c>
      <c r="V291" s="22" t="n">
        <v>4546</v>
      </c>
      <c r="W291" s="18" t="n">
        <v>321</v>
      </c>
      <c r="X291" s="18" t="n">
        <v>700</v>
      </c>
      <c r="Y291" s="18">
        <f>X291*1.1</f>
        <v/>
      </c>
      <c r="Z291" s="20">
        <f>Y291/V291</f>
        <v/>
      </c>
      <c r="AA291" s="20">
        <f>Y291/W291</f>
        <v/>
      </c>
      <c r="AB291" s="18" t="n"/>
      <c r="AC291" s="18" t="n"/>
      <c r="AD291" s="18" t="n"/>
      <c r="AE291" s="18" t="n"/>
    </row>
    <row r="292" ht="93.59999999999999" customHeight="1" s="151">
      <c r="A292" s="18" t="n"/>
      <c r="B292" s="18" t="n"/>
      <c r="C292" s="17" t="n">
        <v>46094</v>
      </c>
      <c r="D292" s="18" t="inlineStr">
        <is>
          <t>电商</t>
        </is>
      </c>
      <c r="E292" s="18" t="inlineStr">
        <is>
          <t>星星理想家～</t>
        </is>
      </c>
      <c r="F292" s="122" t="n"/>
      <c r="G292" s="122" t="inlineStr">
        <is>
          <t>https://pgy.xiaohongshu.com/solar/pre-trade/blogger-detail/68be2c670000000019010e85?track_id=kolSimilar_4e2e4aae42714958844451fc0954d28e&amp;source=Advertiser_Similar_Kol</t>
        </is>
      </c>
      <c r="H292" s="122" t="inlineStr">
        <is>
          <t>https://www.xiaohongshu.com/user/profile/68be2c670000000019010e85</t>
        </is>
      </c>
      <c r="I292" s="18" t="n">
        <v>95591472914</v>
      </c>
      <c r="J292" s="18" t="n"/>
      <c r="K292" s="18" t="inlineStr">
        <is>
          <t>家居家装</t>
        </is>
      </c>
      <c r="L292" s="18" t="inlineStr">
        <is>
          <t>koc</t>
        </is>
      </c>
      <c r="M292" s="18" t="n">
        <v>0.1</v>
      </c>
      <c r="N292" s="18" t="n">
        <v>1.1</v>
      </c>
      <c r="O292" s="18" t="inlineStr">
        <is>
          <t>图文</t>
        </is>
      </c>
      <c r="P292" s="21" t="n">
        <v>0.87</v>
      </c>
      <c r="Q292" s="18" t="n"/>
      <c r="R292" s="18" t="n"/>
      <c r="S292" s="18" t="n"/>
      <c r="T292" s="21" t="n">
        <v>0.16</v>
      </c>
      <c r="U292" s="21" t="n">
        <v>0.51</v>
      </c>
      <c r="V292" s="22" t="n">
        <v>1457</v>
      </c>
      <c r="W292" s="18" t="n">
        <v>138</v>
      </c>
      <c r="X292" s="18" t="n">
        <v>300</v>
      </c>
      <c r="Y292" s="18">
        <f>X292*1.1</f>
        <v/>
      </c>
      <c r="Z292" s="20">
        <f>Y292/V292</f>
        <v/>
      </c>
      <c r="AA292" s="20">
        <f>Y292/W292</f>
        <v/>
      </c>
      <c r="AB292" s="18" t="n"/>
      <c r="AC292" s="18" t="n"/>
      <c r="AD292" s="18" t="n"/>
      <c r="AE292" s="18" t="n"/>
    </row>
    <row r="293" ht="93.45" customHeight="1" s="151">
      <c r="A293" s="18" t="n"/>
      <c r="B293" s="18" t="n"/>
      <c r="C293" s="17" t="n">
        <v>46094</v>
      </c>
      <c r="D293" s="18" t="inlineStr">
        <is>
          <t>电商</t>
        </is>
      </c>
      <c r="E293" s="18" t="inlineStr">
        <is>
          <t>小筑里～</t>
        </is>
      </c>
      <c r="F293" s="122" t="n"/>
      <c r="G293" s="122" t="inlineStr">
        <is>
          <t>https://pgy.xiaohongshu.com/solar/pre-trade/blogger-detail/66cfc946000000000d027156?track_id=kolSimilar_34ec22b7a34d41748fba1228a9cbd27f&amp;source=Advertiser_Similar_Kol</t>
        </is>
      </c>
      <c r="H293" s="122" t="inlineStr">
        <is>
          <t>https://www.xiaohongshu.com/user/profile/66cfc946000000000d027156</t>
        </is>
      </c>
      <c r="I293" s="18" t="n">
        <v>94181891064</v>
      </c>
      <c r="J293" s="18" t="n"/>
      <c r="K293" s="18" t="inlineStr">
        <is>
          <t>家居家装</t>
        </is>
      </c>
      <c r="L293" s="18" t="inlineStr">
        <is>
          <t>koc</t>
        </is>
      </c>
      <c r="M293" s="18" t="n">
        <v>0.1</v>
      </c>
      <c r="N293" s="18" t="n">
        <v>1.1</v>
      </c>
      <c r="O293" s="18" t="inlineStr">
        <is>
          <t>图文</t>
        </is>
      </c>
      <c r="P293" s="21" t="n">
        <v>0.82</v>
      </c>
      <c r="Q293" s="18" t="n"/>
      <c r="R293" s="18" t="n"/>
      <c r="S293" s="18" t="n"/>
      <c r="T293" s="21" t="n">
        <v>0.17</v>
      </c>
      <c r="U293" s="21" t="n">
        <v>0.51</v>
      </c>
      <c r="V293" s="22" t="n">
        <v>1377</v>
      </c>
      <c r="W293" s="18" t="n">
        <v>92</v>
      </c>
      <c r="X293" s="18" t="n">
        <v>300</v>
      </c>
      <c r="Y293" s="18">
        <f>X293*1.1</f>
        <v/>
      </c>
      <c r="Z293" s="20">
        <f>Y293/V293</f>
        <v/>
      </c>
      <c r="AA293" s="20">
        <f>Y293/W293</f>
        <v/>
      </c>
      <c r="AB293" s="18" t="n"/>
      <c r="AC293" s="18" t="n"/>
      <c r="AD293" s="18" t="n"/>
      <c r="AE293" s="18" t="n"/>
    </row>
    <row r="294" ht="88.59999999999999" customHeight="1" s="151">
      <c r="A294" s="18" t="n"/>
      <c r="B294" s="18" t="n"/>
      <c r="C294" s="17" t="n">
        <v>46094</v>
      </c>
      <c r="D294" s="18" t="inlineStr">
        <is>
          <t>电商</t>
        </is>
      </c>
      <c r="E294" s="18" t="inlineStr">
        <is>
          <t>是不詹锅呀（软装中）</t>
        </is>
      </c>
      <c r="F294" s="122" t="n"/>
      <c r="G294" s="122" t="inlineStr">
        <is>
          <t>https://pgy.xiaohongshu.com/solar/pre-trade/blogger-detail/5e17ff890000000001001d86?track_id=kolSimilar_34ec22b7a34d41748fba1228a9cbd27f&amp;source=Advertiser_Similar_Kol</t>
        </is>
      </c>
      <c r="H294" s="122" t="inlineStr">
        <is>
          <t>https://www.xiaohongshu.com/user/profile/5e17ff890000000001001d86</t>
        </is>
      </c>
      <c r="I294" s="18" t="n">
        <v>799433291</v>
      </c>
      <c r="J294" s="18" t="n"/>
      <c r="K294" s="18" t="inlineStr">
        <is>
          <t>家居家装</t>
        </is>
      </c>
      <c r="L294" s="18" t="inlineStr">
        <is>
          <t>koc</t>
        </is>
      </c>
      <c r="M294" s="18" t="n">
        <v>0.2</v>
      </c>
      <c r="N294" s="18" t="n">
        <v>2.2</v>
      </c>
      <c r="O294" s="18" t="inlineStr">
        <is>
          <t>图文</t>
        </is>
      </c>
      <c r="P294" s="21" t="n">
        <v>0.86</v>
      </c>
      <c r="Q294" s="18" t="n"/>
      <c r="R294" s="18" t="n"/>
      <c r="S294" s="18" t="n"/>
      <c r="T294" s="21" t="n">
        <v>0.33</v>
      </c>
      <c r="U294" s="21" t="n">
        <v>0.18</v>
      </c>
      <c r="V294" s="22" t="n">
        <v>1215</v>
      </c>
      <c r="W294" s="18" t="n">
        <v>159</v>
      </c>
      <c r="X294" s="18" t="n">
        <v>200</v>
      </c>
      <c r="Y294" s="18">
        <f>X294*1.1</f>
        <v/>
      </c>
      <c r="Z294" s="20">
        <f>Y294/V294</f>
        <v/>
      </c>
      <c r="AA294" s="20">
        <f>Y294/W294</f>
        <v/>
      </c>
      <c r="AB294" s="18" t="n"/>
      <c r="AC294" s="18" t="n"/>
      <c r="AD294" s="18" t="n"/>
      <c r="AE294" s="18" t="n"/>
    </row>
    <row r="295" ht="82.2" customHeight="1" s="151">
      <c r="A295" s="18" t="n"/>
      <c r="B295" s="18" t="n"/>
      <c r="C295" s="17" t="n">
        <v>46094</v>
      </c>
      <c r="D295" s="18" t="inlineStr">
        <is>
          <t>电商</t>
        </is>
      </c>
      <c r="E295" s="18" t="inlineStr">
        <is>
          <t>H的装修日记</t>
        </is>
      </c>
      <c r="F295" s="122" t="n"/>
      <c r="G295" s="122" t="inlineStr">
        <is>
          <t>https://pgy.xiaohongshu.com/solar/pre-trade/blogger-detail/5f378bdd0000000001009ec2?track_id=kolSimilar_34ec22b7a34d41748fba1228a9cbd27f&amp;source=Advertiser_Similar_Kol</t>
        </is>
      </c>
      <c r="H295" s="122" t="inlineStr">
        <is>
          <t>https://www.xiaohongshu.com/user/profile/5f378bdd0000000001009ec2</t>
        </is>
      </c>
      <c r="I295" s="18" t="n">
        <v>850523291</v>
      </c>
      <c r="J295" s="18" t="n"/>
      <c r="K295" s="18" t="inlineStr">
        <is>
          <t>家居家装</t>
        </is>
      </c>
      <c r="L295" s="18" t="inlineStr">
        <is>
          <t>koc</t>
        </is>
      </c>
      <c r="M295" s="18" t="n">
        <v>0.2</v>
      </c>
      <c r="N295" s="18" t="n">
        <v>1.4</v>
      </c>
      <c r="O295" s="18" t="inlineStr">
        <is>
          <t>图文</t>
        </is>
      </c>
      <c r="P295" s="21" t="n">
        <v>0.83</v>
      </c>
      <c r="Q295" s="18" t="n"/>
      <c r="R295" s="18" t="n"/>
      <c r="S295" s="18" t="n"/>
      <c r="T295" s="21" t="n">
        <v>0.57</v>
      </c>
      <c r="U295" s="21" t="n">
        <v>0.16</v>
      </c>
      <c r="V295" s="22" t="n">
        <v>1350</v>
      </c>
      <c r="W295" s="18" t="n">
        <v>189</v>
      </c>
      <c r="X295" s="18" t="n">
        <v>500</v>
      </c>
      <c r="Y295" s="18">
        <f>X295*1.1</f>
        <v/>
      </c>
      <c r="Z295" s="20">
        <f>Y295/V295</f>
        <v/>
      </c>
      <c r="AA295" s="20">
        <f>Y295/W295</f>
        <v/>
      </c>
      <c r="AB295" s="18" t="n"/>
      <c r="AC295" s="18" t="n"/>
      <c r="AD295" s="18" t="n"/>
      <c r="AE295" s="18" t="n"/>
    </row>
    <row r="296" ht="86.75" customHeight="1" s="151">
      <c r="A296" s="18" t="n"/>
      <c r="B296" s="18" t="n"/>
      <c r="C296" s="17" t="n">
        <v>46094</v>
      </c>
      <c r="D296" s="18" t="inlineStr">
        <is>
          <t>电商</t>
        </is>
      </c>
      <c r="E296" s="18" t="inlineStr">
        <is>
          <t>🌸花妈妈的私房菜</t>
        </is>
      </c>
      <c r="F296" s="122" t="n"/>
      <c r="G296" s="122" t="inlineStr">
        <is>
          <t>https://pgy.xiaohongshu.com/solar/pre-trade/blogger-detail/57be5b9250c4b456668f66e0?track_id=kolMatch_33a6211a510e462b8d3fc7b4dd0e311a&amp;source=Advertiser_Kol</t>
        </is>
      </c>
      <c r="H296" s="122" t="inlineStr">
        <is>
          <t>https://www.xiaohongshu.com/user/profile/57be5b9250c4b456668f66e0</t>
        </is>
      </c>
      <c r="I296" s="7" t="n">
        <v>109145004</v>
      </c>
      <c r="J296" s="18" t="n"/>
      <c r="K296" s="18" t="inlineStr">
        <is>
          <t>美食</t>
        </is>
      </c>
      <c r="L296" s="18" t="inlineStr">
        <is>
          <t>koc</t>
        </is>
      </c>
      <c r="M296" s="18" t="n">
        <v>0.6</v>
      </c>
      <c r="N296" s="18" t="n">
        <v>5.6</v>
      </c>
      <c r="O296" s="18" t="inlineStr">
        <is>
          <t>图文</t>
        </is>
      </c>
      <c r="P296" s="21" t="n">
        <v>0.86</v>
      </c>
      <c r="Q296" s="18" t="n"/>
      <c r="R296" s="18" t="n"/>
      <c r="S296" s="18" t="n"/>
      <c r="T296" s="21" t="n">
        <v>0.46</v>
      </c>
      <c r="U296" s="21" t="n">
        <v>0.2</v>
      </c>
      <c r="V296" s="22" t="n">
        <v>3590</v>
      </c>
      <c r="W296" s="18" t="n">
        <v>236</v>
      </c>
      <c r="X296" s="18" t="n">
        <v>700</v>
      </c>
      <c r="Y296" s="18">
        <f>X296*1.1</f>
        <v/>
      </c>
      <c r="Z296" s="20">
        <f>Y296/V296</f>
        <v/>
      </c>
      <c r="AA296" s="20">
        <f>Y296/W296</f>
        <v/>
      </c>
      <c r="AB296" s="18" t="n"/>
      <c r="AC296" s="18" t="n"/>
      <c r="AD296" s="18" t="n"/>
      <c r="AE296" s="18" t="n"/>
    </row>
    <row r="297" ht="82.34999999999999" customHeight="1" s="151">
      <c r="A297" s="18" t="n"/>
      <c r="B297" s="18" t="n"/>
      <c r="C297" s="17" t="n">
        <v>46094</v>
      </c>
      <c r="D297" s="18" t="inlineStr">
        <is>
          <t>电商</t>
        </is>
      </c>
      <c r="E297" s="18" t="inlineStr">
        <is>
          <t>慢煮清茶</t>
        </is>
      </c>
      <c r="F297" s="122" t="n"/>
      <c r="G297" s="122" t="inlineStr">
        <is>
          <t>https://pgy.xiaohongshu.com/solar/pre-trade/blogger-detail/68fe20200000000037009411?track_id=kolSimilar_34ec22b7a34d41748fba1228a9cbd27f&amp;source=Advertiser_Similar_Kol</t>
        </is>
      </c>
      <c r="H297" s="122" t="inlineStr">
        <is>
          <t>https://www.xiaohongshu.com/user/profile/68fe20200000000037009411</t>
        </is>
      </c>
      <c r="I297" s="18" t="n">
        <v>27406386409</v>
      </c>
      <c r="J297" s="18" t="n"/>
      <c r="K297" s="18" t="inlineStr">
        <is>
          <t>家居家装</t>
        </is>
      </c>
      <c r="L297" s="18" t="inlineStr">
        <is>
          <t>koc</t>
        </is>
      </c>
      <c r="M297" s="18" t="n">
        <v>0.1</v>
      </c>
      <c r="N297" s="18" t="n">
        <v>1.2</v>
      </c>
      <c r="O297" s="18" t="inlineStr">
        <is>
          <t>图文</t>
        </is>
      </c>
      <c r="P297" s="21" t="n">
        <v>0.86</v>
      </c>
      <c r="Q297" s="18" t="n"/>
      <c r="R297" s="18" t="n"/>
      <c r="S297" s="18" t="n"/>
      <c r="T297" s="21" t="n">
        <v>0.13</v>
      </c>
      <c r="U297" s="21" t="n">
        <v>0.46</v>
      </c>
      <c r="V297" s="22" t="n">
        <v>1320</v>
      </c>
      <c r="W297" s="18" t="n">
        <v>69</v>
      </c>
      <c r="X297" s="18" t="n">
        <v>300</v>
      </c>
      <c r="Y297" s="18">
        <f>X297*1.1</f>
        <v/>
      </c>
      <c r="Z297" s="20">
        <f>Y297/V297</f>
        <v/>
      </c>
      <c r="AA297" s="20">
        <f>Y297/W297</f>
        <v/>
      </c>
      <c r="AB297" s="18" t="n"/>
      <c r="AC297" s="18" t="n"/>
      <c r="AD297" s="18" t="n"/>
      <c r="AE297" s="18" t="n"/>
    </row>
    <row r="298" ht="89.05" customHeight="1" s="151">
      <c r="A298" s="18" t="n"/>
      <c r="B298" s="18" t="n"/>
      <c r="C298" s="17" t="n">
        <v>46094</v>
      </c>
      <c r="D298" s="18" t="inlineStr">
        <is>
          <t>电商</t>
        </is>
      </c>
      <c r="E298" s="18" t="inlineStr">
        <is>
          <t>朵樱的新家日记</t>
        </is>
      </c>
      <c r="F298" s="122" t="n"/>
      <c r="G298" s="122" t="inlineStr">
        <is>
          <t>https://pgy.xiaohongshu.com/solar/pre-trade/blogger-detail/679b18fe0000000006011a4b?track_id=kolSimilar_dd30ef63e9ad4559aa010add8176bccc&amp;source=Advertiser_Similar_Kol</t>
        </is>
      </c>
      <c r="H298" s="122" t="inlineStr">
        <is>
          <t>https://www.xiaohongshu.com/user/profile/679b18fe0000000006011a4b</t>
        </is>
      </c>
      <c r="I298" s="7" t="inlineStr">
        <is>
          <t>638621913sm</t>
        </is>
      </c>
      <c r="J298" s="18" t="n"/>
      <c r="K298" s="18" t="inlineStr">
        <is>
          <t>家居家装</t>
        </is>
      </c>
      <c r="L298" s="18" t="inlineStr">
        <is>
          <t>koc</t>
        </is>
      </c>
      <c r="M298" s="18" t="n">
        <v>0.5</v>
      </c>
      <c r="N298" s="18" t="n">
        <v>17.5</v>
      </c>
      <c r="O298" s="18" t="inlineStr">
        <is>
          <t>图文</t>
        </is>
      </c>
      <c r="P298" s="21" t="n">
        <v>0.9</v>
      </c>
      <c r="Q298" s="18" t="n"/>
      <c r="R298" s="18" t="n"/>
      <c r="S298" s="18" t="n"/>
      <c r="T298" s="21" t="n">
        <v>0.19</v>
      </c>
      <c r="U298" s="21" t="n">
        <v>0.3</v>
      </c>
      <c r="V298" s="22" t="n">
        <v>1654</v>
      </c>
      <c r="W298" s="18" t="n">
        <v>297</v>
      </c>
      <c r="X298" s="18" t="n">
        <v>400</v>
      </c>
      <c r="Y298" s="18">
        <f>X298*1.1</f>
        <v/>
      </c>
      <c r="Z298" s="20">
        <f>Y298/V298</f>
        <v/>
      </c>
      <c r="AA298" s="20">
        <f>Y298/W298</f>
        <v/>
      </c>
      <c r="AB298" s="18" t="n"/>
      <c r="AC298" s="18" t="n"/>
      <c r="AD298" s="18" t="n"/>
      <c r="AE298" s="18" t="n"/>
    </row>
    <row r="299" ht="86" customHeight="1" s="151">
      <c r="A299" s="18" t="n"/>
      <c r="B299" s="18" t="n"/>
      <c r="C299" s="17" t="n">
        <v>46094</v>
      </c>
      <c r="D299" s="18" t="inlineStr">
        <is>
          <t>电商</t>
        </is>
      </c>
      <c r="E299" s="18" t="inlineStr">
        <is>
          <t>米朵的研究</t>
        </is>
      </c>
      <c r="F299" s="122" t="n"/>
      <c r="G299" s="122" t="inlineStr">
        <is>
          <t>https://pgy.xiaohongshu.com/solar/pre-trade/blogger-detail/63a1cb0c00000000260044df?track_id=kolSimilar_dd30ef63e9ad4559aa010add8176bccc&amp;source=Advertiser_Similar_Kol</t>
        </is>
      </c>
      <c r="H299" s="122" t="inlineStr">
        <is>
          <t>https://www.xiaohongshu.com/user/profile/63a1cb0c00000000260044df</t>
        </is>
      </c>
      <c r="I299" s="18" t="n">
        <v>5399633067</v>
      </c>
      <c r="J299" s="18" t="n"/>
      <c r="K299" s="18" t="inlineStr">
        <is>
          <t>家居家装</t>
        </is>
      </c>
      <c r="L299" s="18" t="inlineStr">
        <is>
          <t>koc</t>
        </is>
      </c>
      <c r="M299" s="18" t="n">
        <v>1.5</v>
      </c>
      <c r="N299" s="18" t="n">
        <v>20.9</v>
      </c>
      <c r="O299" s="18" t="inlineStr">
        <is>
          <t>图文</t>
        </is>
      </c>
      <c r="P299" s="21" t="n">
        <v>0.76</v>
      </c>
      <c r="Q299" s="18" t="n"/>
      <c r="R299" s="18" t="n"/>
      <c r="S299" s="18" t="n"/>
      <c r="T299" s="21" t="n">
        <v>0.16</v>
      </c>
      <c r="U299" s="21" t="n">
        <v>0.31</v>
      </c>
      <c r="V299" s="22" t="n">
        <v>9733</v>
      </c>
      <c r="W299" s="18" t="n">
        <v>139</v>
      </c>
      <c r="X299" s="18" t="n">
        <v>1200</v>
      </c>
      <c r="Y299" s="18">
        <f>X299*1.1</f>
        <v/>
      </c>
      <c r="Z299" s="20">
        <f>Y299/V299</f>
        <v/>
      </c>
      <c r="AA299" s="20">
        <f>Y299/W299</f>
        <v/>
      </c>
      <c r="AB299" s="18" t="n"/>
      <c r="AC299" s="18" t="n"/>
      <c r="AD299" s="18" t="n"/>
      <c r="AE299" s="18" t="n"/>
    </row>
    <row r="300" ht="84.15000000000001" customHeight="1" s="151">
      <c r="A300" s="18" t="n"/>
      <c r="B300" s="18" t="n"/>
      <c r="C300" s="17" t="n">
        <v>46094</v>
      </c>
      <c r="D300" s="18" t="inlineStr">
        <is>
          <t>电商</t>
        </is>
      </c>
      <c r="E300" s="18" t="inlineStr">
        <is>
          <t>嘻嘻装修日记（软装中）🌈</t>
        </is>
      </c>
      <c r="F300" s="122" t="n"/>
      <c r="G300" s="122" t="inlineStr">
        <is>
          <t>https://pgy.xiaohongshu.com/solar/pre-trade/blogger-detail/6389f847000000001f01562b?track_id=kolSimilar_dd30ef63e9ad4559aa010add8176bccc&amp;source=Advertiser_Similar_Kol</t>
        </is>
      </c>
      <c r="H300" s="122" t="inlineStr">
        <is>
          <t>https://www.xiaohongshu.com/user/profile/6389f847000000001f01562b</t>
        </is>
      </c>
      <c r="I300" s="18" t="inlineStr">
        <is>
          <t>bwj0014</t>
        </is>
      </c>
      <c r="J300" s="18" t="n"/>
      <c r="K300" s="18" t="inlineStr">
        <is>
          <t>家居家装</t>
        </is>
      </c>
      <c r="L300" s="18" t="inlineStr">
        <is>
          <t>koc</t>
        </is>
      </c>
      <c r="M300" s="18" t="n">
        <v>0.6</v>
      </c>
      <c r="N300" s="18" t="n">
        <v>4.4</v>
      </c>
      <c r="O300" s="18" t="inlineStr">
        <is>
          <t>图文</t>
        </is>
      </c>
      <c r="P300" s="21" t="n">
        <v>0.89</v>
      </c>
      <c r="Q300" s="18" t="n"/>
      <c r="R300" s="18" t="n"/>
      <c r="S300" s="18" t="n"/>
      <c r="T300" s="21" t="n">
        <v>0.22</v>
      </c>
      <c r="U300" s="21" t="n">
        <v>0.41</v>
      </c>
      <c r="V300" s="22" t="n">
        <v>2503</v>
      </c>
      <c r="W300" s="18" t="n">
        <v>371</v>
      </c>
      <c r="X300" s="18" t="n">
        <v>700</v>
      </c>
      <c r="Y300" s="18">
        <f>X300*1.1</f>
        <v/>
      </c>
      <c r="Z300" s="20">
        <f>Y300/V300</f>
        <v/>
      </c>
      <c r="AA300" s="20">
        <f>Y300/W300</f>
        <v/>
      </c>
      <c r="AB300" s="18" t="n"/>
      <c r="AC300" s="18" t="n"/>
      <c r="AD300" s="18" t="n"/>
      <c r="AE300" s="18" t="n"/>
    </row>
    <row r="301" ht="90.09999999999999" customHeight="1" s="151">
      <c r="A301" s="18" t="n"/>
      <c r="B301" s="18" t="n"/>
      <c r="C301" s="17" t="n">
        <v>46094</v>
      </c>
      <c r="D301" s="18" t="inlineStr">
        <is>
          <t>电商</t>
        </is>
      </c>
      <c r="E301" s="18" t="inlineStr">
        <is>
          <t>爱家爱生活</t>
        </is>
      </c>
      <c r="F301" s="122" t="n"/>
      <c r="G301" s="122" t="inlineStr">
        <is>
          <t>https://pgy.xiaohongshu.com/solar/pre-trade/blogger-detail/60c5e694000000000100a847?track_id=kolSimilar_22bb85893a074a6093921c45a41a3b6c&amp;source=Advertiser_Similar_Kol</t>
        </is>
      </c>
      <c r="H301" s="122" t="inlineStr">
        <is>
          <t>https://www.xiaohongshu.com/user/profile/60c5e694000000000100a847</t>
        </is>
      </c>
      <c r="I301" s="18" t="n">
        <v>1150032865</v>
      </c>
      <c r="J301" s="18" t="n"/>
      <c r="K301" s="18" t="inlineStr">
        <is>
          <t>家居家装</t>
        </is>
      </c>
      <c r="L301" s="18" t="inlineStr">
        <is>
          <t>koc</t>
        </is>
      </c>
      <c r="M301" s="18" t="n">
        <v>0.2</v>
      </c>
      <c r="N301" s="18" t="n">
        <v>2.8</v>
      </c>
      <c r="O301" s="18" t="inlineStr">
        <is>
          <t>图文</t>
        </is>
      </c>
      <c r="P301" s="21" t="n">
        <v>0.83</v>
      </c>
      <c r="Q301" s="18" t="n"/>
      <c r="R301" s="18" t="n"/>
      <c r="S301" s="18" t="n"/>
      <c r="T301" s="21" t="n">
        <v>0.19</v>
      </c>
      <c r="U301" s="21" t="n">
        <v>0.35</v>
      </c>
      <c r="V301" s="22" t="n">
        <v>1193</v>
      </c>
      <c r="W301" s="18" t="n">
        <v>136</v>
      </c>
      <c r="X301" s="18" t="n">
        <v>300</v>
      </c>
      <c r="Y301" s="18">
        <f>X301*1.1</f>
        <v/>
      </c>
      <c r="Z301" s="20">
        <f>Y301/V301</f>
        <v/>
      </c>
      <c r="AA301" s="20">
        <f>Y301/W301</f>
        <v/>
      </c>
      <c r="AB301" s="18" t="n"/>
      <c r="AC301" s="18" t="n"/>
      <c r="AD301" s="18" t="n"/>
      <c r="AE301" s="18" t="n"/>
    </row>
    <row r="302" ht="91.15000000000001" customHeight="1" s="151">
      <c r="A302" s="18" t="n"/>
      <c r="B302" s="18" t="n"/>
      <c r="C302" s="17" t="n">
        <v>46094</v>
      </c>
      <c r="D302" s="18" t="inlineStr">
        <is>
          <t>电商</t>
        </is>
      </c>
      <c r="E302" s="18" t="inlineStr">
        <is>
          <t>饱饱.</t>
        </is>
      </c>
      <c r="F302" s="122" t="n"/>
      <c r="G302" s="122" t="inlineStr">
        <is>
          <t>https://pgy.xiaohongshu.com/solar/pre-trade/blogger-detail/65ff0ee7000000000b00ecd3?track_id=kolSimilar_79217c7acaa64b89a428a6ea804cbfc9&amp;source=Advertiser_Similar_Kol</t>
        </is>
      </c>
      <c r="H302" s="122" t="inlineStr">
        <is>
          <t>https://www.xiaohongshu.com/user/profile/65ff0ee7000000000b00ecd3</t>
        </is>
      </c>
      <c r="I302" s="18" t="n">
        <v>26399202137</v>
      </c>
      <c r="J302" s="18" t="n"/>
      <c r="K302" s="18" t="inlineStr">
        <is>
          <t>家居家装</t>
        </is>
      </c>
      <c r="L302" s="18" t="inlineStr">
        <is>
          <t>koc</t>
        </is>
      </c>
      <c r="M302" s="18" t="n">
        <v>0.2</v>
      </c>
      <c r="N302" s="18" t="n">
        <v>6.2</v>
      </c>
      <c r="O302" s="18" t="inlineStr">
        <is>
          <t>图文</t>
        </is>
      </c>
      <c r="P302" s="21" t="n">
        <v>0.74</v>
      </c>
      <c r="Q302" s="18" t="n"/>
      <c r="R302" s="18" t="n"/>
      <c r="S302" s="18" t="n"/>
      <c r="T302" s="21" t="n">
        <v>0.35</v>
      </c>
      <c r="U302" s="21" t="n">
        <v>0.17</v>
      </c>
      <c r="V302" s="18" t="n">
        <v>946</v>
      </c>
      <c r="W302" s="18" t="n">
        <v>215</v>
      </c>
      <c r="X302" s="18" t="n">
        <v>300</v>
      </c>
      <c r="Y302" s="18">
        <f>X302*1.1</f>
        <v/>
      </c>
      <c r="Z302" s="20">
        <f>Y302/V302</f>
        <v/>
      </c>
      <c r="AA302" s="20">
        <f>Y302/W302</f>
        <v/>
      </c>
      <c r="AB302" s="18" t="n"/>
      <c r="AC302" s="18" t="n"/>
      <c r="AD302" s="18" t="n"/>
      <c r="AE302" s="18" t="n"/>
    </row>
    <row r="303" ht="89.55" customHeight="1" s="151">
      <c r="A303" s="18" t="n"/>
      <c r="B303" s="18" t="n"/>
      <c r="C303" s="17" t="n">
        <v>46094</v>
      </c>
      <c r="D303" s="18" t="inlineStr">
        <is>
          <t>电商</t>
        </is>
      </c>
      <c r="E303" s="18" t="inlineStr">
        <is>
          <t>小土豆的窝</t>
        </is>
      </c>
      <c r="F303" s="122" t="n"/>
      <c r="G303" s="122" t="inlineStr">
        <is>
          <t>https://pgy.xiaohongshu.com/solar/pre-trade/blogger-detail/66f57192000000000b0314ad?track_id=kolSimilar_79217c7acaa64b89a428a6ea804cbfc9&amp;source=Advertiser_Similar_Kol</t>
        </is>
      </c>
      <c r="H303" s="122" t="inlineStr">
        <is>
          <t>https://www.xiaohongshu.com/user/profile/66f57192000000000b0314ad</t>
        </is>
      </c>
      <c r="I303" s="18" t="n">
        <v>63808483727</v>
      </c>
      <c r="J303" s="18" t="n"/>
      <c r="K303" s="18" t="inlineStr">
        <is>
          <t>家居家装</t>
        </is>
      </c>
      <c r="L303" s="18" t="inlineStr">
        <is>
          <t>koc</t>
        </is>
      </c>
      <c r="M303" s="18" t="n">
        <v>0.1</v>
      </c>
      <c r="N303" s="18" t="n">
        <v>1.5</v>
      </c>
      <c r="O303" s="18" t="inlineStr">
        <is>
          <t>图文</t>
        </is>
      </c>
      <c r="P303" s="21" t="n">
        <v>0.8</v>
      </c>
      <c r="Q303" s="18" t="n"/>
      <c r="R303" s="18" t="n"/>
      <c r="S303" s="18" t="n"/>
      <c r="T303" s="21" t="n">
        <v>0.22</v>
      </c>
      <c r="U303" s="21" t="n">
        <v>0.31</v>
      </c>
      <c r="V303" s="22" t="n">
        <v>1173</v>
      </c>
      <c r="W303" s="18" t="n">
        <v>122</v>
      </c>
      <c r="X303" s="18" t="n">
        <v>300</v>
      </c>
      <c r="Y303" s="18">
        <f>X303*1.1</f>
        <v/>
      </c>
      <c r="Z303" s="20">
        <f>Y303/V303</f>
        <v/>
      </c>
      <c r="AA303" s="20">
        <f>Y303/W303</f>
        <v/>
      </c>
      <c r="AB303" s="18" t="n"/>
      <c r="AC303" s="18" t="n"/>
      <c r="AD303" s="18" t="n"/>
      <c r="AE303" s="18" t="n"/>
    </row>
    <row r="304" ht="86" customHeight="1" s="151">
      <c r="A304" s="18" t="n"/>
      <c r="B304" s="18" t="n"/>
      <c r="C304" s="17" t="n">
        <v>46094</v>
      </c>
      <c r="D304" s="18" t="inlineStr">
        <is>
          <t>电商</t>
        </is>
      </c>
      <c r="E304" s="18" t="inlineStr">
        <is>
          <t>Bowl</t>
        </is>
      </c>
      <c r="F304" s="122" t="n"/>
      <c r="G304" s="122" t="inlineStr">
        <is>
          <t>https://pgy.xiaohongshu.com/solar/pre-trade/blogger-detail/58bfd91f5e87e716a97ba069?track_id=kolMatch_1bec4b38fc9043e992c62a2561bb4093&amp;source=Advertiser_Kol</t>
        </is>
      </c>
      <c r="H304" s="122" t="inlineStr">
        <is>
          <t>https://www.xiaohongshu.com/user/profile/58bfd91f5e87e716a97ba069</t>
        </is>
      </c>
      <c r="I304" s="18" t="n">
        <v>111942074</v>
      </c>
      <c r="J304" s="18" t="n"/>
      <c r="K304" s="18" t="inlineStr">
        <is>
          <t>家居家装</t>
        </is>
      </c>
      <c r="L304" s="18" t="inlineStr">
        <is>
          <t>koc</t>
        </is>
      </c>
      <c r="M304" s="18" t="n">
        <v>3.7</v>
      </c>
      <c r="N304" s="18" t="n">
        <v>33.4</v>
      </c>
      <c r="O304" s="18" t="inlineStr">
        <is>
          <t>图文</t>
        </is>
      </c>
      <c r="P304" s="21" t="n">
        <v>0.9</v>
      </c>
      <c r="Q304" s="18" t="n"/>
      <c r="R304" s="18" t="n"/>
      <c r="S304" s="18" t="n"/>
      <c r="T304" s="21" t="n">
        <v>0.67</v>
      </c>
      <c r="U304" s="21" t="n">
        <v>0.08</v>
      </c>
      <c r="V304" s="22" t="n">
        <v>2598</v>
      </c>
      <c r="W304" s="18" t="n">
        <v>420</v>
      </c>
      <c r="X304" s="18" t="n">
        <v>800</v>
      </c>
      <c r="Y304" s="18">
        <f>X304*1.1</f>
        <v/>
      </c>
      <c r="Z304" s="20">
        <f>Y304/V304</f>
        <v/>
      </c>
      <c r="AA304" s="20">
        <f>Y304/W304</f>
        <v/>
      </c>
      <c r="AB304" s="18" t="n"/>
      <c r="AC304" s="18" t="n"/>
      <c r="AD304" s="18" t="n"/>
      <c r="AE304" s="18" t="n"/>
    </row>
    <row r="305" ht="83.45" customHeight="1" s="151">
      <c r="A305" s="18" t="n"/>
      <c r="B305" s="18" t="n"/>
      <c r="C305" s="17" t="n">
        <v>46094</v>
      </c>
      <c r="D305" s="18" t="inlineStr">
        <is>
          <t>电商</t>
        </is>
      </c>
      <c r="E305" s="18" t="inlineStr">
        <is>
          <t>午后三点的阳光</t>
        </is>
      </c>
      <c r="F305" s="122" t="n"/>
      <c r="G305" s="122" t="inlineStr">
        <is>
          <t>https://pgy.xiaohongshu.com/solar/pre-trade/blogger-detail/5e3db75200000000010039f2?track_id=kolMatch_1bec4b38fc9043e992c62a2561bb4093&amp;source=Advertiser_Kol</t>
        </is>
      </c>
      <c r="H305" s="122" t="inlineStr">
        <is>
          <t>https://www.xiaohongshu.com/user/profile/5e3db75200000000010039f2</t>
        </is>
      </c>
      <c r="I305" s="18" t="n">
        <v>444915564</v>
      </c>
      <c r="J305" s="18" t="n"/>
      <c r="K305" s="18" t="inlineStr">
        <is>
          <t>家居家装</t>
        </is>
      </c>
      <c r="L305" s="18" t="inlineStr">
        <is>
          <t>koc</t>
        </is>
      </c>
      <c r="M305" s="18" t="n">
        <v>1</v>
      </c>
      <c r="N305" s="18" t="n">
        <v>4.7</v>
      </c>
      <c r="O305" s="18" t="inlineStr">
        <is>
          <t>图文</t>
        </is>
      </c>
      <c r="P305" s="21" t="n">
        <v>0.9</v>
      </c>
      <c r="Q305" s="18" t="n"/>
      <c r="R305" s="18" t="n"/>
      <c r="S305" s="18" t="n"/>
      <c r="T305" s="21" t="n">
        <v>0.73</v>
      </c>
      <c r="U305" s="21" t="n">
        <v>0.12</v>
      </c>
      <c r="V305" s="22" t="n">
        <v>3595</v>
      </c>
      <c r="W305" s="18" t="n">
        <v>428</v>
      </c>
      <c r="X305" s="18" t="n">
        <v>750</v>
      </c>
      <c r="Y305" s="18">
        <f>X305*1.1</f>
        <v/>
      </c>
      <c r="Z305" s="20">
        <f>Y305/V305</f>
        <v/>
      </c>
      <c r="AA305" s="20">
        <f>Y305/W305</f>
        <v/>
      </c>
      <c r="AB305" s="18" t="n"/>
      <c r="AC305" s="18" t="n"/>
      <c r="AD305" s="18" t="n"/>
      <c r="AE305" s="18" t="n"/>
    </row>
    <row r="306" ht="93.59999999999999" customHeight="1" s="151">
      <c r="A306" s="18" t="n"/>
      <c r="B306" s="18" t="n"/>
      <c r="C306" s="17" t="n">
        <v>46094</v>
      </c>
      <c r="D306" s="18" t="inlineStr">
        <is>
          <t>电商</t>
        </is>
      </c>
      <c r="E306" s="18" t="inlineStr">
        <is>
          <t>莫一荔</t>
        </is>
      </c>
      <c r="F306" s="122" t="n"/>
      <c r="G306" s="122" t="inlineStr">
        <is>
          <t>https://pgy.xiaohongshu.com/solar/pre-trade/blogger-detail/65407518000000000200d0a7?track_id=kolMatch_19089dbfb93a405aa84a56ddcde2d055&amp;source=Advertiser_Kol</t>
        </is>
      </c>
      <c r="H306" s="122" t="inlineStr">
        <is>
          <t>https://www.xiaohongshu.com/user/profile/65407518000000000200d0a7</t>
        </is>
      </c>
      <c r="I306" s="18" t="inlineStr">
        <is>
          <t>xrj370637</t>
        </is>
      </c>
      <c r="J306" s="18" t="n"/>
      <c r="K306" s="18" t="inlineStr">
        <is>
          <t>家居家装</t>
        </is>
      </c>
      <c r="L306" s="18" t="inlineStr">
        <is>
          <t>koc</t>
        </is>
      </c>
      <c r="M306" s="18" t="n">
        <v>1.1</v>
      </c>
      <c r="N306" s="18" t="n">
        <v>5.2</v>
      </c>
      <c r="O306" s="18" t="inlineStr">
        <is>
          <t>图文</t>
        </is>
      </c>
      <c r="P306" s="21" t="n">
        <v>0.85</v>
      </c>
      <c r="Q306" s="18" t="n"/>
      <c r="R306" s="18" t="n"/>
      <c r="S306" s="18" t="n"/>
      <c r="T306" s="21" t="n">
        <v>0.47</v>
      </c>
      <c r="U306" s="21" t="n">
        <v>0.19</v>
      </c>
      <c r="V306" s="18" t="n">
        <v>4900</v>
      </c>
      <c r="W306" s="18" t="n">
        <v>150</v>
      </c>
      <c r="X306" s="18" t="n">
        <v>1000</v>
      </c>
      <c r="Y306" s="18">
        <f>X306*1.1</f>
        <v/>
      </c>
      <c r="Z306" s="20">
        <f>Y306/V306</f>
        <v/>
      </c>
      <c r="AA306" s="20">
        <f>Y306/W306</f>
        <v/>
      </c>
      <c r="AB306" s="18" t="n"/>
      <c r="AC306" s="18" t="n"/>
      <c r="AD306" s="18" t="n"/>
      <c r="AE306" s="18" t="n"/>
    </row>
    <row r="307">
      <c r="A307" s="18" t="n"/>
      <c r="B307" s="18" t="n"/>
      <c r="C307" s="17" t="n">
        <v>46094</v>
      </c>
      <c r="D307" s="18" t="inlineStr">
        <is>
          <t>品牌</t>
        </is>
      </c>
      <c r="E307" s="18" t="inlineStr">
        <is>
          <t>古典清风</t>
        </is>
      </c>
      <c r="F307" s="122" t="n"/>
      <c r="G307" s="122" t="inlineStr">
        <is>
          <t>https://pgy.xiaohongshu.com/solar/pre-trade/blogger-detail/5daee48a000000000100233c?track_id=kolMatch_6e6da988d8824bf7b8dfa407556c985a&amp;source=Advertiser_Kol</t>
        </is>
      </c>
      <c r="H307" s="122" t="inlineStr">
        <is>
          <t>https://www.xiaohongshu.com/user/profile/5daee48a000000000100233c</t>
        </is>
      </c>
      <c r="I307" s="18" t="n">
        <v>875969195</v>
      </c>
      <c r="J307" s="18" t="n"/>
      <c r="K307" s="18" t="inlineStr">
        <is>
          <t>家居家装</t>
        </is>
      </c>
      <c r="L307" s="18" t="inlineStr">
        <is>
          <t>koc</t>
        </is>
      </c>
      <c r="M307" s="18" t="n">
        <v>0.9</v>
      </c>
      <c r="N307" s="18" t="n">
        <v>11.7</v>
      </c>
      <c r="O307" s="18" t="inlineStr">
        <is>
          <t>图文</t>
        </is>
      </c>
      <c r="P307" s="21" t="n">
        <v>0.82</v>
      </c>
      <c r="Q307" s="21" t="n">
        <v>0.09</v>
      </c>
      <c r="R307" s="21" t="n">
        <v>0.42</v>
      </c>
      <c r="S307" s="21" t="n">
        <v>0.33</v>
      </c>
      <c r="T307" s="21" t="n">
        <v>0.48</v>
      </c>
      <c r="U307" s="21" t="n">
        <v>0.17</v>
      </c>
      <c r="V307" s="18" t="n">
        <v>5000</v>
      </c>
      <c r="W307" s="18" t="n">
        <v>150</v>
      </c>
      <c r="X307" s="18" t="n">
        <v>1000</v>
      </c>
      <c r="Y307" s="18">
        <f>X307*1.1</f>
        <v/>
      </c>
      <c r="Z307" s="20">
        <f>Y307/V307</f>
        <v/>
      </c>
      <c r="AA307" s="20">
        <f>Y307/W307</f>
        <v/>
      </c>
      <c r="AB307" s="18" t="n"/>
      <c r="AC307" s="18" t="n"/>
      <c r="AD307" s="18" t="n"/>
      <c r="AE307" s="18" t="n"/>
    </row>
    <row r="308">
      <c r="A308" s="18" t="n"/>
      <c r="B308" s="18" t="n"/>
      <c r="C308" s="17" t="n">
        <v>46094</v>
      </c>
      <c r="D308" s="18" t="inlineStr">
        <is>
          <t>品牌</t>
        </is>
      </c>
      <c r="E308" s="18" t="inlineStr">
        <is>
          <t>食光收藏家阿申</t>
        </is>
      </c>
      <c r="F308" s="122" t="n"/>
      <c r="G308" s="122" t="inlineStr">
        <is>
          <t>https://pgy.xiaohongshu.com/solar/pre-trade/blogger-detail/64e030200000000001011a2f?track_id=kolMatch_6e6da988d8824bf7b8dfa407556c985a&amp;source=Advertiser_Kol</t>
        </is>
      </c>
      <c r="H308" s="122" t="inlineStr">
        <is>
          <t>https://www.xiaohongshu.com/user/profile/64e030200000000001011a2f</t>
        </is>
      </c>
      <c r="I308" s="18" t="inlineStr">
        <is>
          <t>WuLiAS1212</t>
        </is>
      </c>
      <c r="J308" s="18" t="n"/>
      <c r="K308" s="18" t="inlineStr">
        <is>
          <t>家居家装</t>
        </is>
      </c>
      <c r="L308" s="18" t="inlineStr">
        <is>
          <t>koc</t>
        </is>
      </c>
      <c r="M308" s="18" t="n">
        <v>0.3</v>
      </c>
      <c r="N308" s="18" t="n">
        <v>1.8</v>
      </c>
      <c r="O308" s="18" t="inlineStr">
        <is>
          <t>图文</t>
        </is>
      </c>
      <c r="P308" s="21" t="n">
        <v>0.9</v>
      </c>
      <c r="Q308" s="21" t="n">
        <v>0.16</v>
      </c>
      <c r="R308" s="21" t="n">
        <v>0.55</v>
      </c>
      <c r="S308" s="21" t="n">
        <v>0.21</v>
      </c>
      <c r="T308" s="21" t="n">
        <v>0.65</v>
      </c>
      <c r="U308" s="21" t="n">
        <v>0.12</v>
      </c>
      <c r="V308" s="22" t="n">
        <v>11138</v>
      </c>
      <c r="W308" s="18" t="n">
        <v>363</v>
      </c>
      <c r="X308" s="18" t="n">
        <v>550</v>
      </c>
      <c r="Y308" s="18">
        <f>X308*1.1</f>
        <v/>
      </c>
      <c r="Z308" s="20">
        <f>Y308/V308</f>
        <v/>
      </c>
      <c r="AA308" s="20">
        <f>Y308/W308</f>
        <v/>
      </c>
      <c r="AB308" s="18" t="n"/>
      <c r="AC308" s="18" t="n"/>
      <c r="AD308" s="18" t="n"/>
      <c r="AE308" s="18" t="n"/>
    </row>
    <row r="309">
      <c r="A309" s="18" t="n"/>
      <c r="B309" s="18" t="n"/>
      <c r="C309" s="17" t="n">
        <v>46094</v>
      </c>
      <c r="D309" s="18" t="inlineStr">
        <is>
          <t>品牌</t>
        </is>
      </c>
      <c r="E309" s="18" t="inlineStr">
        <is>
          <t>装修新家的小小陈</t>
        </is>
      </c>
      <c r="F309" s="122" t="n"/>
      <c r="G309" s="122" t="inlineStr">
        <is>
          <t>https://pgy.xiaohongshu.com/solar/pre-trade/blogger-detail/5bd555b06dd37b00016f9072?track_id=kolMatch_ef4c0070bab04539a9a2097f7a7769ca&amp;source=Advertiser_Kol</t>
        </is>
      </c>
      <c r="H309" s="122" t="inlineStr">
        <is>
          <t>https://www.xiaohongshu.com/user/profile/5bd555b06dd37b00016f9072</t>
        </is>
      </c>
      <c r="I309" s="18" t="n">
        <v>151475021</v>
      </c>
      <c r="J309" s="18" t="n"/>
      <c r="K309" s="18" t="inlineStr">
        <is>
          <t>家居家装</t>
        </is>
      </c>
      <c r="L309" s="18" t="inlineStr">
        <is>
          <t>koc</t>
        </is>
      </c>
      <c r="M309" s="18" t="n">
        <v>0.5</v>
      </c>
      <c r="N309" s="18" t="n">
        <v>15.9</v>
      </c>
      <c r="O309" s="18" t="inlineStr">
        <is>
          <t>图文</t>
        </is>
      </c>
      <c r="P309" s="21" t="n">
        <v>0.88</v>
      </c>
      <c r="Q309" s="21" t="n">
        <v>0.06</v>
      </c>
      <c r="R309" s="21" t="n">
        <v>0.67</v>
      </c>
      <c r="S309" s="21" t="n">
        <v>0.2</v>
      </c>
      <c r="T309" s="21" t="n">
        <v>0.52</v>
      </c>
      <c r="U309" s="21" t="n">
        <v>0.15</v>
      </c>
      <c r="V309" s="18" t="n">
        <v>269</v>
      </c>
      <c r="W309" s="18" t="n">
        <v>69</v>
      </c>
      <c r="X309" s="18" t="n">
        <v>900</v>
      </c>
      <c r="Y309" s="18">
        <f>X309*1.1</f>
        <v/>
      </c>
      <c r="Z309" s="20">
        <f>Y309/V309</f>
        <v/>
      </c>
      <c r="AA309" s="20">
        <f>Y309/W309</f>
        <v/>
      </c>
      <c r="AB309" s="18" t="n"/>
      <c r="AC309" s="18" t="n"/>
      <c r="AD309" s="18" t="n"/>
      <c r="AE309" s="18" t="n"/>
    </row>
    <row r="310">
      <c r="A310" s="18" t="n"/>
      <c r="B310" s="18" t="n"/>
      <c r="C310" s="17" t="n">
        <v>46094</v>
      </c>
      <c r="D310" s="18" t="inlineStr">
        <is>
          <t>品牌</t>
        </is>
      </c>
      <c r="E310" s="18" t="inlineStr">
        <is>
          <t>🦋司温</t>
        </is>
      </c>
      <c r="F310" s="122" t="n"/>
      <c r="G310" s="122" t="inlineStr">
        <is>
          <t>https://pgy.xiaohongshu.com/solar/pre-trade/blogger-detail/60ac89fd000000000100aaa4?track_id=kolMatch_ef4c0070bab04539a9a2097f7a7769ca&amp;source=Advertiser_Kol</t>
        </is>
      </c>
      <c r="H310" s="122" t="inlineStr">
        <is>
          <t>https://www.xiaohongshu.com/user/profile/60ac89fd000000000100aaa4</t>
        </is>
      </c>
      <c r="I310" s="18" t="n">
        <v>2601754210</v>
      </c>
      <c r="J310" s="18" t="n"/>
      <c r="K310" s="18" t="inlineStr">
        <is>
          <t>家居家装</t>
        </is>
      </c>
      <c r="L310" s="18" t="inlineStr">
        <is>
          <t>koc</t>
        </is>
      </c>
      <c r="M310" s="18" t="n">
        <v>0.4</v>
      </c>
      <c r="N310" s="18" t="n">
        <v>7.7</v>
      </c>
      <c r="O310" s="18" t="inlineStr">
        <is>
          <t>图文</t>
        </is>
      </c>
      <c r="P310" s="21" t="n">
        <v>0.87</v>
      </c>
      <c r="Q310" s="21" t="n">
        <v>0.08</v>
      </c>
      <c r="R310" s="21" t="n">
        <v>0.53</v>
      </c>
      <c r="S310" s="21" t="n">
        <v>0.28</v>
      </c>
      <c r="T310" s="21" t="n">
        <v>0.62</v>
      </c>
      <c r="U310" s="21" t="n">
        <v>0.15</v>
      </c>
      <c r="V310" s="22" t="n">
        <v>3846</v>
      </c>
      <c r="W310" s="18" t="n">
        <v>405</v>
      </c>
      <c r="X310" s="18" t="n">
        <v>980</v>
      </c>
      <c r="Y310" s="18">
        <f>X310*1.1</f>
        <v/>
      </c>
      <c r="Z310" s="20">
        <f>Y310/V310</f>
        <v/>
      </c>
      <c r="AA310" s="20">
        <f>Y310/W310</f>
        <v/>
      </c>
      <c r="AB310" s="18" t="n"/>
      <c r="AC310" s="18" t="n"/>
      <c r="AD310" s="18" t="n"/>
      <c r="AE310" s="18" t="n"/>
    </row>
    <row r="311">
      <c r="A311" s="18" t="n"/>
      <c r="B311" s="18" t="n"/>
      <c r="C311" s="17" t="n">
        <v>46094</v>
      </c>
      <c r="D311" s="18" t="inlineStr">
        <is>
          <t>品牌</t>
        </is>
      </c>
      <c r="E311" s="18" t="inlineStr">
        <is>
          <t>荔枝家</t>
        </is>
      </c>
      <c r="F311" s="122" t="n"/>
      <c r="G311" s="122" t="inlineStr">
        <is>
          <t>https://pgy.xiaohongshu.com/solar/pre-trade/blogger-detail/651d3cd3000000002402f725?track_id=kolMatch_ef4c0070bab04539a9a2097f7a7769ca&amp;source=Advertiser_Kol</t>
        </is>
      </c>
      <c r="H311" s="122" t="inlineStr">
        <is>
          <t>https://www.xiaohongshu.com/user/profile/651d3cd3000000002402f725</t>
        </is>
      </c>
      <c r="I311" s="18" t="n">
        <v>5942424989</v>
      </c>
      <c r="J311" s="18" t="n"/>
      <c r="K311" s="18" t="inlineStr">
        <is>
          <t>家居家装</t>
        </is>
      </c>
      <c r="L311" s="18" t="inlineStr">
        <is>
          <t>koc</t>
        </is>
      </c>
      <c r="M311" s="18" t="n">
        <v>0.2</v>
      </c>
      <c r="N311" s="18" t="n">
        <v>5.8</v>
      </c>
      <c r="O311" s="18" t="inlineStr">
        <is>
          <t>图文</t>
        </is>
      </c>
      <c r="P311" s="21" t="n">
        <v>0.89</v>
      </c>
      <c r="Q311" s="21" t="n">
        <v>0.13</v>
      </c>
      <c r="R311" s="21" t="n">
        <v>0.55</v>
      </c>
      <c r="S311" s="21" t="n">
        <v>0.19</v>
      </c>
      <c r="T311" s="21" t="n">
        <v>0.63</v>
      </c>
      <c r="U311" s="21" t="n">
        <v>0.14</v>
      </c>
      <c r="V311" s="22" t="n">
        <v>3677</v>
      </c>
      <c r="W311" s="18" t="n">
        <v>517</v>
      </c>
      <c r="X311" s="18" t="n">
        <v>950</v>
      </c>
      <c r="Y311" s="18">
        <f>X311*1.1</f>
        <v/>
      </c>
      <c r="Z311" s="20">
        <f>Y311/V311</f>
        <v/>
      </c>
      <c r="AA311" s="20">
        <f>Y311/W311</f>
        <v/>
      </c>
      <c r="AB311" s="18" t="n"/>
      <c r="AC311" s="18" t="n"/>
      <c r="AD311" s="18" t="n"/>
      <c r="AE311" s="18" t="n"/>
    </row>
    <row r="312">
      <c r="A312" s="18" t="n"/>
      <c r="B312" s="18" t="n"/>
      <c r="C312" s="17" t="n">
        <v>46094</v>
      </c>
      <c r="D312" s="18" t="inlineStr">
        <is>
          <t>品牌</t>
        </is>
      </c>
      <c r="E312" s="18" t="inlineStr">
        <is>
          <t>今天午饭 bot</t>
        </is>
      </c>
      <c r="F312" s="122" t="n"/>
      <c r="G312" s="122" t="inlineStr">
        <is>
          <t>https://pgy.xiaohongshu.com/solar/pre-trade/blogger-detail/5bdec839b50d3b0001388627?track_id=kolMatch_082226d533274b0ab63e4f947937f008&amp;source=Advertiser_Kol</t>
        </is>
      </c>
      <c r="H312" s="122" t="inlineStr">
        <is>
          <t>https://www.xiaohongshu.com/user/profile/5bdec839b50d3b0001388627</t>
        </is>
      </c>
      <c r="I312" s="18" t="n">
        <v>151207852</v>
      </c>
      <c r="J312" s="18" t="n"/>
      <c r="K312" s="18" t="inlineStr">
        <is>
          <t>家居家装</t>
        </is>
      </c>
      <c r="L312" s="18" t="inlineStr">
        <is>
          <t>koc</t>
        </is>
      </c>
      <c r="M312" s="18" t="n">
        <v>3.4</v>
      </c>
      <c r="N312" s="18" t="n">
        <v>22.5</v>
      </c>
      <c r="O312" s="18" t="inlineStr">
        <is>
          <t>图文</t>
        </is>
      </c>
      <c r="P312" s="21" t="n">
        <v>0.93</v>
      </c>
      <c r="Q312" s="21" t="n">
        <v>0.18</v>
      </c>
      <c r="R312" s="21" t="n">
        <v>0.65</v>
      </c>
      <c r="S312" s="21" t="n">
        <v>0.11</v>
      </c>
      <c r="T312" s="21" t="n">
        <v>0.8</v>
      </c>
      <c r="U312" s="21" t="n">
        <v>0.06</v>
      </c>
      <c r="V312" s="22" t="n">
        <v>14444</v>
      </c>
      <c r="W312" s="22" t="n">
        <v>1170</v>
      </c>
      <c r="X312" s="18" t="n">
        <v>1000</v>
      </c>
      <c r="Y312" s="18">
        <f>X312*1.1</f>
        <v/>
      </c>
      <c r="Z312" s="20">
        <f>Y312/V312</f>
        <v/>
      </c>
      <c r="AA312" s="20">
        <f>Y312/W312</f>
        <v/>
      </c>
      <c r="AB312" s="18" t="n"/>
      <c r="AC312" s="18" t="n"/>
      <c r="AD312" s="18" t="n"/>
      <c r="AE312" s="18" t="n"/>
    </row>
    <row r="313">
      <c r="A313" s="18" t="n"/>
      <c r="B313" s="18" t="n"/>
      <c r="C313" s="17" t="n">
        <v>46094</v>
      </c>
      <c r="D313" s="18" t="inlineStr">
        <is>
          <t>品牌</t>
        </is>
      </c>
      <c r="E313" s="18" t="inlineStr">
        <is>
          <t>不一爱喝气泡水</t>
        </is>
      </c>
      <c r="F313" s="122" t="n"/>
      <c r="G313" s="122" t="inlineStr">
        <is>
          <t>https://pgy.xiaohongshu.com/solar/pre-trade/blogger-detail/68cd8c1700000000210210b9?track_id=kolMatch_ef4c0070bab04539a9a2097f7a7769ca&amp;source=Advertiser_Kol</t>
        </is>
      </c>
      <c r="H313" s="122" t="inlineStr">
        <is>
          <t>https://www.xiaohongshu.com/user/profile/68cd8c1700000000210210b9</t>
        </is>
      </c>
      <c r="I313" s="18" t="n">
        <v>49756090785</v>
      </c>
      <c r="J313" s="18" t="n"/>
      <c r="K313" s="18" t="inlineStr">
        <is>
          <t>家居家装</t>
        </is>
      </c>
      <c r="L313" s="18" t="inlineStr">
        <is>
          <t>koc</t>
        </is>
      </c>
      <c r="M313" s="18" t="n">
        <v>0.7</v>
      </c>
      <c r="N313" s="18" t="n">
        <v>8</v>
      </c>
      <c r="O313" s="18" t="inlineStr">
        <is>
          <t>图文</t>
        </is>
      </c>
      <c r="P313" s="21" t="n">
        <v>0.76</v>
      </c>
      <c r="Q313" s="21" t="n">
        <v>0.13</v>
      </c>
      <c r="R313" s="21" t="n">
        <v>0.34</v>
      </c>
      <c r="S313" s="21" t="n">
        <v>0.21</v>
      </c>
      <c r="T313" s="21" t="n">
        <v>0.23</v>
      </c>
      <c r="U313" s="21" t="n">
        <v>0.26</v>
      </c>
      <c r="V313" s="22" t="n">
        <v>4297</v>
      </c>
      <c r="W313" s="18" t="n">
        <v>419</v>
      </c>
      <c r="X313" s="18" t="n">
        <v>800</v>
      </c>
      <c r="Y313" s="18">
        <f>X313*1.1</f>
        <v/>
      </c>
      <c r="Z313" s="20">
        <f>Y313/V313</f>
        <v/>
      </c>
      <c r="AA313" s="20">
        <f>Y313/W313</f>
        <v/>
      </c>
      <c r="AB313" s="18" t="n"/>
      <c r="AC313" s="18" t="n"/>
      <c r="AD313" s="18" t="n"/>
      <c r="AE313" s="18" t="n"/>
    </row>
    <row r="314">
      <c r="A314" s="18" t="n"/>
      <c r="B314" s="18" t="n"/>
      <c r="C314" s="17" t="n">
        <v>46094</v>
      </c>
      <c r="D314" s="18" t="inlineStr">
        <is>
          <t>品牌</t>
        </is>
      </c>
      <c r="E314" s="18" t="inlineStr">
        <is>
          <t>Cici呀</t>
        </is>
      </c>
      <c r="F314" s="122" t="n"/>
      <c r="G314" s="122" t="inlineStr">
        <is>
          <t>https://pgy.xiaohongshu.com/solar/pre-trade/blogger-detail/5afd19faf7e8b9037d661bfb?track_id=kolMatch_19089dbfb93a405aa84a56ddcde2d055&amp;source=Advertiser_Kol</t>
        </is>
      </c>
      <c r="H314" s="122" t="inlineStr">
        <is>
          <t>https://www.xiaohongshu.com/user/profile/5afd19faf7e8b9037d661bfb</t>
        </is>
      </c>
      <c r="I314" s="18" t="n">
        <v>957119430</v>
      </c>
      <c r="J314" s="18" t="n"/>
      <c r="K314" s="18" t="inlineStr">
        <is>
          <t>家居家装</t>
        </is>
      </c>
      <c r="L314" s="18" t="inlineStr">
        <is>
          <t>koc</t>
        </is>
      </c>
      <c r="M314" s="18" t="n">
        <v>0.2</v>
      </c>
      <c r="N314" s="18" t="n">
        <v>2.1</v>
      </c>
      <c r="O314" s="18" t="inlineStr">
        <is>
          <t>图文</t>
        </is>
      </c>
      <c r="P314" s="21" t="n">
        <v>0.76</v>
      </c>
      <c r="Q314" s="21" t="n">
        <v>0.11</v>
      </c>
      <c r="R314" s="21" t="n">
        <v>0.44</v>
      </c>
      <c r="S314" s="21" t="n">
        <v>0.29</v>
      </c>
      <c r="T314" s="21" t="n">
        <v>0.5</v>
      </c>
      <c r="U314" s="21" t="n">
        <v>0.16</v>
      </c>
      <c r="V314" s="22" t="n">
        <v>3386</v>
      </c>
      <c r="W314" s="18" t="n">
        <v>380</v>
      </c>
      <c r="X314" s="18" t="n">
        <v>750</v>
      </c>
      <c r="Y314" s="18">
        <f>X314*1.1</f>
        <v/>
      </c>
      <c r="Z314" s="20">
        <f>Y314/V314</f>
        <v/>
      </c>
      <c r="AA314" s="20">
        <f>Y314/W314</f>
        <v/>
      </c>
      <c r="AB314" s="18" t="n"/>
      <c r="AC314" s="18" t="n"/>
      <c r="AD314" s="18" t="n"/>
      <c r="AE314" s="18" t="n"/>
    </row>
    <row r="315">
      <c r="A315" s="18" t="n"/>
      <c r="B315" s="18" t="n"/>
      <c r="C315" s="17" t="n">
        <v>46094</v>
      </c>
      <c r="D315" s="18" t="inlineStr">
        <is>
          <t>品牌</t>
        </is>
      </c>
      <c r="E315" s="18" t="inlineStr">
        <is>
          <t>笑笑食光</t>
        </is>
      </c>
      <c r="F315" s="122" t="n"/>
      <c r="G315" s="122" t="inlineStr">
        <is>
          <t>https://pgy.xiaohongshu.com/solar/pre-trade/blogger-detail/5c3080e9000000000600575f?track_id=kolMatch_6cd495ae008641f4a9b896fb2299be1f&amp;source=Advertiser_Kol</t>
        </is>
      </c>
      <c r="H315" s="122" t="inlineStr">
        <is>
          <t>https://www.xiaohongshu.com/user/profile/5c3080e9000000000600575f</t>
        </is>
      </c>
      <c r="I315" s="18" t="inlineStr">
        <is>
          <t>X121433885</t>
        </is>
      </c>
      <c r="J315" s="18" t="n"/>
      <c r="K315" s="18" t="inlineStr">
        <is>
          <t>家居家装</t>
        </is>
      </c>
      <c r="L315" s="18" t="inlineStr">
        <is>
          <t>koc</t>
        </is>
      </c>
      <c r="M315" s="18" t="n">
        <v>0.7</v>
      </c>
      <c r="N315" s="18" t="n">
        <v>15.8</v>
      </c>
      <c r="O315" s="18" t="inlineStr">
        <is>
          <t>图文</t>
        </is>
      </c>
      <c r="P315" s="21" t="n">
        <v>0.84</v>
      </c>
      <c r="Q315" s="21" t="n">
        <v>0.24</v>
      </c>
      <c r="R315" s="21" t="n">
        <v>0.41</v>
      </c>
      <c r="S315" s="21" t="n">
        <v>0.2</v>
      </c>
      <c r="T315" s="21" t="n">
        <v>0.44</v>
      </c>
      <c r="U315" s="21" t="n">
        <v>0.14</v>
      </c>
      <c r="V315" s="18" t="n">
        <v>1700</v>
      </c>
      <c r="W315" s="18" t="n">
        <v>180</v>
      </c>
      <c r="X315" s="18" t="n">
        <v>1000</v>
      </c>
      <c r="Y315" s="18">
        <f>X315*1.1</f>
        <v/>
      </c>
      <c r="Z315" s="20">
        <f>Y315/V315</f>
        <v/>
      </c>
      <c r="AA315" s="20">
        <f>Y315/W315</f>
        <v/>
      </c>
      <c r="AB315" s="18" t="n"/>
      <c r="AC315" s="18" t="n"/>
      <c r="AD315" s="18" t="n"/>
      <c r="AE315" s="18" t="n"/>
    </row>
    <row r="316">
      <c r="A316" s="18" t="n"/>
      <c r="B316" s="18" t="n"/>
      <c r="C316" s="17" t="n">
        <v>46094</v>
      </c>
      <c r="D316" s="18" t="inlineStr">
        <is>
          <t>品牌</t>
        </is>
      </c>
      <c r="E316" s="18" t="inlineStr">
        <is>
          <t>陈住气的家</t>
        </is>
      </c>
      <c r="F316" s="122" t="n"/>
      <c r="G316" s="122" t="inlineStr">
        <is>
          <t>https://pgy.xiaohongshu.com/solar/pre-trade/blogger-detail/5adb4c6fe8ac2b5b6b504d3b?track_id=kolMatch_19089dbfb93a405aa84a56ddcde2d055&amp;source=Advertiser_Kol</t>
        </is>
      </c>
      <c r="H316" s="122" t="inlineStr">
        <is>
          <t>https://www.xiaohongshu.com/user/profile/5adb4c6fe8ac2b5b6b504d3b</t>
        </is>
      </c>
      <c r="I316" s="18" t="n">
        <v>491091341</v>
      </c>
      <c r="J316" s="18" t="n"/>
      <c r="K316" s="18" t="inlineStr">
        <is>
          <t>家居家装</t>
        </is>
      </c>
      <c r="L316" s="18" t="inlineStr">
        <is>
          <t>koc</t>
        </is>
      </c>
      <c r="M316" s="18" t="n">
        <v>0.5</v>
      </c>
      <c r="N316" s="18" t="n">
        <v>6.8</v>
      </c>
      <c r="O316" s="18" t="inlineStr">
        <is>
          <t>图文</t>
        </is>
      </c>
      <c r="P316" s="21" t="n">
        <v>0.84</v>
      </c>
      <c r="Q316" s="21" t="n">
        <v>0.12</v>
      </c>
      <c r="R316" s="21" t="n">
        <v>0.54</v>
      </c>
      <c r="S316" s="21" t="n">
        <v>0.12</v>
      </c>
      <c r="T316" s="21" t="n">
        <v>0.3</v>
      </c>
      <c r="U316" s="21" t="n">
        <v>0.28</v>
      </c>
      <c r="V316" s="22" t="n">
        <v>5086</v>
      </c>
      <c r="W316" s="18" t="n">
        <v>140</v>
      </c>
      <c r="X316" s="18" t="n">
        <v>900</v>
      </c>
      <c r="Y316" s="18">
        <f>X316*1.1</f>
        <v/>
      </c>
      <c r="Z316" s="20">
        <f>Y316/V316</f>
        <v/>
      </c>
      <c r="AA316" s="20">
        <f>Y316/W316</f>
        <v/>
      </c>
      <c r="AB316" s="18" t="n"/>
      <c r="AC316" s="18" t="n"/>
      <c r="AD316" s="18" t="n"/>
      <c r="AE316" s="18" t="n"/>
    </row>
    <row r="317">
      <c r="A317" s="18" t="n"/>
      <c r="B317" s="18" t="n"/>
      <c r="C317" s="17" t="n">
        <v>46094</v>
      </c>
      <c r="D317" s="18" t="inlineStr">
        <is>
          <t>品牌</t>
        </is>
      </c>
      <c r="E317" s="18" t="inlineStr">
        <is>
          <t>十一小窝</t>
        </is>
      </c>
      <c r="F317" s="122" t="n"/>
      <c r="G317" s="122" t="inlineStr">
        <is>
          <t>https://pgy.xiaohongshu.com/solar/pre-trade/blogger-detail/5ab386d54eacab17bef119b8?track_id=kolMatch_19089dbfb93a405aa84a56ddcde2d055&amp;source=Advertiser_Kol</t>
        </is>
      </c>
      <c r="H317" s="122" t="inlineStr">
        <is>
          <t>https://www.xiaohongshu.com/user/profile/5ab386d54eacab17bef119b8</t>
        </is>
      </c>
      <c r="I317" s="0" t="n">
        <v>945392148</v>
      </c>
      <c r="J317" s="18" t="n"/>
      <c r="K317" s="18" t="inlineStr">
        <is>
          <t>家居家装</t>
        </is>
      </c>
      <c r="L317" s="18" t="inlineStr">
        <is>
          <t>koc</t>
        </is>
      </c>
      <c r="M317" s="18" t="n">
        <v>0.3</v>
      </c>
      <c r="N317" s="18" t="n">
        <v>4.4</v>
      </c>
      <c r="O317" s="18" t="inlineStr">
        <is>
          <t>图文</t>
        </is>
      </c>
      <c r="P317" s="21" t="n">
        <v>0.76</v>
      </c>
      <c r="Q317" s="21" t="n">
        <v>0.12</v>
      </c>
      <c r="R317" s="21" t="n">
        <v>0.38</v>
      </c>
      <c r="S317" s="18" t="n">
        <v>295</v>
      </c>
      <c r="T317" s="21" t="n">
        <v>0.37</v>
      </c>
      <c r="U317" s="21" t="n">
        <v>0.22</v>
      </c>
      <c r="V317" s="22" t="n">
        <v>2465</v>
      </c>
      <c r="W317" s="18" t="n">
        <v>226</v>
      </c>
      <c r="X317" s="18" t="n">
        <v>1000</v>
      </c>
      <c r="Y317" s="18">
        <f>X317*1.1</f>
        <v/>
      </c>
      <c r="Z317" s="20">
        <f>Y317/V317</f>
        <v/>
      </c>
      <c r="AA317" s="20">
        <f>Y317/W317</f>
        <v/>
      </c>
      <c r="AB317" s="18" t="n"/>
      <c r="AC317" s="18" t="n"/>
      <c r="AD317" s="18" t="n"/>
      <c r="AE317" s="18" t="n"/>
    </row>
    <row r="318">
      <c r="A318" s="18" t="n"/>
      <c r="B318" s="18" t="n"/>
      <c r="C318" s="17" t="n">
        <v>46094</v>
      </c>
      <c r="D318" s="18" t="inlineStr">
        <is>
          <t>品牌</t>
        </is>
      </c>
      <c r="E318" s="18" t="inlineStr">
        <is>
          <t>诺诺宝</t>
        </is>
      </c>
      <c r="F318" s="122" t="n"/>
      <c r="G318" s="122" t="inlineStr">
        <is>
          <t>https://pgy.xiaohongshu.com/solar/pre-trade/blogger-detail/5ab7cd53e8ac2b6eca5d793c?track_id=kolMatch_19089dbfb93a405aa84a56ddcde2d055&amp;source=Advertiser_Kol</t>
        </is>
      </c>
      <c r="H318" s="122" t="inlineStr">
        <is>
          <t>https://www.xiaohongshu.com/user/profile/5ab7cd53e8ac2b6eca5d793c</t>
        </is>
      </c>
      <c r="I318" s="18" t="n">
        <v>636827089</v>
      </c>
      <c r="J318" s="18" t="n"/>
      <c r="K318" s="18" t="inlineStr">
        <is>
          <t>家居家装</t>
        </is>
      </c>
      <c r="L318" s="18" t="inlineStr">
        <is>
          <t>koc</t>
        </is>
      </c>
      <c r="M318" s="18" t="n">
        <v>0.3</v>
      </c>
      <c r="N318" s="18" t="n">
        <v>6.3</v>
      </c>
      <c r="O318" s="18" t="inlineStr">
        <is>
          <t>图文</t>
        </is>
      </c>
      <c r="P318" s="21" t="n">
        <v>0.79</v>
      </c>
      <c r="Q318" s="21" t="n">
        <v>0.06</v>
      </c>
      <c r="R318" s="21" t="n">
        <v>0.44</v>
      </c>
      <c r="S318" s="21" t="n">
        <v>0.38</v>
      </c>
      <c r="T318" s="21" t="n">
        <v>0.6</v>
      </c>
      <c r="U318" s="21" t="n">
        <v>0.18</v>
      </c>
      <c r="V318" s="22" t="n">
        <v>5340</v>
      </c>
      <c r="W318" s="18" t="n">
        <v>327</v>
      </c>
      <c r="X318" s="18" t="n">
        <v>700</v>
      </c>
      <c r="Y318" s="18">
        <f>X318*1.1</f>
        <v/>
      </c>
      <c r="Z318" s="20">
        <f>Y318/V318</f>
        <v/>
      </c>
      <c r="AA318" s="20">
        <f>Y318/W318</f>
        <v/>
      </c>
      <c r="AB318" s="18" t="n"/>
      <c r="AC318" s="18" t="n"/>
      <c r="AD318" s="18" t="n"/>
      <c r="AE318" s="18" t="n"/>
    </row>
    <row r="319">
      <c r="A319" s="18" t="n"/>
      <c r="B319" s="18" t="n"/>
      <c r="C319" s="17" t="n">
        <v>46094</v>
      </c>
      <c r="D319" s="18" t="inlineStr">
        <is>
          <t>品牌</t>
        </is>
      </c>
      <c r="E319" s="18" t="inlineStr">
        <is>
          <t>卷儿咪的家</t>
        </is>
      </c>
      <c r="F319" s="122" t="n"/>
      <c r="G319" s="122" t="inlineStr">
        <is>
          <t>https://pgy.xiaohongshu.com/solar/pre-trade/blogger-detail/62c95a50000000000200383d?track_id=kolMatch_34b52967eb884e39b60a07e600ac9d0d&amp;source=Advertiser_Kol</t>
        </is>
      </c>
      <c r="H319" s="122" t="inlineStr">
        <is>
          <t>https://www.xiaohongshu.com/user/profile/62c95a50000000000200383d</t>
        </is>
      </c>
      <c r="I319" s="18" t="n">
        <v>2960897131</v>
      </c>
      <c r="J319" s="18" t="n"/>
      <c r="K319" s="18" t="inlineStr">
        <is>
          <t>家居家装</t>
        </is>
      </c>
      <c r="L319" s="18" t="inlineStr">
        <is>
          <t>koc</t>
        </is>
      </c>
      <c r="M319" s="18" t="n">
        <v>0.2</v>
      </c>
      <c r="N319" s="18" t="n">
        <v>4.2</v>
      </c>
      <c r="O319" s="18" t="inlineStr">
        <is>
          <t>图文</t>
        </is>
      </c>
      <c r="P319" s="21" t="n">
        <v>0.87</v>
      </c>
      <c r="Q319" s="21" t="n">
        <v>0.07000000000000001</v>
      </c>
      <c r="R319" s="21" t="n">
        <v>0.47</v>
      </c>
      <c r="S319" s="21" t="n">
        <v>0.37</v>
      </c>
      <c r="T319" s="21" t="n">
        <v>0.6</v>
      </c>
      <c r="U319" s="21" t="n">
        <v>0.16</v>
      </c>
      <c r="V319" s="22" t="n">
        <v>6961</v>
      </c>
      <c r="W319" s="18" t="n">
        <v>364</v>
      </c>
      <c r="X319" s="18" t="n">
        <v>900</v>
      </c>
      <c r="Y319" s="18">
        <f>X319*1.1</f>
        <v/>
      </c>
      <c r="Z319" s="20">
        <f>Y319/V319</f>
        <v/>
      </c>
      <c r="AA319" s="20">
        <f>Y319/W319</f>
        <v/>
      </c>
      <c r="AB319" s="18" t="n"/>
      <c r="AC319" s="18" t="n"/>
      <c r="AD319" s="18" t="n"/>
      <c r="AE319" s="18" t="n"/>
    </row>
    <row r="320">
      <c r="A320" s="18" t="n"/>
      <c r="B320" s="18" t="n"/>
      <c r="C320" s="17" t="n">
        <v>46094</v>
      </c>
      <c r="D320" s="18" t="inlineStr">
        <is>
          <t>品牌</t>
        </is>
      </c>
      <c r="E320" s="18" t="inlineStr">
        <is>
          <t>毛毛的变瘦实记</t>
        </is>
      </c>
      <c r="F320" s="122" t="n"/>
      <c r="G320" s="122" t="inlineStr">
        <is>
          <t>https://pgy.xiaohongshu.com/solar/pre-trade/blogger-detail/60d7de87000000000101d09c?track_id=kolMatch_3f4040ae30144d67a64efcbbf8a1968c&amp;source=Advertiser_Kol</t>
        </is>
      </c>
      <c r="H320" s="122" t="inlineStr">
        <is>
          <t>https://www.xiaohongshu.com/user/profile/60d7de87000000000101d09c</t>
        </is>
      </c>
      <c r="I320" s="18" t="n">
        <v>1151951128</v>
      </c>
      <c r="J320" s="18" t="n"/>
      <c r="K320" s="18" t="inlineStr">
        <is>
          <t>美食</t>
        </is>
      </c>
      <c r="L320" s="18" t="inlineStr">
        <is>
          <t>koc</t>
        </is>
      </c>
      <c r="M320" s="18" t="n">
        <v>1.5</v>
      </c>
      <c r="N320" s="18" t="n">
        <v>20.9</v>
      </c>
      <c r="O320" s="18" t="inlineStr">
        <is>
          <t>图文</t>
        </is>
      </c>
      <c r="P320" s="21" t="n">
        <v>0.97</v>
      </c>
      <c r="Q320" s="21" t="n">
        <v>0.33</v>
      </c>
      <c r="R320" s="21" t="n">
        <v>0.46</v>
      </c>
      <c r="S320" s="21" t="n">
        <v>0.12</v>
      </c>
      <c r="T320" s="21" t="n">
        <v>0.58</v>
      </c>
      <c r="U320" s="21" t="n">
        <v>0.12</v>
      </c>
      <c r="V320" s="22" t="n">
        <v>1003</v>
      </c>
      <c r="W320" s="18" t="n">
        <v>210</v>
      </c>
      <c r="X320" s="18" t="n">
        <v>1000</v>
      </c>
      <c r="Y320" s="18">
        <f>X320*1.1</f>
        <v/>
      </c>
      <c r="Z320" s="20">
        <f>Y320/V320</f>
        <v/>
      </c>
      <c r="AA320" s="20">
        <f>Y320/W320</f>
        <v/>
      </c>
      <c r="AB320" s="18" t="n"/>
      <c r="AC320" s="18" t="n"/>
      <c r="AD320" s="18" t="n"/>
      <c r="AE320" s="18" t="n"/>
    </row>
    <row r="321">
      <c r="A321" s="18" t="n"/>
      <c r="B321" s="18" t="n"/>
      <c r="C321" s="17" t="n">
        <v>46094</v>
      </c>
      <c r="D321" s="18" t="inlineStr">
        <is>
          <t>品牌</t>
        </is>
      </c>
      <c r="E321" s="18" t="inlineStr">
        <is>
          <t>沐沐小家</t>
        </is>
      </c>
      <c r="F321" s="122" t="n"/>
      <c r="G321" s="122" t="inlineStr">
        <is>
          <t>https://pgy.xiaohongshu.com/solar/pre-trade/blogger-detail/67a17842000000000d008178?track_id=kolMatch_34b52967eb884e39b60a07e600ac9d0d&amp;source=Advertiser_Kol</t>
        </is>
      </c>
      <c r="H321" s="122" t="inlineStr">
        <is>
          <t>https://www.xiaohongshu.com/user/profile/67a17842000000000d008178</t>
        </is>
      </c>
      <c r="I321" s="18" t="n">
        <v>63818911154</v>
      </c>
      <c r="J321" s="18" t="n"/>
      <c r="K321" s="18" t="inlineStr">
        <is>
          <t>家居家装</t>
        </is>
      </c>
      <c r="L321" s="18" t="inlineStr">
        <is>
          <t>koc</t>
        </is>
      </c>
      <c r="M321" s="18" t="n">
        <v>1.3</v>
      </c>
      <c r="N321" s="18" t="n">
        <v>4.7</v>
      </c>
      <c r="O321" s="18" t="inlineStr">
        <is>
          <t>图文</t>
        </is>
      </c>
      <c r="P321" s="21" t="n">
        <v>0.78</v>
      </c>
      <c r="Q321" s="21" t="n">
        <v>0.14</v>
      </c>
      <c r="R321" s="21" t="n">
        <v>0.3</v>
      </c>
      <c r="S321" s="21" t="n">
        <v>0.23</v>
      </c>
      <c r="T321" s="21" t="n">
        <v>0.3</v>
      </c>
      <c r="U321" s="21" t="n">
        <v>0.24</v>
      </c>
      <c r="V321" s="22" t="n">
        <v>4265</v>
      </c>
      <c r="W321" s="18" t="n">
        <v>172</v>
      </c>
      <c r="X321" s="18" t="n">
        <v>1000</v>
      </c>
      <c r="Y321" s="18">
        <f>X321*1.1</f>
        <v/>
      </c>
      <c r="Z321" s="20">
        <f>Y321/V321</f>
        <v/>
      </c>
      <c r="AA321" s="20">
        <f>Y321/W321</f>
        <v/>
      </c>
      <c r="AB321" s="18" t="n"/>
      <c r="AC321" s="18" t="n"/>
      <c r="AD321" s="18" t="n"/>
      <c r="AE321" s="18" t="n"/>
    </row>
    <row r="322">
      <c r="A322" s="18" t="n"/>
      <c r="B322" s="18" t="n"/>
      <c r="C322" s="17" t="n">
        <v>46094</v>
      </c>
      <c r="D322" s="18" t="inlineStr">
        <is>
          <t>品牌</t>
        </is>
      </c>
      <c r="E322" s="18" t="inlineStr">
        <is>
          <t>张小白的装修日记</t>
        </is>
      </c>
      <c r="F322" s="122" t="n"/>
      <c r="G322" s="122" t="inlineStr">
        <is>
          <t>https://pgy.xiaohongshu.com/solar/pre-trade/blogger-detail/5de4bb600000000001006c21?track_id=kolMatch_34b52967eb884e39b60a07e600ac9d0d&amp;source=Advertiser_Kol</t>
        </is>
      </c>
      <c r="H322" s="122" t="inlineStr">
        <is>
          <t>https://www.xiaohongshu.com/user/profile/5de4bb600000000001006c21</t>
        </is>
      </c>
      <c r="I322" s="18" t="n">
        <v>752726817</v>
      </c>
      <c r="J322" s="18" t="n"/>
      <c r="K322" s="18" t="inlineStr">
        <is>
          <t>家居家装</t>
        </is>
      </c>
      <c r="L322" s="18" t="inlineStr">
        <is>
          <t>koc</t>
        </is>
      </c>
      <c r="M322" s="18" t="n">
        <v>2.3</v>
      </c>
      <c r="N322" s="18" t="n">
        <v>9.4</v>
      </c>
      <c r="O322" s="18" t="inlineStr">
        <is>
          <t>图文</t>
        </is>
      </c>
      <c r="P322" s="21" t="n">
        <v>0.89</v>
      </c>
      <c r="Q322" s="21" t="n">
        <v>0.18</v>
      </c>
      <c r="R322" s="21" t="n">
        <v>0.49</v>
      </c>
      <c r="S322" s="21" t="n">
        <v>0.21</v>
      </c>
      <c r="T322" s="21" t="n">
        <v>0.48</v>
      </c>
      <c r="U322" s="21" t="n">
        <v>0.16</v>
      </c>
      <c r="V322" s="22" t="n">
        <v>5703</v>
      </c>
      <c r="W322" s="18" t="n">
        <v>705</v>
      </c>
      <c r="X322" s="18" t="n">
        <v>500</v>
      </c>
      <c r="Y322" s="18">
        <f>X322*1.1</f>
        <v/>
      </c>
      <c r="Z322" s="20">
        <f>Y322/V322</f>
        <v/>
      </c>
      <c r="AA322" s="20">
        <f>Y322/W322</f>
        <v/>
      </c>
      <c r="AB322" s="18" t="n"/>
      <c r="AC322" s="18" t="n"/>
      <c r="AD322" s="18" t="n"/>
      <c r="AE322" s="18" t="n"/>
    </row>
    <row r="323">
      <c r="A323" s="18" t="n"/>
      <c r="B323" s="18" t="n"/>
      <c r="C323" s="17" t="n">
        <v>46094</v>
      </c>
      <c r="D323" s="18" t="inlineStr">
        <is>
          <t>品牌</t>
        </is>
      </c>
      <c r="E323" s="18" t="inlineStr">
        <is>
          <t>Okie不在家</t>
        </is>
      </c>
      <c r="F323" s="122" t="n"/>
      <c r="G323" s="122" t="inlineStr">
        <is>
          <t>https://pgy.xiaohongshu.com/solar/pre-trade/blogger-detail/664732630000000003032234?track_id=kolMatch_c2c296f317134918895845abf502d42f&amp;source=Advertiser_Kol</t>
        </is>
      </c>
      <c r="H323" s="122" t="inlineStr">
        <is>
          <t>https://www.xiaohongshu.com/user/profile/664732630000000003032234</t>
        </is>
      </c>
      <c r="I323" s="0" t="n">
        <v>26530611288</v>
      </c>
      <c r="J323" s="18" t="n"/>
      <c r="K323" s="18" t="inlineStr">
        <is>
          <t>家居家装</t>
        </is>
      </c>
      <c r="L323" s="18" t="inlineStr">
        <is>
          <t>koc</t>
        </is>
      </c>
      <c r="M323" s="18" t="n">
        <v>0.3</v>
      </c>
      <c r="N323" s="18" t="n">
        <v>3</v>
      </c>
      <c r="O323" s="18" t="inlineStr">
        <is>
          <t>图文</t>
        </is>
      </c>
      <c r="P323" s="21" t="n">
        <v>0.59</v>
      </c>
      <c r="Q323" s="21" t="n">
        <v>0.07000000000000001</v>
      </c>
      <c r="R323" s="21" t="n">
        <v>0.54</v>
      </c>
      <c r="S323" s="21" t="n">
        <v>0.29</v>
      </c>
      <c r="T323" s="21" t="n">
        <v>0.68</v>
      </c>
      <c r="U323" s="21" t="n">
        <v>0.1</v>
      </c>
      <c r="V323" s="22" t="n">
        <v>6447</v>
      </c>
      <c r="W323" s="18" t="n">
        <v>382</v>
      </c>
      <c r="X323" s="18" t="n">
        <v>800</v>
      </c>
      <c r="Y323" s="18">
        <f>X323*1.1</f>
        <v/>
      </c>
      <c r="Z323" s="20">
        <f>Y323/V323</f>
        <v/>
      </c>
      <c r="AA323" s="20">
        <f>Y323/W323</f>
        <v/>
      </c>
      <c r="AB323" s="18" t="n"/>
      <c r="AC323" s="18" t="n"/>
      <c r="AD323" s="18" t="n"/>
      <c r="AE323" s="18" t="n"/>
    </row>
    <row r="324">
      <c r="A324" s="18" t="n"/>
      <c r="B324" s="18" t="n"/>
      <c r="C324" s="17" t="n">
        <v>46094</v>
      </c>
      <c r="D324" s="18" t="inlineStr">
        <is>
          <t>品牌</t>
        </is>
      </c>
      <c r="E324" s="18" t="inlineStr">
        <is>
          <t>just so Soya</t>
        </is>
      </c>
      <c r="F324" s="122" t="n"/>
      <c r="G324" s="122" t="inlineStr">
        <is>
          <t>https://pgy.xiaohongshu.com/solar/pre-trade/blogger-detail/5bfbef8344363b179c0b85cb?track_id=kolMatch_c2c296f317134918895845abf502d42f&amp;source=Advertiser_Kol</t>
        </is>
      </c>
      <c r="H324" s="122" t="inlineStr">
        <is>
          <t>https://www.xiaohongshu.com/user/profile/5bfbef8344363b179c0b85cb</t>
        </is>
      </c>
      <c r="I324" s="18" t="n">
        <v>544902725</v>
      </c>
      <c r="J324" s="18" t="n"/>
      <c r="K324" s="18" t="inlineStr">
        <is>
          <t>家居家装</t>
        </is>
      </c>
      <c r="L324" s="18" t="inlineStr">
        <is>
          <t>koc</t>
        </is>
      </c>
      <c r="M324" s="18" t="n">
        <v>0.3</v>
      </c>
      <c r="N324" s="18" t="n">
        <v>3.2</v>
      </c>
      <c r="O324" s="18" t="inlineStr">
        <is>
          <t>图文</t>
        </is>
      </c>
      <c r="P324" s="21" t="n">
        <v>0.73</v>
      </c>
      <c r="Q324" s="21" t="n">
        <v>0.09</v>
      </c>
      <c r="R324" s="21" t="n">
        <v>0.5600000000000001</v>
      </c>
      <c r="S324" s="21" t="n">
        <v>0.26</v>
      </c>
      <c r="T324" s="21" t="n">
        <v>0.88</v>
      </c>
      <c r="U324" s="21" t="n">
        <v>0.06</v>
      </c>
      <c r="V324" s="22" t="n">
        <v>2735</v>
      </c>
      <c r="W324" s="18" t="n">
        <v>228</v>
      </c>
      <c r="X324" s="18" t="n">
        <v>1000</v>
      </c>
      <c r="Y324" s="18">
        <f>X324*1.1</f>
        <v/>
      </c>
      <c r="Z324" s="20">
        <f>Y324/V324</f>
        <v/>
      </c>
      <c r="AA324" s="20">
        <f>Y324/W324</f>
        <v/>
      </c>
      <c r="AB324" s="18" t="n"/>
      <c r="AC324" s="18" t="n"/>
      <c r="AD324" s="18" t="n"/>
      <c r="AE324" s="18" t="n"/>
    </row>
    <row r="325">
      <c r="A325" s="18" t="n"/>
      <c r="B325" s="18" t="n"/>
      <c r="C325" s="17" t="n">
        <v>46094</v>
      </c>
      <c r="D325" s="18" t="inlineStr">
        <is>
          <t>品牌</t>
        </is>
      </c>
      <c r="E325" s="18" t="inlineStr">
        <is>
          <t>七只虾虾</t>
        </is>
      </c>
      <c r="F325" s="122" t="n"/>
      <c r="G325" s="122" t="inlineStr">
        <is>
          <t>https://pgy.xiaohongshu.com/solar/pre-trade/blogger-detail/59aa51046a6a6932d62fa702?track_id=kolMatch_c2c296f317134918895845abf502d42f&amp;source=Advertiser_Kol</t>
        </is>
      </c>
      <c r="H325" s="122" t="inlineStr">
        <is>
          <t>https://www.xiaohongshu.com/user/profile/59aa51046a6a6932d62fa702</t>
        </is>
      </c>
      <c r="I325" s="0" t="n">
        <v>956429717</v>
      </c>
      <c r="J325" s="18" t="n"/>
      <c r="K325" s="18" t="inlineStr">
        <is>
          <t>家居家装</t>
        </is>
      </c>
      <c r="L325" s="18" t="inlineStr">
        <is>
          <t>koc</t>
        </is>
      </c>
      <c r="M325" s="18" t="n">
        <v>0.9</v>
      </c>
      <c r="N325" s="18" t="n">
        <v>21.9</v>
      </c>
      <c r="O325" s="18" t="inlineStr">
        <is>
          <t>图文</t>
        </is>
      </c>
      <c r="P325" s="21" t="n">
        <v>0.73</v>
      </c>
      <c r="Q325" s="21" t="n">
        <v>0.33</v>
      </c>
      <c r="R325" s="21" t="n">
        <v>0.39</v>
      </c>
      <c r="S325" s="21" t="n">
        <v>0.11</v>
      </c>
      <c r="T325" s="21" t="n">
        <v>0.54</v>
      </c>
      <c r="U325" s="21" t="n">
        <v>0.12</v>
      </c>
      <c r="V325" s="22" t="n">
        <v>12261</v>
      </c>
      <c r="W325" s="18" t="n">
        <v>435</v>
      </c>
      <c r="X325" s="18" t="n">
        <v>950</v>
      </c>
      <c r="Y325" s="18">
        <f>X325*1.1</f>
        <v/>
      </c>
      <c r="Z325" s="20">
        <f>Y325/V325</f>
        <v/>
      </c>
      <c r="AA325" s="20">
        <f>Y325/W325</f>
        <v/>
      </c>
      <c r="AB325" s="18" t="n"/>
      <c r="AC325" s="18" t="n"/>
      <c r="AD325" s="18" t="n"/>
      <c r="AE325" s="18" t="n"/>
    </row>
    <row r="326">
      <c r="A326" s="18" t="n"/>
      <c r="B326" s="18" t="n"/>
      <c r="C326" s="17" t="n">
        <v>46094</v>
      </c>
      <c r="D326" s="18" t="inlineStr">
        <is>
          <t>品牌</t>
        </is>
      </c>
      <c r="E326" s="18" t="inlineStr">
        <is>
          <t>洱了个冬（装修版）</t>
        </is>
      </c>
      <c r="F326" s="122" t="n"/>
      <c r="G326" s="122" t="inlineStr">
        <is>
          <t>https://pgy.xiaohongshu.com/solar/pre-trade/blogger-detail/5d2067a2000000001202fffd?track_id=kolMatch_c2c296f317134918895845abf502d42f&amp;source=Advertiser_Kol</t>
        </is>
      </c>
      <c r="H326" s="122" t="inlineStr">
        <is>
          <t>https://www.xiaohongshu.com/user/profile/5d2067a2000000001202fffd</t>
        </is>
      </c>
      <c r="I326" s="18" t="n">
        <v>305416837</v>
      </c>
      <c r="J326" s="18" t="n"/>
      <c r="K326" s="18" t="inlineStr">
        <is>
          <t>家居家装</t>
        </is>
      </c>
      <c r="L326" s="18" t="inlineStr">
        <is>
          <t>koc</t>
        </is>
      </c>
      <c r="M326" s="18" t="n">
        <v>0.2</v>
      </c>
      <c r="N326" s="18" t="n">
        <v>5</v>
      </c>
      <c r="O326" s="18" t="inlineStr">
        <is>
          <t>图文</t>
        </is>
      </c>
      <c r="P326" s="21" t="n">
        <v>0.64</v>
      </c>
      <c r="Q326" s="21" t="n">
        <v>0.07000000000000001</v>
      </c>
      <c r="R326" s="21" t="n">
        <v>0.61</v>
      </c>
      <c r="S326" s="21" t="n">
        <v>0.25</v>
      </c>
      <c r="T326" s="21" t="n">
        <v>0.7</v>
      </c>
      <c r="U326" s="21" t="n">
        <v>0.13</v>
      </c>
      <c r="V326" s="22" t="n">
        <v>4654</v>
      </c>
      <c r="W326" s="18" t="n">
        <v>334</v>
      </c>
      <c r="X326" s="18" t="n">
        <v>800</v>
      </c>
      <c r="Y326" s="18">
        <f>X326*1.1</f>
        <v/>
      </c>
      <c r="Z326" s="20">
        <f>Y326/V326</f>
        <v/>
      </c>
      <c r="AA326" s="20">
        <f>Y326/W326</f>
        <v/>
      </c>
      <c r="AB326" s="18" t="n"/>
      <c r="AC326" s="18" t="n"/>
      <c r="AD326" s="18" t="n"/>
      <c r="AE326" s="18" t="n"/>
    </row>
    <row r="327">
      <c r="A327" s="18" t="n"/>
      <c r="B327" s="18" t="n"/>
      <c r="C327" s="17" t="n">
        <v>46094</v>
      </c>
      <c r="D327" s="18" t="inlineStr">
        <is>
          <t>品牌</t>
        </is>
      </c>
      <c r="E327" s="18" t="inlineStr">
        <is>
          <t>八萬的新家🏠</t>
        </is>
      </c>
      <c r="F327" s="122" t="n"/>
      <c r="G327" s="122" t="inlineStr">
        <is>
          <t>https://pgy.xiaohongshu.com/solar/pre-trade/blogger-detail/64a23f59000000001c02aafd?track_id=kolMatch_c2c296f317134918895845abf502d42f&amp;source=Advertiser_Kol</t>
        </is>
      </c>
      <c r="H327" s="122" t="inlineStr">
        <is>
          <t>https://www.xiaohongshu.com/user/profile/64a23f59000000001c02aafd</t>
        </is>
      </c>
      <c r="I327" s="18" t="n">
        <v>8992135278</v>
      </c>
      <c r="J327" s="18" t="n"/>
      <c r="K327" s="18" t="inlineStr">
        <is>
          <t>家居家装</t>
        </is>
      </c>
      <c r="L327" s="18" t="inlineStr">
        <is>
          <t>koc</t>
        </is>
      </c>
      <c r="M327" s="18" t="n">
        <v>0.7</v>
      </c>
      <c r="N327" s="18" t="n">
        <v>22</v>
      </c>
      <c r="O327" s="18" t="inlineStr">
        <is>
          <t>图文</t>
        </is>
      </c>
      <c r="P327" s="21" t="n">
        <v>0.73</v>
      </c>
      <c r="Q327" s="21" t="n">
        <v>0.15</v>
      </c>
      <c r="R327" s="21" t="n">
        <v>0.51</v>
      </c>
      <c r="S327" s="21" t="n">
        <v>0.18</v>
      </c>
      <c r="T327" s="21" t="n">
        <v>0.5600000000000001</v>
      </c>
      <c r="U327" s="21" t="n">
        <v>0.14</v>
      </c>
      <c r="V327" s="22" t="n">
        <v>4566</v>
      </c>
      <c r="W327" s="18" t="n">
        <v>487</v>
      </c>
      <c r="X327" s="18" t="n">
        <v>1000</v>
      </c>
      <c r="Y327" s="18">
        <f>X327*1.1</f>
        <v/>
      </c>
      <c r="Z327" s="20">
        <f>Y327/V327</f>
        <v/>
      </c>
      <c r="AA327" s="20">
        <f>Y327/W327</f>
        <v/>
      </c>
      <c r="AB327" s="18" t="n"/>
      <c r="AC327" s="18" t="n"/>
      <c r="AD327" s="18" t="n"/>
      <c r="AE327" s="18" t="n"/>
    </row>
    <row r="328">
      <c r="A328" s="18" t="n"/>
      <c r="B328" s="18" t="n"/>
      <c r="C328" s="17" t="n">
        <v>46094</v>
      </c>
      <c r="D328" s="18" t="inlineStr">
        <is>
          <t>品牌</t>
        </is>
      </c>
      <c r="E328" s="18" t="inlineStr">
        <is>
          <t>辞月(法式装修中）</t>
        </is>
      </c>
      <c r="F328" s="122" t="n"/>
      <c r="G328" s="122" t="inlineStr">
        <is>
          <t>https://pgy.xiaohongshu.com/solar/pre-trade/blogger-detail/65bba2d9000000000e02483c?track_id=kolMatch_3631ac3d5f0f408896797a084bca4d90&amp;source=Advertiser_Kol</t>
        </is>
      </c>
      <c r="H328" s="122" t="inlineStr">
        <is>
          <t>https://www.xiaohongshu.com/user/profile/65bba2d9000000000e02483c</t>
        </is>
      </c>
      <c r="I328" s="18" t="n">
        <v>7120248525</v>
      </c>
      <c r="J328" s="18" t="n"/>
      <c r="K328" s="18" t="inlineStr">
        <is>
          <t>家居家装</t>
        </is>
      </c>
      <c r="L328" s="18" t="inlineStr">
        <is>
          <t>koc</t>
        </is>
      </c>
      <c r="M328" s="18" t="n">
        <v>0.3</v>
      </c>
      <c r="N328" s="18" t="n">
        <v>4.9</v>
      </c>
      <c r="O328" s="18" t="inlineStr">
        <is>
          <t>图文</t>
        </is>
      </c>
      <c r="P328" s="21" t="n">
        <v>0.87</v>
      </c>
      <c r="Q328" s="21" t="n">
        <v>0.1</v>
      </c>
      <c r="R328" s="21" t="n">
        <v>0.57</v>
      </c>
      <c r="S328" s="21" t="n">
        <v>0.23</v>
      </c>
      <c r="T328" s="21" t="n">
        <v>0.63</v>
      </c>
      <c r="U328" s="21" t="n">
        <v>0.14</v>
      </c>
      <c r="V328" s="22" t="n">
        <v>1332</v>
      </c>
      <c r="W328" s="18" t="n">
        <v>208</v>
      </c>
      <c r="X328" s="18" t="n">
        <v>1000</v>
      </c>
      <c r="Y328" s="18">
        <f>X328*1.1</f>
        <v/>
      </c>
      <c r="Z328" s="20">
        <f>Y328/V328</f>
        <v/>
      </c>
      <c r="AA328" s="20">
        <f>Y328/W328</f>
        <v/>
      </c>
      <c r="AB328" s="18" t="n"/>
      <c r="AC328" s="18" t="n"/>
      <c r="AD328" s="18" t="n"/>
      <c r="AE328" s="18" t="n"/>
    </row>
    <row r="329">
      <c r="A329" s="18" t="n"/>
      <c r="B329" s="18" t="n"/>
      <c r="C329" s="17" t="n">
        <v>46094</v>
      </c>
      <c r="D329" s="18" t="inlineStr">
        <is>
          <t>品牌</t>
        </is>
      </c>
      <c r="E329" s="18" t="inlineStr">
        <is>
          <t>阿纳莉莉</t>
        </is>
      </c>
      <c r="F329" s="122" t="n"/>
      <c r="G329" s="122" t="inlineStr">
        <is>
          <t>https://pgy.xiaohongshu.com/solar/pre-trade/blogger-detail/636e3998000000001f01df16?track_id=kolMatch_3631ac3d5f0f408896797a084bca4d90&amp;source=Advertiser_Kol</t>
        </is>
      </c>
      <c r="H329" s="122" t="inlineStr">
        <is>
          <t>https://www.xiaohongshu.com/user/profile/636e3998000000001f01df16</t>
        </is>
      </c>
      <c r="I329" s="0" t="inlineStr">
        <is>
          <t>nanshanguihua</t>
        </is>
      </c>
      <c r="J329" s="18" t="n"/>
      <c r="K329" s="18" t="inlineStr">
        <is>
          <t>家居家装</t>
        </is>
      </c>
      <c r="L329" s="18" t="inlineStr">
        <is>
          <t>koc</t>
        </is>
      </c>
      <c r="M329" s="18" t="n">
        <v>1.5</v>
      </c>
      <c r="N329" s="18" t="n">
        <v>35.1</v>
      </c>
      <c r="O329" s="18" t="inlineStr">
        <is>
          <t>图文</t>
        </is>
      </c>
      <c r="P329" s="21" t="n">
        <v>0.8</v>
      </c>
      <c r="Q329" s="21" t="n">
        <v>0.26</v>
      </c>
      <c r="R329" s="21" t="n">
        <v>0.5</v>
      </c>
      <c r="S329" s="21" t="n">
        <v>0.12</v>
      </c>
      <c r="T329" s="21" t="n">
        <v>0.62</v>
      </c>
      <c r="U329" s="21" t="n">
        <v>0.1</v>
      </c>
      <c r="V329" s="18" t="n">
        <v>9600</v>
      </c>
      <c r="W329" s="18" t="n">
        <v>690</v>
      </c>
      <c r="X329" s="18" t="n">
        <v>987</v>
      </c>
      <c r="Y329" s="18">
        <f>X329*1.1</f>
        <v/>
      </c>
      <c r="Z329" s="20">
        <f>Y329/V329</f>
        <v/>
      </c>
      <c r="AA329" s="20">
        <f>Y329/W329</f>
        <v/>
      </c>
      <c r="AB329" s="18" t="n"/>
      <c r="AC329" s="18" t="n"/>
      <c r="AD329" s="18" t="n"/>
      <c r="AE329" s="18" t="n"/>
    </row>
    <row r="330">
      <c r="A330" s="18" t="n"/>
      <c r="B330" s="18" t="n"/>
      <c r="C330" s="17" t="n">
        <v>46094</v>
      </c>
      <c r="D330" s="18" t="inlineStr">
        <is>
          <t>品牌</t>
        </is>
      </c>
      <c r="E330" s="18" t="inlineStr">
        <is>
          <t>CoCo-Y</t>
        </is>
      </c>
      <c r="F330" s="122" t="n"/>
      <c r="G330" s="122" t="inlineStr">
        <is>
          <t>https://pgy.xiaohongshu.com/solar/pre-trade/blogger-detail/5b6e2d5cf9d8f10001bb24fe?track_id=kolMatch_3631ac3d5f0f408896797a084bca4d90&amp;source=Advertiser_Kol</t>
        </is>
      </c>
      <c r="H330" s="122" t="inlineStr">
        <is>
          <t>https://www.xiaohongshu.com/user/profile/5b6e2d5cf9d8f10001bb24fe</t>
        </is>
      </c>
      <c r="I330" s="18" t="n">
        <v>606090236</v>
      </c>
      <c r="J330" s="18" t="n"/>
      <c r="K330" s="18" t="inlineStr">
        <is>
          <t>家居家装</t>
        </is>
      </c>
      <c r="L330" s="18" t="inlineStr">
        <is>
          <t>koc</t>
        </is>
      </c>
      <c r="M330" s="18" t="n">
        <v>0.3</v>
      </c>
      <c r="N330" s="18" t="n">
        <v>6.8</v>
      </c>
      <c r="O330" s="18" t="inlineStr">
        <is>
          <t>图文</t>
        </is>
      </c>
      <c r="P330" s="21" t="n">
        <v>0.83</v>
      </c>
      <c r="Q330" s="21" t="n">
        <v>0.13</v>
      </c>
      <c r="R330" s="21" t="n">
        <v>0.54</v>
      </c>
      <c r="S330" s="21" t="n">
        <v>0.2</v>
      </c>
      <c r="T330" s="21" t="n">
        <v>0.51</v>
      </c>
      <c r="U330" s="21" t="n">
        <v>0.14</v>
      </c>
      <c r="V330" s="22" t="n">
        <v>3511</v>
      </c>
      <c r="W330" s="18" t="n">
        <v>391</v>
      </c>
      <c r="X330" s="18" t="n">
        <v>900</v>
      </c>
      <c r="Y330" s="18">
        <f>X330*1.1</f>
        <v/>
      </c>
      <c r="Z330" s="20">
        <f>Y330/V330</f>
        <v/>
      </c>
      <c r="AA330" s="20">
        <f>Y330/W330</f>
        <v/>
      </c>
      <c r="AB330" s="18" t="n"/>
      <c r="AC330" s="18" t="n"/>
      <c r="AD330" s="18" t="n"/>
      <c r="AE330" s="18" t="n"/>
    </row>
    <row r="331">
      <c r="A331" s="18" t="n"/>
      <c r="B331" s="18" t="n"/>
      <c r="C331" s="17" t="n">
        <v>46094</v>
      </c>
      <c r="D331" s="18" t="inlineStr">
        <is>
          <t>品牌</t>
        </is>
      </c>
      <c r="E331" s="18" t="inlineStr">
        <is>
          <t>芒果西米卢</t>
        </is>
      </c>
      <c r="F331" s="122" t="n"/>
      <c r="G331" s="122" t="inlineStr">
        <is>
          <t>https://pgy.xiaohongshu.com/solar/pre-trade/blogger-detail/5a3133d6db2e606dc879dc3b?track_id=kolMatch_3631ac3d5f0f408896797a084bca4d90&amp;source=Advertiser_Kol</t>
        </is>
      </c>
      <c r="H331" s="122" t="inlineStr">
        <is>
          <t>https://www.xiaohongshu.com/user/profile/5a3133d6db2e606dc879dc3b</t>
        </is>
      </c>
      <c r="I331" s="18" t="n">
        <v>931936128</v>
      </c>
      <c r="J331" s="18" t="n"/>
      <c r="K331" s="18" t="inlineStr">
        <is>
          <t>家居家装</t>
        </is>
      </c>
      <c r="L331" s="18" t="inlineStr">
        <is>
          <t>koc</t>
        </is>
      </c>
      <c r="M331" s="18" t="n">
        <v>0.1</v>
      </c>
      <c r="N331" s="18" t="n">
        <v>1.7</v>
      </c>
      <c r="O331" s="18" t="inlineStr">
        <is>
          <t>图文</t>
        </is>
      </c>
      <c r="P331" s="21" t="n">
        <v>0.72</v>
      </c>
      <c r="Q331" s="21" t="n">
        <v>0.23</v>
      </c>
      <c r="R331" s="21" t="n">
        <v>0.39</v>
      </c>
      <c r="S331" s="21" t="n">
        <v>0.21</v>
      </c>
      <c r="T331" s="21" t="n">
        <v>0.38</v>
      </c>
      <c r="U331" s="21" t="n">
        <v>0.18</v>
      </c>
      <c r="V331" s="22" t="n">
        <v>2994</v>
      </c>
      <c r="W331" s="18" t="n">
        <v>221</v>
      </c>
      <c r="X331" s="18" t="n">
        <v>600</v>
      </c>
      <c r="Y331" s="18">
        <f>X331*1.1</f>
        <v/>
      </c>
      <c r="Z331" s="20">
        <f>Y331/V331</f>
        <v/>
      </c>
      <c r="AA331" s="20">
        <f>Y331/W331</f>
        <v/>
      </c>
      <c r="AB331" s="18" t="n"/>
      <c r="AC331" s="18" t="n"/>
      <c r="AD331" s="18" t="n"/>
      <c r="AE331" s="18" t="n"/>
    </row>
    <row r="332">
      <c r="A332" s="18" t="n"/>
      <c r="B332" s="18" t="n"/>
      <c r="C332" s="18" t="n"/>
      <c r="D332" s="18" t="n"/>
      <c r="E332" s="18" t="n"/>
      <c r="F332" s="122" t="n"/>
      <c r="G332" s="122" t="n"/>
      <c r="H332" s="122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</row>
    <row r="333">
      <c r="A333" s="37" t="inlineStr">
        <is>
          <t>以下为3月13日新提报</t>
        </is>
      </c>
      <c r="B333" s="37" t="n"/>
      <c r="C333" s="37" t="n"/>
      <c r="D333" s="37" t="n"/>
      <c r="E333" s="37" t="n"/>
      <c r="F333" s="123" t="n"/>
      <c r="G333" s="123" t="n"/>
      <c r="H333" s="123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>
        <f>X333*1.1</f>
        <v/>
      </c>
      <c r="Z333" s="40">
        <f>Y333/V333</f>
        <v/>
      </c>
      <c r="AA333" s="40">
        <f>Y333/W333</f>
        <v/>
      </c>
      <c r="AB333" s="37" t="n"/>
      <c r="AC333" s="37" t="n"/>
      <c r="AD333" s="37" t="n"/>
      <c r="AE333" s="37" t="n"/>
    </row>
    <row r="334">
      <c r="A334" s="18" t="n"/>
      <c r="B334" s="18" t="n"/>
      <c r="C334" s="17" t="n">
        <v>46097</v>
      </c>
      <c r="D334" s="18" t="inlineStr">
        <is>
          <t>品牌</t>
        </is>
      </c>
      <c r="E334" s="18" t="inlineStr">
        <is>
          <t>小敏家电攻略</t>
        </is>
      </c>
      <c r="F334" s="122" t="n"/>
      <c r="G334" s="122" t="inlineStr">
        <is>
          <t>https://pgy.xiaohongshu.com/solar/pre-trade/blogger-detail/5fe9d273000000000100a344?track_id=kolSimilar_bb22de4373e74319bc7f146dd9d46e6b&amp;source=Advertiser_Similar_Kol</t>
        </is>
      </c>
      <c r="H334" s="122" t="inlineStr">
        <is>
          <t>https://www.xiaohongshu.com/user/profile/5fe9d273000000000100a344</t>
        </is>
      </c>
      <c r="I334" s="18" t="n">
        <v>94301820839</v>
      </c>
      <c r="J334" s="18" t="n"/>
      <c r="K334" s="18" t="inlineStr">
        <is>
          <t>家居家装</t>
        </is>
      </c>
      <c r="L334" s="18" t="inlineStr">
        <is>
          <t>koc</t>
        </is>
      </c>
      <c r="M334" s="18" t="n">
        <v>2.8</v>
      </c>
      <c r="N334" s="18" t="n">
        <v>13.8</v>
      </c>
      <c r="O334" s="18" t="inlineStr">
        <is>
          <t>图文</t>
        </is>
      </c>
      <c r="P334" s="21" t="n">
        <v>0.8</v>
      </c>
      <c r="Q334" s="21" t="n">
        <v>0.08</v>
      </c>
      <c r="R334" s="21" t="n">
        <v>0.31</v>
      </c>
      <c r="S334" s="21" t="n">
        <v>0.37</v>
      </c>
      <c r="T334" s="21" t="n">
        <v>0.32</v>
      </c>
      <c r="U334" s="21" t="n">
        <v>0.24</v>
      </c>
      <c r="V334" s="22" t="n">
        <v>11609</v>
      </c>
      <c r="W334" s="18" t="n">
        <v>378</v>
      </c>
      <c r="X334" s="18" t="n">
        <v>2500</v>
      </c>
      <c r="Y334" s="18">
        <f>X334*1.1</f>
        <v/>
      </c>
      <c r="Z334" s="20">
        <f>Y334/V334</f>
        <v/>
      </c>
      <c r="AA334" s="20">
        <f>Y334/W334</f>
        <v/>
      </c>
      <c r="AB334" s="18" t="n"/>
      <c r="AC334" s="18" t="n"/>
      <c r="AD334" s="18" t="n"/>
      <c r="AE334" s="18" t="n"/>
    </row>
    <row r="335">
      <c r="A335" s="18" t="n"/>
      <c r="B335" s="18" t="n"/>
      <c r="C335" s="17" t="n">
        <v>46097</v>
      </c>
      <c r="D335" s="18" t="inlineStr">
        <is>
          <t>品牌</t>
        </is>
      </c>
      <c r="E335" s="18" t="inlineStr">
        <is>
          <t>鱼跃的家</t>
        </is>
      </c>
      <c r="F335" s="122" t="n"/>
      <c r="G335" s="122" t="inlineStr">
        <is>
          <t>https://pgy.xiaohongshu.com/solar/pre-trade/blogger-detail/68f4e2a5000000003702bb8b?track_id=kolSimilar_7939d42537224cb38b1ddf8cb8340b50&amp;source=Advertiser_Similar_Kol</t>
        </is>
      </c>
      <c r="H335" s="122" t="inlineStr">
        <is>
          <t>https://www.xiaohongshu.com/user/profile/68f4e2a5000000003702bb8b</t>
        </is>
      </c>
      <c r="I335" s="18" t="n">
        <v>26198700180</v>
      </c>
      <c r="J335" s="18" t="n"/>
      <c r="K335" s="18" t="inlineStr">
        <is>
          <t>家居家装</t>
        </is>
      </c>
      <c r="L335" s="18" t="inlineStr">
        <is>
          <t>koc</t>
        </is>
      </c>
      <c r="M335" s="18" t="n">
        <v>0.6</v>
      </c>
      <c r="N335" s="18" t="n">
        <v>1.7</v>
      </c>
      <c r="O335" s="18" t="inlineStr">
        <is>
          <t>图文</t>
        </is>
      </c>
      <c r="P335" s="21" t="n">
        <v>0.89</v>
      </c>
      <c r="Q335" s="21" t="n">
        <v>0.14</v>
      </c>
      <c r="R335" s="21" t="n">
        <v>0.6899999999999999</v>
      </c>
      <c r="S335" s="21" t="n">
        <v>0.13</v>
      </c>
      <c r="T335" s="21" t="n">
        <v>0.89</v>
      </c>
      <c r="U335" s="21" t="n">
        <v>0.02</v>
      </c>
      <c r="V335" s="22" t="n">
        <v>6953</v>
      </c>
      <c r="W335" s="18" t="n">
        <v>442</v>
      </c>
      <c r="X335" s="18" t="n">
        <v>600</v>
      </c>
      <c r="Y335" s="18">
        <f>X335*1.1</f>
        <v/>
      </c>
      <c r="Z335" s="20">
        <f>Y335/V335</f>
        <v/>
      </c>
      <c r="AA335" s="20">
        <f>Y335/W335</f>
        <v/>
      </c>
      <c r="AB335" s="18" t="n"/>
      <c r="AC335" s="18" t="n"/>
      <c r="AD335" s="18" t="n"/>
      <c r="AE335" s="18" t="n"/>
    </row>
    <row r="336">
      <c r="A336" s="18" t="n"/>
      <c r="B336" s="18" t="n"/>
      <c r="C336" s="17" t="n">
        <v>46097</v>
      </c>
      <c r="D336" s="18" t="inlineStr">
        <is>
          <t>品牌</t>
        </is>
      </c>
      <c r="E336" s="18" t="inlineStr">
        <is>
          <t>珂珂家装日记</t>
        </is>
      </c>
      <c r="F336" s="122" t="n"/>
      <c r="G336" s="122" t="inlineStr">
        <is>
          <t>https://pgy.xiaohongshu.com/solar/pre-trade/blogger-detail/682e63e6000000000e01d1f8?track_id=kolSimilar_7939d42537224cb38b1ddf8cb8340b50&amp;source=Advertiser_Similar_Kol</t>
        </is>
      </c>
      <c r="H336" s="122" t="inlineStr">
        <is>
          <t>https://www.xiaohongshu.com/user/profile/682e63e6000000000e01d1f8</t>
        </is>
      </c>
      <c r="I336" s="18" t="n">
        <v>26107927132</v>
      </c>
      <c r="J336" s="18" t="n"/>
      <c r="K336" s="18" t="inlineStr">
        <is>
          <t>家居家装</t>
        </is>
      </c>
      <c r="L336" s="18" t="inlineStr">
        <is>
          <t>koc</t>
        </is>
      </c>
      <c r="M336" s="18" t="n">
        <v>0.2</v>
      </c>
      <c r="N336" s="18" t="n">
        <v>1.1</v>
      </c>
      <c r="O336" s="18" t="inlineStr">
        <is>
          <t>图文</t>
        </is>
      </c>
      <c r="P336" s="21" t="n">
        <v>0.89</v>
      </c>
      <c r="Q336" s="21" t="n">
        <v>0.07000000000000001</v>
      </c>
      <c r="R336" s="21" t="n">
        <v>0.66</v>
      </c>
      <c r="S336" s="21" t="n">
        <v>0.11</v>
      </c>
      <c r="T336" s="21" t="n">
        <v>0.12</v>
      </c>
      <c r="U336" s="21" t="n">
        <v>0.44</v>
      </c>
      <c r="V336" s="22" t="n">
        <v>1295</v>
      </c>
      <c r="W336" s="18" t="n">
        <v>120</v>
      </c>
      <c r="X336" s="18" t="n">
        <v>300</v>
      </c>
      <c r="Y336" s="18">
        <f>X336*1.1</f>
        <v/>
      </c>
      <c r="Z336" s="20">
        <f>Y336/V336</f>
        <v/>
      </c>
      <c r="AA336" s="20">
        <f>Y336/W336</f>
        <v/>
      </c>
      <c r="AB336" s="18" t="n"/>
      <c r="AC336" s="18" t="n"/>
      <c r="AD336" s="18" t="n"/>
      <c r="AE336" s="18" t="n"/>
    </row>
    <row r="337">
      <c r="A337" s="18" t="n"/>
      <c r="B337" s="18" t="n"/>
      <c r="C337" s="17" t="n">
        <v>46097</v>
      </c>
      <c r="D337" s="18" t="inlineStr">
        <is>
          <t>品牌</t>
        </is>
      </c>
      <c r="E337" s="18" t="inlineStr">
        <is>
          <t>天天天蓝</t>
        </is>
      </c>
      <c r="F337" s="122" t="n"/>
      <c r="G337" s="122" t="inlineStr">
        <is>
          <t>https://pgy.xiaohongshu.com/solar/pre-trade/blogger-detail/5ebd648c0000000001001369?track_id=kolSimilar_7939d42537224cb38b1ddf8cb8340b50&amp;source=Advertiser_Similar_Kol</t>
        </is>
      </c>
      <c r="H337" s="122" t="inlineStr">
        <is>
          <t>https://www.xiaohongshu.com/user/profile/5ebd648c0000000001001369</t>
        </is>
      </c>
      <c r="I337" s="18" t="n">
        <v>464918589</v>
      </c>
      <c r="J337" s="18" t="n"/>
      <c r="K337" s="18" t="inlineStr">
        <is>
          <t>家居家装</t>
        </is>
      </c>
      <c r="L337" s="18" t="inlineStr">
        <is>
          <t>koc</t>
        </is>
      </c>
      <c r="M337" s="18" t="n">
        <v>0.2</v>
      </c>
      <c r="N337" s="18" t="n">
        <v>2.4</v>
      </c>
      <c r="O337" s="18" t="inlineStr">
        <is>
          <t>图文</t>
        </is>
      </c>
      <c r="P337" s="21" t="n">
        <v>0.9</v>
      </c>
      <c r="Q337" s="21" t="n">
        <v>0.04</v>
      </c>
      <c r="R337" s="21" t="n">
        <v>0.71</v>
      </c>
      <c r="S337" s="21" t="n">
        <v>0.15</v>
      </c>
      <c r="T337" s="21" t="n">
        <v>0.3</v>
      </c>
      <c r="U337" s="21" t="n">
        <v>0.39</v>
      </c>
      <c r="V337" s="22" t="n">
        <v>3171</v>
      </c>
      <c r="W337" s="18" t="n">
        <v>231</v>
      </c>
      <c r="X337" s="18" t="n">
        <v>1400</v>
      </c>
      <c r="Y337" s="18">
        <f>X337*1.1</f>
        <v/>
      </c>
      <c r="Z337" s="20">
        <f>Y337/V337</f>
        <v/>
      </c>
      <c r="AA337" s="20">
        <f>Y337/W337</f>
        <v/>
      </c>
      <c r="AB337" s="18" t="n"/>
      <c r="AC337" s="18" t="n"/>
      <c r="AD337" s="18" t="n"/>
      <c r="AE337" s="18" t="n"/>
    </row>
    <row r="338">
      <c r="A338" s="18" t="n"/>
      <c r="B338" s="18" t="n"/>
      <c r="C338" s="17" t="n">
        <v>46097</v>
      </c>
      <c r="D338" s="18" t="inlineStr">
        <is>
          <t>品牌</t>
        </is>
      </c>
      <c r="E338" s="18" t="inlineStr">
        <is>
          <t>Chez艺珊（软装中）</t>
        </is>
      </c>
      <c r="F338" s="122" t="n"/>
      <c r="G338" s="122" t="inlineStr">
        <is>
          <t>https://pgy.xiaohongshu.com/solar/pre-trade/blogger-detail/65e4a125000000000500d3ab?track_id=kolSimilar_7939d42537224cb38b1ddf8cb8340b50&amp;source=Advertiser_Similar_Kol</t>
        </is>
      </c>
      <c r="H338" s="122" t="inlineStr">
        <is>
          <t>https://www.xiaohongshu.com/user/profile/65e4a125000000000500d3ab</t>
        </is>
      </c>
      <c r="I338" s="18" t="n">
        <v>49596132104</v>
      </c>
      <c r="J338" s="18" t="n"/>
      <c r="K338" s="18" t="inlineStr">
        <is>
          <t>家居家装</t>
        </is>
      </c>
      <c r="L338" s="18" t="inlineStr">
        <is>
          <t>koc</t>
        </is>
      </c>
      <c r="M338" s="18" t="n">
        <v>0.2</v>
      </c>
      <c r="N338" s="18" t="n">
        <v>2.2</v>
      </c>
      <c r="O338" s="18" t="inlineStr">
        <is>
          <t>图文</t>
        </is>
      </c>
      <c r="P338" s="21" t="n">
        <v>0.83</v>
      </c>
      <c r="Q338" s="21" t="n">
        <v>0.19</v>
      </c>
      <c r="R338" s="21" t="n">
        <v>0.5</v>
      </c>
      <c r="S338" s="21" t="n">
        <v>0.17</v>
      </c>
      <c r="T338" s="21" t="n">
        <v>0.47</v>
      </c>
      <c r="U338" s="21" t="n">
        <v>0.14</v>
      </c>
      <c r="V338" s="18" t="n">
        <v>1500</v>
      </c>
      <c r="W338" s="18" t="n">
        <v>90</v>
      </c>
      <c r="X338" s="18" t="n">
        <v>600</v>
      </c>
      <c r="Y338" s="18">
        <f>X338*1.1</f>
        <v/>
      </c>
      <c r="Z338" s="20">
        <f>Y338/V338</f>
        <v/>
      </c>
      <c r="AA338" s="20">
        <f>Y338/W338</f>
        <v/>
      </c>
      <c r="AB338" s="18" t="n"/>
      <c r="AC338" s="18" t="n"/>
      <c r="AD338" s="18" t="n"/>
      <c r="AE338" s="18" t="n"/>
    </row>
    <row r="339">
      <c r="A339" s="18" t="n"/>
      <c r="B339" s="18" t="n"/>
      <c r="C339" s="17" t="n">
        <v>46097</v>
      </c>
      <c r="D339" s="18" t="inlineStr">
        <is>
          <t>品牌</t>
        </is>
      </c>
      <c r="E339" s="18" t="inlineStr">
        <is>
          <t>乐多的home🏠</t>
        </is>
      </c>
      <c r="F339" s="122" t="n"/>
      <c r="G339" s="122" t="inlineStr">
        <is>
          <t>https://pgy.xiaohongshu.com/solar/pre-trade/blogger-detail/5fe55df1000000000101cae2?track_id=kolSimilar_318713611a2a476a811b6443dd862de4&amp;source=Advertiser_Similar_Kol</t>
        </is>
      </c>
      <c r="H339" s="122" t="inlineStr">
        <is>
          <t>https://www.xiaohongshu.com/user/profile/5fe55df1000000000101cae2</t>
        </is>
      </c>
      <c r="I339" s="18" t="n">
        <v>1037010797</v>
      </c>
      <c r="J339" s="18" t="n"/>
      <c r="K339" s="18" t="inlineStr">
        <is>
          <t>家居家装</t>
        </is>
      </c>
      <c r="L339" s="18" t="inlineStr">
        <is>
          <t>koc</t>
        </is>
      </c>
      <c r="M339" s="18" t="n">
        <v>0.6</v>
      </c>
      <c r="N339" s="18" t="n">
        <v>23.7</v>
      </c>
      <c r="O339" s="18" t="inlineStr">
        <is>
          <t>图文</t>
        </is>
      </c>
      <c r="P339" s="21" t="n">
        <v>0.76</v>
      </c>
      <c r="Q339" s="21" t="n">
        <v>0.09</v>
      </c>
      <c r="R339" s="21" t="n">
        <v>0.55</v>
      </c>
      <c r="S339" s="21" t="n">
        <v>0.21</v>
      </c>
      <c r="T339" s="21" t="n">
        <v>0.4</v>
      </c>
      <c r="U339" s="21" t="n">
        <v>0.17</v>
      </c>
      <c r="V339" s="22" t="n">
        <v>4928</v>
      </c>
      <c r="W339" s="18" t="n">
        <v>223</v>
      </c>
      <c r="X339" s="18" t="n">
        <v>2200</v>
      </c>
      <c r="Y339" s="18">
        <f>X339*1.1</f>
        <v/>
      </c>
      <c r="Z339" s="20">
        <f>Y339/V339</f>
        <v/>
      </c>
      <c r="AA339" s="20">
        <f>Y339/W339</f>
        <v/>
      </c>
      <c r="AB339" s="18" t="n"/>
      <c r="AC339" s="18" t="n"/>
      <c r="AD339" s="18" t="n"/>
      <c r="AE339" s="18" t="n"/>
    </row>
    <row r="340">
      <c r="A340" s="18" t="n"/>
      <c r="B340" s="18" t="n"/>
      <c r="C340" s="17" t="n">
        <v>46097</v>
      </c>
      <c r="D340" s="18" t="inlineStr">
        <is>
          <t>品牌</t>
        </is>
      </c>
      <c r="E340" s="18" t="inlineStr">
        <is>
          <t>砚居</t>
        </is>
      </c>
      <c r="F340" s="122" t="n"/>
      <c r="G340" s="122" t="inlineStr">
        <is>
          <t>https://pgy.xiaohongshu.com/solar/pre-trade/blogger-detail/68725b47000000001e03d82a?track_id=kolSimilar_7939d42537224cb38b1ddf8cb8340b50&amp;source=Advertiser_Similar_Kol</t>
        </is>
      </c>
      <c r="H340" s="122" t="inlineStr">
        <is>
          <t>https://www.xiaohongshu.com/user/profile/68725b47000000001e03d82a</t>
        </is>
      </c>
      <c r="I340" s="18" t="n">
        <v>94387675028</v>
      </c>
      <c r="J340" s="18" t="n"/>
      <c r="K340" s="18" t="inlineStr">
        <is>
          <t>家居家装</t>
        </is>
      </c>
      <c r="L340" s="18" t="inlineStr">
        <is>
          <t>koc</t>
        </is>
      </c>
      <c r="M340" s="18" t="n">
        <v>0.1</v>
      </c>
      <c r="N340" s="18" t="n">
        <v>1.7</v>
      </c>
      <c r="O340" s="18" t="inlineStr">
        <is>
          <t>图文</t>
        </is>
      </c>
      <c r="P340" s="21" t="n">
        <v>0.84</v>
      </c>
      <c r="Q340" s="21" t="n">
        <v>0.03</v>
      </c>
      <c r="R340" s="21" t="n">
        <v>0.73</v>
      </c>
      <c r="S340" s="21" t="n">
        <v>0.14</v>
      </c>
      <c r="T340" s="21" t="n">
        <v>0.13</v>
      </c>
      <c r="U340" s="21" t="n">
        <v>0.48</v>
      </c>
      <c r="V340" s="22" t="n">
        <v>1224</v>
      </c>
      <c r="W340" s="18" t="n">
        <v>100</v>
      </c>
      <c r="X340" s="18" t="n">
        <v>300</v>
      </c>
      <c r="Y340" s="18">
        <f>X340*1.1</f>
        <v/>
      </c>
      <c r="Z340" s="20">
        <f>Y340/V340</f>
        <v/>
      </c>
      <c r="AA340" s="20">
        <f>Y340/W340</f>
        <v/>
      </c>
      <c r="AB340" s="18" t="n"/>
      <c r="AC340" s="18" t="n"/>
      <c r="AD340" s="18" t="n"/>
      <c r="AE340" s="18" t="n"/>
    </row>
    <row r="341">
      <c r="A341" s="18" t="n"/>
      <c r="B341" s="18" t="n"/>
      <c r="C341" s="17" t="n">
        <v>46097</v>
      </c>
      <c r="D341" s="18" t="inlineStr">
        <is>
          <t>品牌</t>
        </is>
      </c>
      <c r="E341" s="18" t="inlineStr">
        <is>
          <t>叮当当(软装版)</t>
        </is>
      </c>
      <c r="F341" s="122" t="n"/>
      <c r="G341" s="122" t="inlineStr">
        <is>
          <t>https://pgy.xiaohongshu.com/solar/pre-trade/blogger-detail/61e6da3a000000002102bd84?track_id=kolSimilar_318713611a2a476a811b6443dd862de4&amp;source=Advertiser_Similar_Kol</t>
        </is>
      </c>
      <c r="H341" s="122" t="inlineStr">
        <is>
          <t>https://www.xiaohongshu.com/user/profile/61e6da3a000000002102bd84</t>
        </is>
      </c>
      <c r="I341" s="18" t="n">
        <v>1622721094</v>
      </c>
      <c r="J341" s="18" t="n"/>
      <c r="K341" s="18" t="inlineStr">
        <is>
          <t>家居家装</t>
        </is>
      </c>
      <c r="L341" s="18" t="inlineStr">
        <is>
          <t>koc</t>
        </is>
      </c>
      <c r="M341" s="18" t="n">
        <v>1.3</v>
      </c>
      <c r="N341" s="18" t="n">
        <v>16.5</v>
      </c>
      <c r="O341" s="18" t="inlineStr">
        <is>
          <t>图文</t>
        </is>
      </c>
      <c r="P341" s="21" t="n">
        <v>0.74</v>
      </c>
      <c r="Q341" s="21" t="n">
        <v>0.13</v>
      </c>
      <c r="R341" s="21" t="n">
        <v>0.64</v>
      </c>
      <c r="S341" s="21" t="n">
        <v>0.16</v>
      </c>
      <c r="T341" s="21" t="n">
        <v>0.54</v>
      </c>
      <c r="U341" s="21" t="n">
        <v>0.12</v>
      </c>
      <c r="V341" s="22" t="n">
        <v>4023</v>
      </c>
      <c r="W341" s="18" t="n">
        <v>392</v>
      </c>
      <c r="X341" s="18" t="n">
        <v>1500</v>
      </c>
      <c r="Y341" s="18">
        <f>X341*1.1</f>
        <v/>
      </c>
      <c r="Z341" s="20">
        <f>Y341/V341</f>
        <v/>
      </c>
      <c r="AA341" s="20">
        <f>Y341/W341</f>
        <v/>
      </c>
      <c r="AB341" s="18" t="n"/>
      <c r="AC341" s="18" t="n"/>
      <c r="AD341" s="18" t="n"/>
      <c r="AE341" s="18" t="n"/>
    </row>
    <row r="342">
      <c r="A342" s="18" t="n"/>
      <c r="B342" s="18" t="n"/>
      <c r="C342" s="17" t="n">
        <v>46097</v>
      </c>
      <c r="D342" s="18" t="inlineStr">
        <is>
          <t>品牌</t>
        </is>
      </c>
      <c r="E342" s="18" t="inlineStr">
        <is>
          <t>开开的奶油木屋🏠</t>
        </is>
      </c>
      <c r="F342" s="122" t="n"/>
      <c r="G342" s="122" t="inlineStr">
        <is>
          <t>https://pgy.xiaohongshu.com/solar/pre-trade/blogger-detail/67e0eed1000000000a03fa2e?track_id=kolSimilar_318713611a2a476a811b6443dd862de4&amp;source=Advertiser_Similar_Kol</t>
        </is>
      </c>
      <c r="H342" s="122" t="inlineStr">
        <is>
          <t>https://www.xiaohongshu.com/user/profile/67e0eed1000000000a03fa2e</t>
        </is>
      </c>
      <c r="I342" s="18" t="inlineStr">
        <is>
          <t>Kiki_house</t>
        </is>
      </c>
      <c r="J342" s="18" t="n"/>
      <c r="K342" s="18" t="inlineStr">
        <is>
          <t>家居家装</t>
        </is>
      </c>
      <c r="L342" s="18" t="inlineStr">
        <is>
          <t>koc</t>
        </is>
      </c>
      <c r="M342" s="18" t="n">
        <v>1.1</v>
      </c>
      <c r="N342" s="18" t="n">
        <v>19.9</v>
      </c>
      <c r="O342" s="18" t="inlineStr">
        <is>
          <t>图文</t>
        </is>
      </c>
      <c r="P342" s="21" t="n">
        <v>0.75</v>
      </c>
      <c r="Q342" s="21" t="n">
        <v>0.06</v>
      </c>
      <c r="R342" s="21" t="n">
        <v>0.55</v>
      </c>
      <c r="S342" s="21" t="n">
        <v>0.27</v>
      </c>
      <c r="T342" s="21" t="n">
        <v>0.45</v>
      </c>
      <c r="U342" s="21" t="n">
        <v>0.18</v>
      </c>
      <c r="V342" s="22" t="n">
        <v>8654</v>
      </c>
      <c r="W342" s="18" t="n">
        <v>646</v>
      </c>
      <c r="X342" s="18" t="n">
        <v>2150</v>
      </c>
      <c r="Y342" s="18">
        <f>X342*1.1</f>
        <v/>
      </c>
      <c r="Z342" s="20">
        <f>Y342/V342</f>
        <v/>
      </c>
      <c r="AA342" s="20">
        <f>Y342/W342</f>
        <v/>
      </c>
      <c r="AB342" s="18" t="n"/>
      <c r="AC342" s="18" t="n"/>
      <c r="AD342" s="18" t="n"/>
      <c r="AE342" s="18" t="n"/>
    </row>
    <row r="343">
      <c r="A343" s="18" t="n"/>
      <c r="B343" s="18" t="n"/>
      <c r="C343" s="17" t="n">
        <v>46097</v>
      </c>
      <c r="D343" s="18" t="inlineStr">
        <is>
          <t>品牌</t>
        </is>
      </c>
      <c r="E343" s="18" t="inlineStr">
        <is>
          <t>迪迪在家</t>
        </is>
      </c>
      <c r="F343" s="122" t="n"/>
      <c r="G343" s="122" t="inlineStr">
        <is>
          <t>https://pgy.xiaohongshu.com/solar/pre-trade/blogger-detail/67a8a08a000000000d009731?track_id=kolSimilar_0482c495394f4cf097258cc03826caa9&amp;source=Advertiser_Similar_Kol</t>
        </is>
      </c>
      <c r="H343" s="122" t="inlineStr">
        <is>
          <t>https://www.xiaohongshu.com/user/profile/67a8a08a000000000d009731</t>
        </is>
      </c>
      <c r="I343" s="18" t="n">
        <v>42992106064</v>
      </c>
      <c r="J343" s="18" t="n"/>
      <c r="K343" s="18" t="inlineStr">
        <is>
          <t>家居家装</t>
        </is>
      </c>
      <c r="L343" s="18" t="inlineStr">
        <is>
          <t>koc</t>
        </is>
      </c>
      <c r="M343" s="18" t="n">
        <v>0.1</v>
      </c>
      <c r="N343" s="18" t="n">
        <v>1.2</v>
      </c>
      <c r="O343" s="18" t="inlineStr">
        <is>
          <t>图文</t>
        </is>
      </c>
      <c r="P343" s="21" t="n">
        <v>0.84</v>
      </c>
      <c r="Q343" s="21" t="n">
        <v>0.1</v>
      </c>
      <c r="R343" s="21" t="n">
        <v>0.64</v>
      </c>
      <c r="S343" s="21" t="n">
        <v>0.1</v>
      </c>
      <c r="T343" s="21" t="n">
        <v>0.16</v>
      </c>
      <c r="U343" s="21" t="n">
        <v>0.49</v>
      </c>
      <c r="V343" s="22" t="n">
        <v>1627</v>
      </c>
      <c r="W343" s="18" t="n">
        <v>172</v>
      </c>
      <c r="X343" s="18" t="n">
        <v>300</v>
      </c>
      <c r="Y343" s="18">
        <f>X343*1.1</f>
        <v/>
      </c>
      <c r="Z343" s="20">
        <f>Y343/V343</f>
        <v/>
      </c>
      <c r="AA343" s="20">
        <f>Y343/W343</f>
        <v/>
      </c>
      <c r="AB343" s="18" t="n"/>
      <c r="AC343" s="18" t="n"/>
      <c r="AD343" s="18" t="n"/>
      <c r="AE343" s="18" t="n"/>
    </row>
    <row r="344">
      <c r="A344" s="18" t="n"/>
      <c r="B344" s="18" t="n"/>
      <c r="C344" s="17" t="n">
        <v>46097</v>
      </c>
      <c r="D344" s="18" t="inlineStr">
        <is>
          <t>品牌</t>
        </is>
      </c>
      <c r="E344" s="18" t="inlineStr">
        <is>
          <t>侯侯侯满意啊</t>
        </is>
      </c>
      <c r="F344" s="122" t="n"/>
      <c r="G344" s="122" t="inlineStr">
        <is>
          <t>https://pgy.xiaohongshu.com/solar/pre-trade/blogger-detail/670a3093000000001d020a74?track_id=kolSimilar_318713611a2a476a811b6443dd862de4&amp;source=Advertiser_Similar_Kol</t>
        </is>
      </c>
      <c r="H344" s="122" t="inlineStr">
        <is>
          <t>https://www.xiaohongshu.com/user/profile/670a3093000000001d020a74</t>
        </is>
      </c>
      <c r="I344" s="18" t="inlineStr">
        <is>
          <t>cyq9647</t>
        </is>
      </c>
      <c r="J344" s="18" t="n"/>
      <c r="K344" s="18" t="inlineStr">
        <is>
          <t>家居家装</t>
        </is>
      </c>
      <c r="L344" s="18" t="inlineStr">
        <is>
          <t>koc</t>
        </is>
      </c>
      <c r="M344" s="18" t="n">
        <v>1.2</v>
      </c>
      <c r="N344" s="18" t="n">
        <v>6.9</v>
      </c>
      <c r="O344" s="18" t="inlineStr">
        <is>
          <t>图文</t>
        </is>
      </c>
      <c r="P344" s="21" t="n">
        <v>0.87</v>
      </c>
      <c r="Q344" s="21" t="n">
        <v>0.04</v>
      </c>
      <c r="R344" s="21" t="n">
        <v>0.42</v>
      </c>
      <c r="S344" s="21" t="n">
        <v>0.34</v>
      </c>
      <c r="T344" s="21" t="n">
        <v>0.53</v>
      </c>
      <c r="U344" s="21" t="n">
        <v>0.19</v>
      </c>
      <c r="V344" s="22" t="n">
        <v>10765</v>
      </c>
      <c r="W344" s="18" t="n">
        <v>947</v>
      </c>
      <c r="X344" s="18" t="n">
        <v>1200</v>
      </c>
      <c r="Y344" s="18">
        <f>X344*1.1</f>
        <v/>
      </c>
      <c r="Z344" s="20">
        <f>Y344/V344</f>
        <v/>
      </c>
      <c r="AA344" s="20">
        <f>Y344/W344</f>
        <v/>
      </c>
      <c r="AB344" s="18" t="n"/>
      <c r="AC344" s="18" t="n"/>
      <c r="AD344" s="18" t="n"/>
      <c r="AE344" s="18" t="n"/>
    </row>
    <row r="345">
      <c r="A345" s="18" t="n"/>
      <c r="B345" s="18" t="n"/>
      <c r="C345" s="17" t="n">
        <v>46097</v>
      </c>
      <c r="D345" s="18" t="inlineStr">
        <is>
          <t>品牌</t>
        </is>
      </c>
      <c r="E345" s="18" t="inlineStr">
        <is>
          <t>小宅慢煮✨</t>
        </is>
      </c>
      <c r="F345" s="122" t="n"/>
      <c r="G345" s="122" t="inlineStr">
        <is>
          <t>https://pgy.xiaohongshu.com/solar/pre-trade/blogger-detail/62082ed70000000010008f03?track_id=kolSimilar_7939d42537224cb38b1ddf8cb8340b50&amp;source=Advertiser_Similar_Kol</t>
        </is>
      </c>
      <c r="H345" s="122" t="inlineStr">
        <is>
          <t>https://www.xiaohongshu.com/user/profile/62082ed70000000010008f03</t>
        </is>
      </c>
      <c r="I345" s="18" t="n">
        <v>5205274364</v>
      </c>
      <c r="J345" s="18" t="n"/>
      <c r="K345" s="18" t="inlineStr">
        <is>
          <t>家居家装</t>
        </is>
      </c>
      <c r="L345" s="18" t="inlineStr">
        <is>
          <t>koc</t>
        </is>
      </c>
      <c r="M345" s="18" t="n">
        <v>0.5</v>
      </c>
      <c r="N345" s="18" t="n">
        <v>3.3</v>
      </c>
      <c r="O345" s="18" t="inlineStr">
        <is>
          <t>图文</t>
        </is>
      </c>
      <c r="P345" s="21" t="n">
        <v>0.75</v>
      </c>
      <c r="Q345" s="21" t="n">
        <v>0.13</v>
      </c>
      <c r="R345" s="21" t="n">
        <v>0.31</v>
      </c>
      <c r="S345" s="21" t="n">
        <v>0.24</v>
      </c>
      <c r="T345" s="21" t="n">
        <v>0.16</v>
      </c>
      <c r="U345" s="21" t="n">
        <v>0.27</v>
      </c>
      <c r="V345" s="22" t="n">
        <v>1604</v>
      </c>
      <c r="W345" s="18" t="n">
        <v>69</v>
      </c>
      <c r="X345" s="18" t="n">
        <v>400</v>
      </c>
      <c r="Y345" s="18">
        <f>X345*1.1</f>
        <v/>
      </c>
      <c r="Z345" s="20">
        <f>Y345/V345</f>
        <v/>
      </c>
      <c r="AA345" s="20">
        <f>Y345/W345</f>
        <v/>
      </c>
      <c r="AB345" s="18" t="n"/>
      <c r="AC345" s="18" t="n"/>
      <c r="AD345" s="18" t="n"/>
      <c r="AE345" s="18" t="n"/>
    </row>
    <row r="346">
      <c r="A346" s="18" t="n"/>
      <c r="B346" s="18" t="n"/>
      <c r="C346" s="17" t="n">
        <v>46097</v>
      </c>
      <c r="D346" s="18" t="inlineStr">
        <is>
          <t>品牌</t>
        </is>
      </c>
      <c r="E346" s="18" t="inlineStr">
        <is>
          <t>多多的家🏠（软装中）</t>
        </is>
      </c>
      <c r="F346" s="122" t="n"/>
      <c r="G346" s="122" t="inlineStr">
        <is>
          <t>https://pgy.xiaohongshu.com/solar/pre-trade/blogger-detail/5a39fbf94eacab460b9d999b?track_id=kolSimilar_318713611a2a476a811b6443dd862de4&amp;source=Advertiser_Similar_Kol</t>
        </is>
      </c>
      <c r="H346" s="122" t="inlineStr">
        <is>
          <t>https://www.xiaohongshu.com/user/profile/5a39fbf94eacab460b9d999b</t>
        </is>
      </c>
      <c r="I346" s="18" t="n">
        <v>349004999</v>
      </c>
      <c r="J346" s="18" t="n"/>
      <c r="K346" s="18" t="inlineStr">
        <is>
          <t>家居家装</t>
        </is>
      </c>
      <c r="L346" s="18" t="inlineStr">
        <is>
          <t>koc</t>
        </is>
      </c>
      <c r="M346" s="18" t="n">
        <v>0.6</v>
      </c>
      <c r="N346" s="18" t="n">
        <v>9</v>
      </c>
      <c r="O346" s="18" t="inlineStr">
        <is>
          <t>图文</t>
        </is>
      </c>
      <c r="P346" s="21" t="n">
        <v>0.83</v>
      </c>
      <c r="Q346" s="21" t="n">
        <v>0.06</v>
      </c>
      <c r="R346" s="21" t="n">
        <v>0.61</v>
      </c>
      <c r="S346" s="21" t="n">
        <v>0.23</v>
      </c>
      <c r="T346" s="21" t="n">
        <v>0.55</v>
      </c>
      <c r="U346" s="21" t="n">
        <v>0.16</v>
      </c>
      <c r="V346" s="18" t="n">
        <v>940</v>
      </c>
      <c r="W346" s="18" t="n">
        <v>27</v>
      </c>
      <c r="X346" s="18" t="n">
        <v>1800</v>
      </c>
      <c r="Y346" s="18">
        <f>X346*1.1</f>
        <v/>
      </c>
      <c r="Z346" s="20">
        <f>Y346/V346</f>
        <v/>
      </c>
      <c r="AA346" s="20">
        <f>Y346/W346</f>
        <v/>
      </c>
      <c r="AB346" s="18" t="n"/>
      <c r="AC346" s="18" t="n"/>
      <c r="AD346" s="18" t="n"/>
      <c r="AE346" s="18" t="n"/>
    </row>
    <row r="347">
      <c r="A347" s="18" t="n"/>
      <c r="B347" s="18" t="n"/>
      <c r="C347" s="17" t="n">
        <v>46097</v>
      </c>
      <c r="D347" s="18" t="inlineStr">
        <is>
          <t>品牌</t>
        </is>
      </c>
      <c r="E347" s="18" t="inlineStr">
        <is>
          <t>蓝蓝的小窝🏠</t>
        </is>
      </c>
      <c r="F347" s="122" t="n"/>
      <c r="G347" s="122" t="inlineStr">
        <is>
          <t>https://pgy.xiaohongshu.com/solar/pre-trade/blogger-detail/6513c35e0000000023027fa0?track_id=kolSimilar_4ee96c096bc6407dbf2caa3fccaed394&amp;source=Advertiser_Similar_Kol</t>
        </is>
      </c>
      <c r="H347" s="122" t="inlineStr">
        <is>
          <t>https://www.xiaohongshu.com/user/profile/6513c35e0000000023027fa0</t>
        </is>
      </c>
      <c r="I347" s="18" t="n">
        <v>7245765728</v>
      </c>
      <c r="J347" s="18" t="n"/>
      <c r="K347" s="18" t="inlineStr">
        <is>
          <t>家居家装</t>
        </is>
      </c>
      <c r="L347" s="18" t="inlineStr">
        <is>
          <t>koc</t>
        </is>
      </c>
      <c r="M347" s="18" t="n">
        <v>0.3</v>
      </c>
      <c r="N347" s="18" t="n">
        <v>2.6</v>
      </c>
      <c r="O347" s="18" t="inlineStr">
        <is>
          <t>图文</t>
        </is>
      </c>
      <c r="P347" s="21" t="n">
        <v>0.88</v>
      </c>
      <c r="Q347" s="21" t="n">
        <v>0.05</v>
      </c>
      <c r="R347" s="21" t="n">
        <v>0.82</v>
      </c>
      <c r="S347" s="21" t="n">
        <v>0.06</v>
      </c>
      <c r="T347" s="21" t="n">
        <v>0.14</v>
      </c>
      <c r="U347" s="21" t="n">
        <v>0.38</v>
      </c>
      <c r="V347" s="22" t="n">
        <v>1220</v>
      </c>
      <c r="W347" s="18" t="n">
        <v>56</v>
      </c>
      <c r="X347" s="18" t="n">
        <v>300</v>
      </c>
      <c r="Y347" s="18">
        <f>X347*1.1</f>
        <v/>
      </c>
      <c r="Z347" s="20">
        <f>Y347/V347</f>
        <v/>
      </c>
      <c r="AA347" s="20">
        <f>Y347/W347</f>
        <v/>
      </c>
      <c r="AB347" s="18" t="n"/>
      <c r="AC347" s="18" t="n"/>
      <c r="AD347" s="18" t="n"/>
      <c r="AE347" s="18" t="n"/>
    </row>
    <row r="348">
      <c r="A348" s="18" t="n"/>
      <c r="B348" s="18" t="n"/>
      <c r="C348" s="17" t="n">
        <v>46097</v>
      </c>
      <c r="D348" s="18" t="inlineStr">
        <is>
          <t>品牌</t>
        </is>
      </c>
      <c r="E348" s="18" t="inlineStr">
        <is>
          <t>墩宝DUN</t>
        </is>
      </c>
      <c r="F348" s="122" t="n"/>
      <c r="G348" s="122" t="inlineStr">
        <is>
          <t>https://pgy.xiaohongshu.com/solar/pre-trade/blogger-detail/5dc7caf500000000010057ca?track_id=kolSimilar_318713611a2a476a811b6443dd862de4&amp;source=Advertiser_Similar_Kol</t>
        </is>
      </c>
      <c r="H348" s="122" t="inlineStr">
        <is>
          <t>https://www.xiaohongshu.com/user/profile/5dc7caf500000000010057ca</t>
        </is>
      </c>
      <c r="I348" s="18" t="n">
        <v>873885354</v>
      </c>
      <c r="J348" s="18" t="n"/>
      <c r="K348" s="18" t="inlineStr">
        <is>
          <t>家居家装</t>
        </is>
      </c>
      <c r="L348" s="18" t="inlineStr">
        <is>
          <t>koc</t>
        </is>
      </c>
      <c r="M348" s="18" t="n">
        <v>1.1</v>
      </c>
      <c r="N348" s="18" t="n">
        <v>19.3</v>
      </c>
      <c r="O348" s="18" t="inlineStr">
        <is>
          <t>图文</t>
        </is>
      </c>
      <c r="P348" s="21" t="n">
        <v>0.8100000000000001</v>
      </c>
      <c r="Q348" s="21" t="n">
        <v>0.08</v>
      </c>
      <c r="R348" s="21" t="n">
        <v>0.55</v>
      </c>
      <c r="S348" s="21" t="n">
        <v>0.24</v>
      </c>
      <c r="T348" s="21" t="n">
        <v>0.62</v>
      </c>
      <c r="U348" s="21" t="n">
        <v>0.13</v>
      </c>
      <c r="V348" s="22" t="n">
        <v>11248</v>
      </c>
      <c r="W348" s="22" t="n">
        <v>1222</v>
      </c>
      <c r="X348" s="18" t="n">
        <v>2400</v>
      </c>
      <c r="Y348" s="18">
        <f>X348*1.1</f>
        <v/>
      </c>
      <c r="Z348" s="20">
        <f>Y348/V348</f>
        <v/>
      </c>
      <c r="AA348" s="20">
        <f>Y348/W348</f>
        <v/>
      </c>
      <c r="AB348" s="18" t="n"/>
      <c r="AC348" s="18" t="n"/>
      <c r="AD348" s="18" t="n"/>
      <c r="AE348" s="18" t="n"/>
    </row>
    <row r="349">
      <c r="A349" s="18" t="n"/>
      <c r="B349" s="18" t="n"/>
      <c r="C349" s="17" t="n">
        <v>46097</v>
      </c>
      <c r="D349" s="18" t="inlineStr">
        <is>
          <t>品牌</t>
        </is>
      </c>
      <c r="E349" s="18" t="inlineStr">
        <is>
          <t>梦芋于的小家</t>
        </is>
      </c>
      <c r="F349" s="122" t="n"/>
      <c r="G349" s="122" t="inlineStr">
        <is>
          <t>https://pgy.xiaohongshu.com/solar/pre-trade/blogger-detail/6823605f000000000a03ec8a?track_id=kolSimilar_7939d42537224cb38b1ddf8cb8340b50&amp;source=Advertiser_Similar_Kol</t>
        </is>
      </c>
      <c r="H349" s="122" t="inlineStr">
        <is>
          <t>https://www.xiaohongshu.com/user/profile/6823605f000000000a03ec8a</t>
        </is>
      </c>
      <c r="I349" s="18" t="n">
        <v>95066502538</v>
      </c>
      <c r="J349" s="18" t="n"/>
      <c r="K349" s="18" t="inlineStr">
        <is>
          <t>家居家装</t>
        </is>
      </c>
      <c r="L349" s="18" t="inlineStr">
        <is>
          <t>koc</t>
        </is>
      </c>
      <c r="M349" s="18" t="n">
        <v>0.2</v>
      </c>
      <c r="N349" s="18" t="n">
        <v>2.9</v>
      </c>
      <c r="O349" s="18" t="inlineStr">
        <is>
          <t>图文</t>
        </is>
      </c>
      <c r="P349" s="21" t="n">
        <v>0.89</v>
      </c>
      <c r="Q349" s="21" t="n">
        <v>0.06</v>
      </c>
      <c r="R349" s="21" t="n">
        <v>0.77</v>
      </c>
      <c r="S349" s="21" t="n">
        <v>0.06</v>
      </c>
      <c r="T349" s="21" t="n">
        <v>0.14</v>
      </c>
      <c r="U349" s="21" t="n">
        <v>0.49</v>
      </c>
      <c r="V349" s="22" t="n">
        <v>1444</v>
      </c>
      <c r="W349" s="18" t="n">
        <v>211</v>
      </c>
      <c r="X349" s="18" t="n">
        <v>300</v>
      </c>
      <c r="Y349" s="18">
        <f>X349*1.1</f>
        <v/>
      </c>
      <c r="Z349" s="20">
        <f>Y349/V349</f>
        <v/>
      </c>
      <c r="AA349" s="20">
        <f>Y349/W349</f>
        <v/>
      </c>
      <c r="AB349" s="18" t="n"/>
      <c r="AC349" s="18" t="n"/>
      <c r="AD349" s="18" t="n"/>
      <c r="AE349" s="18" t="n"/>
    </row>
    <row r="350">
      <c r="A350" s="18" t="n"/>
      <c r="B350" s="18" t="n"/>
      <c r="C350" s="17" t="n">
        <v>46097</v>
      </c>
      <c r="D350" s="18" t="inlineStr">
        <is>
          <t>品牌</t>
        </is>
      </c>
      <c r="E350" s="18" t="inlineStr">
        <is>
          <t>车车Home</t>
        </is>
      </c>
      <c r="F350" s="122" t="n"/>
      <c r="G350" s="122" t="inlineStr">
        <is>
          <t>https://pgy.xiaohongshu.com/solar/pre-trade/blogger-detail/682b5d95000000000e01e2eb?track_id=kolSimilar_c7c5797771384bbf8912ee88b10c2357&amp;source=Advertiser_Similar_Kol</t>
        </is>
      </c>
      <c r="H350" s="122" t="inlineStr">
        <is>
          <t>https://www.xiaohongshu.com/user/profile/682b5d95000000000e01e2eb</t>
        </is>
      </c>
      <c r="I350" s="18" t="n">
        <v>95037815445</v>
      </c>
      <c r="J350" s="18" t="n"/>
      <c r="K350" s="18" t="inlineStr">
        <is>
          <t>家居家装</t>
        </is>
      </c>
      <c r="L350" s="18" t="inlineStr">
        <is>
          <t>koc</t>
        </is>
      </c>
      <c r="M350" s="18" t="n">
        <v>0.5</v>
      </c>
      <c r="N350" s="18" t="n">
        <v>15</v>
      </c>
      <c r="O350" s="18" t="inlineStr">
        <is>
          <t>图文</t>
        </is>
      </c>
      <c r="P350" s="21" t="n">
        <v>0.9</v>
      </c>
      <c r="Q350" s="21" t="n">
        <v>0.07000000000000001</v>
      </c>
      <c r="R350" s="21" t="n">
        <v>0.53</v>
      </c>
      <c r="S350" s="21" t="n">
        <v>0.26</v>
      </c>
      <c r="T350" s="21" t="n">
        <v>0.61</v>
      </c>
      <c r="U350" s="21" t="n">
        <v>0.15</v>
      </c>
      <c r="V350" s="22" t="n">
        <v>5662</v>
      </c>
      <c r="W350" s="18" t="n">
        <v>604</v>
      </c>
      <c r="X350" s="18" t="n">
        <v>2100</v>
      </c>
      <c r="Y350" s="18">
        <f>X350*1.1</f>
        <v/>
      </c>
      <c r="Z350" s="20">
        <f>Y350/V350</f>
        <v/>
      </c>
      <c r="AA350" s="20">
        <f>Y350/W350</f>
        <v/>
      </c>
      <c r="AB350" s="18" t="n"/>
      <c r="AC350" s="18" t="n"/>
      <c r="AD350" s="18" t="n"/>
      <c r="AE350" s="18" t="n"/>
    </row>
    <row r="351">
      <c r="A351" s="18" t="n"/>
      <c r="B351" s="18" t="n"/>
      <c r="C351" s="17" t="n">
        <v>46097</v>
      </c>
      <c r="D351" s="18" t="inlineStr">
        <is>
          <t>品牌</t>
        </is>
      </c>
      <c r="E351" s="18" t="inlineStr">
        <is>
          <t>小美满的家🏠</t>
        </is>
      </c>
      <c r="F351" s="122" t="n"/>
      <c r="G351" s="122" t="inlineStr">
        <is>
          <t>https://pgy.xiaohongshu.com/solar/pre-trade/blogger-detail/6525725c000000002b003b31?track_id=kolSimilar_0482c495394f4cf097258cc03826caa9&amp;source=Advertiser_Similar_Kol</t>
        </is>
      </c>
      <c r="H351" s="122" t="inlineStr">
        <is>
          <t>https://www.xiaohongshu.com/user/profile/6525725c000000002b003b31</t>
        </is>
      </c>
      <c r="I351" s="18" t="n">
        <v>8143918635</v>
      </c>
      <c r="J351" s="18" t="n"/>
      <c r="K351" s="18" t="inlineStr">
        <is>
          <t>家居家装</t>
        </is>
      </c>
      <c r="L351" s="18" t="inlineStr">
        <is>
          <t>koc</t>
        </is>
      </c>
      <c r="M351" s="18" t="n">
        <v>0.3</v>
      </c>
      <c r="N351" s="18" t="n">
        <v>2.7</v>
      </c>
      <c r="O351" s="18" t="inlineStr">
        <is>
          <t>图文</t>
        </is>
      </c>
      <c r="P351" s="21" t="n">
        <v>0.8</v>
      </c>
      <c r="Q351" s="21" t="n">
        <v>0.11</v>
      </c>
      <c r="R351" s="21" t="n">
        <v>0.6899999999999999</v>
      </c>
      <c r="S351" s="21" t="n">
        <v>0.09</v>
      </c>
      <c r="T351" s="21" t="n">
        <v>0.25</v>
      </c>
      <c r="U351" s="21" t="n">
        <v>0.32</v>
      </c>
      <c r="V351" s="22" t="n">
        <v>1411</v>
      </c>
      <c r="W351" s="18" t="n">
        <v>155</v>
      </c>
      <c r="X351" s="18" t="n">
        <v>600</v>
      </c>
      <c r="Y351" s="18">
        <f>X351*1.1</f>
        <v/>
      </c>
      <c r="Z351" s="20">
        <f>Y351/V351</f>
        <v/>
      </c>
      <c r="AA351" s="20">
        <f>Y351/W351</f>
        <v/>
      </c>
      <c r="AB351" s="18" t="n"/>
      <c r="AC351" s="18" t="n"/>
      <c r="AD351" s="18" t="n"/>
      <c r="AE351" s="18" t="n"/>
    </row>
    <row r="352">
      <c r="A352" s="18" t="n"/>
      <c r="B352" s="18" t="n"/>
      <c r="C352" s="17" t="n">
        <v>46097</v>
      </c>
      <c r="D352" s="18" t="inlineStr">
        <is>
          <t>品牌</t>
        </is>
      </c>
      <c r="E352" s="18" t="inlineStr">
        <is>
          <t>老张和小曹的家</t>
        </is>
      </c>
      <c r="F352" s="122" t="n"/>
      <c r="G352" s="122" t="inlineStr">
        <is>
          <t>https://pgy.xiaohongshu.com/solar/pre-trade/blogger-detail/6684166f00000000030308ed?track_id=kolSimilar_7939d42537224cb38b1ddf8cb8340b50&amp;source=Advertiser_Similar_Kol</t>
        </is>
      </c>
      <c r="H352" s="122" t="inlineStr">
        <is>
          <t>https://www.xiaohongshu.com/user/profile/6684166f00000000030308ed</t>
        </is>
      </c>
      <c r="I352" s="18" t="n">
        <v>42892987297</v>
      </c>
      <c r="J352" s="18" t="n"/>
      <c r="K352" s="18" t="inlineStr">
        <is>
          <t>家居家装</t>
        </is>
      </c>
      <c r="L352" s="18" t="inlineStr">
        <is>
          <t>koc</t>
        </is>
      </c>
      <c r="M352" s="18" t="n">
        <v>0.5</v>
      </c>
      <c r="N352" s="18" t="n">
        <v>4.8</v>
      </c>
      <c r="O352" s="18" t="inlineStr">
        <is>
          <t>图文</t>
        </is>
      </c>
      <c r="P352" s="21" t="n">
        <v>0.89</v>
      </c>
      <c r="Q352" s="21" t="n">
        <v>0.11</v>
      </c>
      <c r="R352" s="21" t="n">
        <v>0.7</v>
      </c>
      <c r="S352" s="21" t="n">
        <v>0.08</v>
      </c>
      <c r="T352" s="21" t="n">
        <v>0.37</v>
      </c>
      <c r="U352" s="21" t="n">
        <v>0.27</v>
      </c>
      <c r="V352" s="22" t="n">
        <v>2464</v>
      </c>
      <c r="W352" s="18" t="n">
        <v>371</v>
      </c>
      <c r="X352" s="18" t="n">
        <v>600</v>
      </c>
      <c r="Y352" s="18">
        <f>X352*1.1</f>
        <v/>
      </c>
      <c r="Z352" s="20">
        <f>Y352/V352</f>
        <v/>
      </c>
      <c r="AA352" s="20">
        <f>Y352/W352</f>
        <v/>
      </c>
      <c r="AB352" s="18" t="n"/>
      <c r="AC352" s="18" t="n"/>
      <c r="AD352" s="18" t="n"/>
      <c r="AE352" s="18" t="n"/>
    </row>
    <row r="353">
      <c r="A353" s="18" t="n"/>
      <c r="B353" s="18" t="n"/>
      <c r="C353" s="17" t="n">
        <v>46097</v>
      </c>
      <c r="D353" s="18" t="inlineStr">
        <is>
          <t>品牌</t>
        </is>
      </c>
      <c r="E353" s="18" t="inlineStr">
        <is>
          <t>小Ru的新家(软装中)</t>
        </is>
      </c>
      <c r="F353" s="122" t="n"/>
      <c r="G353" s="122" t="inlineStr">
        <is>
          <t>https://pgy.xiaohongshu.com/solar/pre-trade/blogger-detail/5a87cf7edb2e605505d43453?track_id=kolSimilar_fdba72124421487888a91227e9650202&amp;source=Advertiser_Similar_Kol</t>
        </is>
      </c>
      <c r="H353" s="122" t="inlineStr">
        <is>
          <t>https://www.xiaohongshu.com/user/profile/5a87cf7edb2e605505d43453</t>
        </is>
      </c>
      <c r="I353" s="18" t="inlineStr">
        <is>
          <t>RuRu1204</t>
        </is>
      </c>
      <c r="J353" s="18" t="n"/>
      <c r="K353" s="18" t="inlineStr">
        <is>
          <t>家居家装</t>
        </is>
      </c>
      <c r="L353" s="18" t="inlineStr">
        <is>
          <t>koc</t>
        </is>
      </c>
      <c r="M353" s="18" t="n">
        <v>0.5</v>
      </c>
      <c r="N353" s="18" t="n">
        <v>4.1</v>
      </c>
      <c r="O353" s="18" t="inlineStr">
        <is>
          <t>图文</t>
        </is>
      </c>
      <c r="P353" s="21" t="n">
        <v>0.88</v>
      </c>
      <c r="Q353" s="21" t="n">
        <v>0.06</v>
      </c>
      <c r="R353" s="21" t="n">
        <v>0.8</v>
      </c>
      <c r="S353" s="21" t="n">
        <v>0.06</v>
      </c>
      <c r="T353" s="21" t="n">
        <v>0.26</v>
      </c>
      <c r="U353" s="21" t="n">
        <v>0.46</v>
      </c>
      <c r="V353" s="22" t="n">
        <v>2399</v>
      </c>
      <c r="W353" s="18" t="n">
        <v>572</v>
      </c>
      <c r="X353" s="18" t="n">
        <v>800</v>
      </c>
      <c r="Y353" s="18">
        <f>X353*1.1</f>
        <v/>
      </c>
      <c r="Z353" s="20">
        <f>Y353/V353</f>
        <v/>
      </c>
      <c r="AA353" s="20">
        <f>Y353/W353</f>
        <v/>
      </c>
      <c r="AB353" s="18" t="n"/>
      <c r="AC353" s="18" t="n"/>
      <c r="AD353" s="18" t="n"/>
      <c r="AE353" s="18" t="n"/>
    </row>
    <row r="354">
      <c r="A354" s="18" t="n"/>
      <c r="B354" s="18" t="n"/>
      <c r="C354" s="17" t="n">
        <v>46097</v>
      </c>
      <c r="D354" s="18" t="inlineStr">
        <is>
          <t>品牌</t>
        </is>
      </c>
      <c r="E354" s="18" t="inlineStr">
        <is>
          <t>追月亮</t>
        </is>
      </c>
      <c r="F354" s="122" t="n"/>
      <c r="G354" s="122" t="inlineStr">
        <is>
          <t>https://pgy.xiaohongshu.com/solar/pre-trade/blogger-detail/67265f57000000001d02efc4?track_id=kolSimilar_f5588e1a22ef44799bcd2465c02f2bf3&amp;source=Advertiser_Similar_Kol</t>
        </is>
      </c>
      <c r="H354" s="122" t="inlineStr">
        <is>
          <t>https://www.xiaohongshu.com/user/profile/67265f57000000001d02efc4</t>
        </is>
      </c>
      <c r="I354" s="18" t="n">
        <v>95698283700</v>
      </c>
      <c r="J354" s="18" t="n"/>
      <c r="K354" s="18" t="inlineStr">
        <is>
          <t>家居家装</t>
        </is>
      </c>
      <c r="L354" s="18" t="inlineStr">
        <is>
          <t>koc</t>
        </is>
      </c>
      <c r="M354" s="18" t="n">
        <v>0.3</v>
      </c>
      <c r="N354" s="18" t="n">
        <v>1.9</v>
      </c>
      <c r="O354" s="18" t="inlineStr">
        <is>
          <t>图文</t>
        </is>
      </c>
      <c r="P354" s="21" t="n">
        <v>0.8</v>
      </c>
      <c r="Q354" s="21" t="n">
        <v>0.08</v>
      </c>
      <c r="R354" s="21" t="n">
        <v>0.67</v>
      </c>
      <c r="S354" s="21" t="n">
        <v>0.14</v>
      </c>
      <c r="T354" s="21" t="n">
        <v>0.32</v>
      </c>
      <c r="U354" s="21" t="n">
        <v>0.37</v>
      </c>
      <c r="V354" s="22" t="n">
        <v>2502</v>
      </c>
      <c r="W354" s="18" t="n">
        <v>116</v>
      </c>
      <c r="X354" s="18" t="n">
        <v>1200</v>
      </c>
      <c r="Y354" s="18">
        <f>X354*1.1</f>
        <v/>
      </c>
      <c r="Z354" s="20">
        <f>Y354/V354</f>
        <v/>
      </c>
      <c r="AA354" s="20">
        <f>Y354/W354</f>
        <v/>
      </c>
      <c r="AB354" s="18" t="n"/>
      <c r="AC354" s="18" t="n"/>
      <c r="AD354" s="18" t="n"/>
      <c r="AE354" s="18" t="n"/>
    </row>
    <row r="355">
      <c r="A355" s="18" t="n"/>
      <c r="B355" s="18" t="n"/>
      <c r="C355" s="18" t="n"/>
      <c r="D355" s="18" t="n"/>
      <c r="E355" s="18" t="n"/>
      <c r="F355" s="122" t="n"/>
      <c r="G355" s="122" t="n"/>
      <c r="H355" s="122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>
        <f>X355*1.1</f>
        <v/>
      </c>
      <c r="Z355" s="20">
        <f>Y355/V355</f>
        <v/>
      </c>
      <c r="AA355" s="20">
        <f>Y355/W355</f>
        <v/>
      </c>
      <c r="AB355" s="18" t="n"/>
      <c r="AC355" s="18" t="n"/>
      <c r="AD355" s="18" t="n"/>
      <c r="AE355" s="18" t="n"/>
    </row>
    <row r="356" ht="86.84999999999999" customHeight="1" s="151">
      <c r="A356" s="18" t="n"/>
      <c r="B356" s="18" t="n"/>
      <c r="C356" s="17" t="n">
        <v>46098</v>
      </c>
      <c r="D356" s="18" t="inlineStr">
        <is>
          <t>电商</t>
        </is>
      </c>
      <c r="E356" s="18" t="inlineStr">
        <is>
          <t>半盏闲茶</t>
        </is>
      </c>
      <c r="F356" s="122" t="n"/>
      <c r="G356" s="122" t="inlineStr">
        <is>
          <t>https://pgy.xiaohongshu.com/solar/pre-trade/blogger-detail/689fadcb000000001903f016?track_id=kolMatch_fee0f9ba65af49f2ab77338c39bfe5e8&amp;source=Advertiser_Kol</t>
        </is>
      </c>
      <c r="H356" s="122" t="inlineStr">
        <is>
          <t>https://www.xiaohongshu.com/user/profile/689fadcb000000001903f016</t>
        </is>
      </c>
      <c r="I356" s="18" t="inlineStr">
        <is>
          <t>L13691726817</t>
        </is>
      </c>
      <c r="J356" s="18" t="n"/>
      <c r="K356" s="18" t="inlineStr">
        <is>
          <t>家居家装</t>
        </is>
      </c>
      <c r="L356" s="18" t="inlineStr">
        <is>
          <t>koc</t>
        </is>
      </c>
      <c r="M356" s="18" t="n">
        <v>0.6</v>
      </c>
      <c r="N356" s="18" t="n">
        <v>8.699999999999999</v>
      </c>
      <c r="O356" s="18" t="inlineStr">
        <is>
          <t>图文</t>
        </is>
      </c>
      <c r="P356" s="21" t="n">
        <v>0.82</v>
      </c>
      <c r="Q356" s="18" t="n"/>
      <c r="R356" s="21" t="n"/>
      <c r="S356" s="21" t="n"/>
      <c r="T356" s="21" t="n">
        <v>0.35</v>
      </c>
      <c r="U356" s="21" t="n">
        <v>0.2</v>
      </c>
      <c r="V356" s="22" t="n">
        <v>1449</v>
      </c>
      <c r="W356" s="18" t="n">
        <v>111</v>
      </c>
      <c r="X356" s="18" t="n">
        <v>500</v>
      </c>
      <c r="Y356" s="18">
        <f>X356*1.1</f>
        <v/>
      </c>
      <c r="Z356" s="20">
        <f>Y356/V356</f>
        <v/>
      </c>
      <c r="AA356" s="20">
        <f>Y356/W356</f>
        <v/>
      </c>
      <c r="AB356" s="18" t="n"/>
      <c r="AC356" s="18" t="n"/>
      <c r="AD356" s="18" t="n"/>
      <c r="AE356" s="18" t="n"/>
    </row>
    <row r="357" ht="88.75" customHeight="1" s="151">
      <c r="A357" s="18" t="n"/>
      <c r="B357" s="18" t="n"/>
      <c r="C357" s="17" t="n">
        <v>46098</v>
      </c>
      <c r="D357" s="18" t="inlineStr">
        <is>
          <t>电商</t>
        </is>
      </c>
      <c r="E357" s="18" t="inlineStr">
        <is>
          <t>我是昊昊（软装日记）</t>
        </is>
      </c>
      <c r="F357" s="122" t="n"/>
      <c r="G357" s="122" t="inlineStr">
        <is>
          <t>https://pgy.xiaohongshu.com/solar/pre-trade/blogger-detail/6256a6cc0000000021021397?track_id=kolSimilar_23d71bc4949744b191f5f44f19caf762&amp;source=Advertiser_Similar_Kol</t>
        </is>
      </c>
      <c r="H357" s="122" t="inlineStr">
        <is>
          <t>https://www.xiaohongshu.com/user/profile/6256a6cc0000000021021397</t>
        </is>
      </c>
      <c r="I357" s="18" t="n">
        <v>6049166035</v>
      </c>
      <c r="J357" s="18" t="n"/>
      <c r="K357" s="18" t="inlineStr">
        <is>
          <t>家居家装</t>
        </is>
      </c>
      <c r="L357" s="18" t="inlineStr">
        <is>
          <t>koc</t>
        </is>
      </c>
      <c r="M357" s="18" t="n">
        <v>0.2</v>
      </c>
      <c r="N357" s="18" t="n">
        <v>5.5</v>
      </c>
      <c r="O357" s="18" t="inlineStr">
        <is>
          <t>图文</t>
        </is>
      </c>
      <c r="P357" s="21" t="n">
        <v>0.74</v>
      </c>
      <c r="Q357" s="18" t="n"/>
      <c r="R357" s="21" t="n"/>
      <c r="S357" s="21" t="n"/>
      <c r="T357" s="21" t="n">
        <v>0.54</v>
      </c>
      <c r="U357" s="21" t="n">
        <v>0.14</v>
      </c>
      <c r="V357" s="22" t="n">
        <v>2387</v>
      </c>
      <c r="W357" s="18" t="n">
        <v>373</v>
      </c>
      <c r="X357" s="18" t="n">
        <v>700</v>
      </c>
      <c r="Y357" s="18">
        <f>X357*1.1</f>
        <v/>
      </c>
      <c r="Z357" s="20">
        <f>Y357/V357</f>
        <v/>
      </c>
      <c r="AA357" s="20">
        <f>Y357/W357</f>
        <v/>
      </c>
      <c r="AB357" s="18" t="n"/>
      <c r="AC357" s="18" t="n"/>
      <c r="AD357" s="18" t="n"/>
      <c r="AE357" s="18" t="n"/>
    </row>
    <row r="358" ht="83.84999999999999" customHeight="1" s="151">
      <c r="A358" s="18" t="n"/>
      <c r="B358" s="18" t="n"/>
      <c r="C358" s="17" t="n">
        <v>46098</v>
      </c>
      <c r="D358" s="18" t="inlineStr">
        <is>
          <t>电商</t>
        </is>
      </c>
      <c r="E358" s="18" t="inlineStr">
        <is>
          <t>是阿墩墩呀</t>
        </is>
      </c>
      <c r="F358" s="122" t="n"/>
      <c r="G358" s="122" t="inlineStr">
        <is>
          <t>https://pgy.xiaohongshu.com/solar/pre-trade/blogger-detail/6283aefb0000000021022cb9?track_id=kolSimilar_23d71bc4949744b191f5f44f19caf762&amp;source=Advertiser_Similar_Kol</t>
        </is>
      </c>
      <c r="H358" s="122" t="inlineStr">
        <is>
          <t>https://www.xiaohongshu.com/user/profile/6283aefb0000000021022cb9</t>
        </is>
      </c>
      <c r="I358" s="18" t="n">
        <v>4168966103</v>
      </c>
      <c r="J358" s="18" t="n"/>
      <c r="K358" s="18" t="inlineStr">
        <is>
          <t>家居家装</t>
        </is>
      </c>
      <c r="L358" s="18" t="inlineStr">
        <is>
          <t>koc</t>
        </is>
      </c>
      <c r="M358" s="18" t="n">
        <v>0.4</v>
      </c>
      <c r="N358" s="18" t="n">
        <v>1.7</v>
      </c>
      <c r="O358" s="18" t="inlineStr">
        <is>
          <t>图文</t>
        </is>
      </c>
      <c r="P358" s="21" t="n">
        <v>0.82</v>
      </c>
      <c r="Q358" s="18" t="n"/>
      <c r="R358" s="21" t="n"/>
      <c r="S358" s="21" t="n"/>
      <c r="T358" s="21" t="n">
        <v>0.59</v>
      </c>
      <c r="U358" s="21" t="n">
        <v>0.13</v>
      </c>
      <c r="V358" s="22" t="n">
        <v>2496</v>
      </c>
      <c r="W358" s="18" t="n">
        <v>461</v>
      </c>
      <c r="X358" s="18" t="n">
        <v>500</v>
      </c>
      <c r="Y358" s="18">
        <f>X358*1.1</f>
        <v/>
      </c>
      <c r="Z358" s="20">
        <f>Y358/V358</f>
        <v/>
      </c>
      <c r="AA358" s="20">
        <f>Y358/W358</f>
        <v/>
      </c>
      <c r="AB358" s="18" t="n"/>
      <c r="AC358" s="18" t="n"/>
      <c r="AD358" s="18" t="n"/>
      <c r="AE358" s="18" t="n"/>
    </row>
    <row r="359" ht="83.25" customHeight="1" s="151">
      <c r="A359" s="18" t="n"/>
      <c r="B359" s="18" t="n"/>
      <c r="C359" s="17" t="n">
        <v>46098</v>
      </c>
      <c r="D359" s="18" t="inlineStr">
        <is>
          <t>电商</t>
        </is>
      </c>
      <c r="E359" s="18" t="inlineStr">
        <is>
          <t>丽丽装修日记</t>
        </is>
      </c>
      <c r="F359" s="122" t="n"/>
      <c r="G359" s="122" t="inlineStr">
        <is>
          <t>https://pgy.xiaohongshu.com/solar/pre-trade/blogger-detail/627215a900000000210217ae?track_id=kolSimilar_55ddd1eb81a84983a3402eee899760a8&amp;source=Advertiser_Similar_Kol</t>
        </is>
      </c>
      <c r="H359" s="122" t="inlineStr">
        <is>
          <t>https://www.xiaohongshu.com/user/profile/627215a900000000210217ae</t>
        </is>
      </c>
      <c r="I359" s="18" t="n">
        <v>6276296132</v>
      </c>
      <c r="J359" s="18" t="n"/>
      <c r="K359" s="18" t="inlineStr">
        <is>
          <t>家居家装</t>
        </is>
      </c>
      <c r="L359" s="18" t="inlineStr">
        <is>
          <t>koc</t>
        </is>
      </c>
      <c r="M359" s="18" t="n">
        <v>0.4</v>
      </c>
      <c r="N359" s="18" t="n">
        <v>2.1</v>
      </c>
      <c r="O359" s="18" t="inlineStr">
        <is>
          <t>图文</t>
        </is>
      </c>
      <c r="P359" s="21" t="n">
        <v>0.87</v>
      </c>
      <c r="Q359" s="18" t="n"/>
      <c r="R359" s="21" t="n"/>
      <c r="S359" s="21" t="n"/>
      <c r="T359" s="21" t="n">
        <v>0.75</v>
      </c>
      <c r="U359" s="21" t="n">
        <v>0.06</v>
      </c>
      <c r="V359" s="22" t="n">
        <v>1621</v>
      </c>
      <c r="W359" s="18" t="n">
        <v>54</v>
      </c>
      <c r="X359" s="18" t="n">
        <v>500</v>
      </c>
      <c r="Y359" s="18">
        <f>X359*1.1</f>
        <v/>
      </c>
      <c r="Z359" s="20">
        <f>Y359/V359</f>
        <v/>
      </c>
      <c r="AA359" s="20">
        <f>Y359/W359</f>
        <v/>
      </c>
      <c r="AB359" s="18" t="n"/>
      <c r="AC359" s="18" t="n"/>
      <c r="AD359" s="18" t="n"/>
      <c r="AE359" s="18" t="n"/>
    </row>
    <row r="360" ht="89.3" customHeight="1" s="151">
      <c r="A360" s="18" t="n"/>
      <c r="B360" s="18" t="n"/>
      <c r="C360" s="17" t="n">
        <v>46098</v>
      </c>
      <c r="D360" s="18" t="inlineStr">
        <is>
          <t>电商</t>
        </is>
      </c>
      <c r="E360" s="18" t="inlineStr">
        <is>
          <t>杏仁小饼干（软装中）</t>
        </is>
      </c>
      <c r="F360" s="122" t="n"/>
      <c r="G360" s="122" t="inlineStr">
        <is>
          <t>https://pgy.xiaohongshu.com/solar/pre-trade/blogger-detail/5a6c3b3b11be101f9d2c63e3?track_id=kolSimilar_40b9d6c04a2c46cc9dbee56ed345075f&amp;source=Advertiser_Similar_Kol</t>
        </is>
      </c>
      <c r="H360" s="122" t="inlineStr">
        <is>
          <t>https://www.xiaohongshu.com/user/profile/5a6c3b3b11be101f9d2c63e3</t>
        </is>
      </c>
      <c r="I360" s="18" t="n">
        <v>186477307</v>
      </c>
      <c r="J360" s="18" t="n"/>
      <c r="K360" s="18" t="inlineStr">
        <is>
          <t>家居家装</t>
        </is>
      </c>
      <c r="L360" s="18" t="inlineStr">
        <is>
          <t>koc</t>
        </is>
      </c>
      <c r="M360" s="18" t="n">
        <v>0.2</v>
      </c>
      <c r="N360" s="18" t="n">
        <v>2.6</v>
      </c>
      <c r="O360" s="18" t="inlineStr">
        <is>
          <t>图文</t>
        </is>
      </c>
      <c r="P360" s="21" t="n">
        <v>0.73</v>
      </c>
      <c r="Q360" s="18" t="n"/>
      <c r="R360" s="21" t="n"/>
      <c r="S360" s="21" t="n"/>
      <c r="T360" s="21" t="n">
        <v>0.5</v>
      </c>
      <c r="U360" s="21" t="n">
        <v>0.19</v>
      </c>
      <c r="V360" s="22" t="n">
        <v>1122</v>
      </c>
      <c r="W360" s="18" t="n">
        <v>111</v>
      </c>
      <c r="X360" s="18" t="n">
        <v>400</v>
      </c>
      <c r="Y360" s="18">
        <f>X360*1.1</f>
        <v/>
      </c>
      <c r="Z360" s="20">
        <f>Y360/V360</f>
        <v/>
      </c>
      <c r="AA360" s="20">
        <f>Y360/W360</f>
        <v/>
      </c>
      <c r="AB360" s="18" t="n"/>
      <c r="AC360" s="18" t="n"/>
      <c r="AD360" s="18" t="n"/>
      <c r="AE360" s="18" t="n"/>
    </row>
    <row r="361" ht="84.55" customHeight="1" s="151">
      <c r="A361" s="18" t="n"/>
      <c r="B361" s="18" t="n"/>
      <c r="C361" s="17" t="n">
        <v>46098</v>
      </c>
      <c r="D361" s="18" t="inlineStr">
        <is>
          <t>电商</t>
        </is>
      </c>
      <c r="E361" s="18" t="inlineStr">
        <is>
          <t>亭妹的装修日记（软装ing）</t>
        </is>
      </c>
      <c r="F361" s="122" t="n"/>
      <c r="G361" s="122" t="inlineStr">
        <is>
          <t>https://pgy.xiaohongshu.com/solar/pre-trade/blogger-detail/59b5082550c4b436f9a36817?track_id=kolSimilar_40b9d6c04a2c46cc9dbee56ed345075f&amp;source=Advertiser_Similar_Kol</t>
        </is>
      </c>
      <c r="H361" s="122" t="inlineStr">
        <is>
          <t>https://www.xiaohongshu.com/user/profile/59b5082550c4b436f9a36817</t>
        </is>
      </c>
      <c r="I361" s="18" t="n">
        <v>953071393</v>
      </c>
      <c r="J361" s="18" t="n"/>
      <c r="K361" s="18" t="inlineStr">
        <is>
          <t>家居家装</t>
        </is>
      </c>
      <c r="L361" s="18" t="inlineStr">
        <is>
          <t>koc</t>
        </is>
      </c>
      <c r="M361" s="18" t="n">
        <v>0.5</v>
      </c>
      <c r="N361" s="18" t="n">
        <v>4.6</v>
      </c>
      <c r="O361" s="18" t="inlineStr">
        <is>
          <t>图文</t>
        </is>
      </c>
      <c r="P361" s="21" t="n">
        <v>0.72</v>
      </c>
      <c r="Q361" s="18" t="n"/>
      <c r="R361" s="21" t="n"/>
      <c r="S361" s="21" t="n"/>
      <c r="T361" s="21" t="n">
        <v>0.37</v>
      </c>
      <c r="U361" s="21" t="n">
        <v>0.23</v>
      </c>
      <c r="V361" s="22" t="n">
        <v>1005</v>
      </c>
      <c r="W361" s="18" t="n">
        <v>127</v>
      </c>
      <c r="X361" s="18" t="n">
        <v>420</v>
      </c>
      <c r="Y361" s="18">
        <f>X361*1.1</f>
        <v/>
      </c>
      <c r="Z361" s="20">
        <f>Y361/V361</f>
        <v/>
      </c>
      <c r="AA361" s="20">
        <f>Y361/W361</f>
        <v/>
      </c>
      <c r="AB361" s="18" t="n"/>
      <c r="AC361" s="18" t="n"/>
      <c r="AD361" s="18" t="n"/>
      <c r="AE361" s="18" t="n"/>
    </row>
    <row r="362" ht="93.2" customHeight="1" s="151">
      <c r="A362" s="18" t="n"/>
      <c r="B362" s="18" t="n"/>
      <c r="C362" s="17" t="n">
        <v>46098</v>
      </c>
      <c r="D362" s="18" t="inlineStr">
        <is>
          <t>电商</t>
        </is>
      </c>
      <c r="E362" s="18" t="inlineStr">
        <is>
          <t>星芒小窝</t>
        </is>
      </c>
      <c r="F362" s="122" t="n"/>
      <c r="G362" s="122" t="inlineStr">
        <is>
          <t>https://pgy.xiaohongshu.com/solar/pre-trade/blogger-detail/66fe946c000000001d02309a?track_id=kolSimilar_9e026bd5b5ab456bb8c7d56724b954fa&amp;source=Advertiser_Similar_Kol</t>
        </is>
      </c>
      <c r="H362" s="122" t="inlineStr">
        <is>
          <t>https://www.xiaohongshu.com/user/profile/66fe946c000000001d02309a</t>
        </is>
      </c>
      <c r="I362" s="18" t="n">
        <v>95694882575</v>
      </c>
      <c r="J362" s="18" t="n"/>
      <c r="K362" s="18" t="inlineStr">
        <is>
          <t>家居家装</t>
        </is>
      </c>
      <c r="L362" s="18" t="inlineStr">
        <is>
          <t>koc</t>
        </is>
      </c>
      <c r="M362" s="18" t="n">
        <v>0.1</v>
      </c>
      <c r="N362" s="18" t="n">
        <v>3.4</v>
      </c>
      <c r="O362" s="18" t="inlineStr">
        <is>
          <t>图文</t>
        </is>
      </c>
      <c r="P362" s="21" t="n">
        <v>0.88</v>
      </c>
      <c r="Q362" s="18" t="n"/>
      <c r="R362" s="21" t="n"/>
      <c r="S362" s="21" t="n"/>
      <c r="T362" s="21" t="n">
        <v>0.18</v>
      </c>
      <c r="U362" s="21" t="n">
        <v>0.44</v>
      </c>
      <c r="V362" s="22" t="n">
        <v>1031</v>
      </c>
      <c r="W362" s="18" t="n">
        <v>131</v>
      </c>
      <c r="X362" s="18" t="n">
        <v>300</v>
      </c>
      <c r="Y362" s="18">
        <f>X362*1.1</f>
        <v/>
      </c>
      <c r="Z362" s="20">
        <f>Y362/V362</f>
        <v/>
      </c>
      <c r="AA362" s="20">
        <f>Y362/W362</f>
        <v/>
      </c>
      <c r="AB362" s="18" t="n"/>
      <c r="AC362" s="18" t="n"/>
      <c r="AD362" s="18" t="n"/>
      <c r="AE362" s="18" t="n"/>
    </row>
    <row r="363" ht="90.90000000000001" customHeight="1" s="151">
      <c r="A363" s="18" t="n"/>
      <c r="B363" s="18" t="n"/>
      <c r="C363" s="17" t="n">
        <v>46098</v>
      </c>
      <c r="D363" s="18" t="inlineStr">
        <is>
          <t>电商</t>
        </is>
      </c>
      <c r="E363" s="18" t="inlineStr">
        <is>
          <t>小礼没烦恼</t>
        </is>
      </c>
      <c r="F363" s="122" t="n"/>
      <c r="G363" s="122" t="inlineStr">
        <is>
          <t>https://pgy.xiaohongshu.com/solar/pre-trade/blogger-detail/60c5807e000000000101d659?track_id=kolSimilar_9e026bd5b5ab456bb8c7d56724b954fa&amp;source=Advertiser_Similar_Kol</t>
        </is>
      </c>
      <c r="H363" s="122" t="inlineStr">
        <is>
          <t>https://www.xiaohongshu.com/user/profile/60c5807e000000000101d659</t>
        </is>
      </c>
      <c r="I363" s="18" t="inlineStr">
        <is>
          <t>xiaocc789</t>
        </is>
      </c>
      <c r="J363" s="18" t="n"/>
      <c r="K363" s="18" t="inlineStr">
        <is>
          <t>家居家装</t>
        </is>
      </c>
      <c r="L363" s="18" t="inlineStr">
        <is>
          <t>koc</t>
        </is>
      </c>
      <c r="M363" s="18" t="n">
        <v>0.4</v>
      </c>
      <c r="N363" s="18" t="n">
        <v>2.2</v>
      </c>
      <c r="O363" s="18" t="inlineStr">
        <is>
          <t>图文</t>
        </is>
      </c>
      <c r="P363" s="21" t="n">
        <v>0.8</v>
      </c>
      <c r="Q363" s="18" t="n"/>
      <c r="R363" s="21" t="n"/>
      <c r="S363" s="21" t="n"/>
      <c r="T363" s="21" t="n">
        <v>0.28</v>
      </c>
      <c r="U363" s="21" t="n">
        <v>0.19</v>
      </c>
      <c r="V363" s="22" t="n">
        <v>1390</v>
      </c>
      <c r="W363" s="18" t="n">
        <v>119</v>
      </c>
      <c r="X363" s="18" t="n">
        <v>500</v>
      </c>
      <c r="Y363" s="18">
        <f>X363*1.1</f>
        <v/>
      </c>
      <c r="Z363" s="20">
        <f>Y363/V363</f>
        <v/>
      </c>
      <c r="AA363" s="20">
        <f>Y363/W363</f>
        <v/>
      </c>
      <c r="AB363" s="18" t="n"/>
      <c r="AC363" s="18" t="n"/>
      <c r="AD363" s="18" t="n"/>
      <c r="AE363" s="18" t="n"/>
    </row>
    <row r="364" ht="85.34999999999999" customHeight="1" s="151">
      <c r="A364" s="18" t="n"/>
      <c r="B364" s="18" t="n"/>
      <c r="C364" s="17" t="n">
        <v>46098</v>
      </c>
      <c r="D364" s="18" t="inlineStr">
        <is>
          <t>电商</t>
        </is>
      </c>
      <c r="E364" s="18" t="inlineStr">
        <is>
          <t>有趣的灵魂三百斤</t>
        </is>
      </c>
      <c r="F364" s="122" t="n"/>
      <c r="G364" s="122" t="inlineStr">
        <is>
          <t>https://pgy.xiaohongshu.com/solar/pre-trade/blogger-detail/66062df9000000000600e71d?track_id=kolSimilar_01e1b077c704490584e82ccbdd4d8fb5&amp;source=Advertiser_Similar_Kol</t>
        </is>
      </c>
      <c r="H364" s="122" t="inlineStr">
        <is>
          <t>https://www.xiaohongshu.com/user/profile/66062df9000000000600e71d</t>
        </is>
      </c>
      <c r="I364" s="18" t="n">
        <v>18043769482</v>
      </c>
      <c r="J364" s="18" t="n"/>
      <c r="K364" s="18" t="inlineStr">
        <is>
          <t>家居家装</t>
        </is>
      </c>
      <c r="L364" s="18" t="inlineStr">
        <is>
          <t>koc</t>
        </is>
      </c>
      <c r="M364" s="18" t="n">
        <v>0.5</v>
      </c>
      <c r="N364" s="18" t="n">
        <v>0.8</v>
      </c>
      <c r="O364" s="18" t="inlineStr">
        <is>
          <t>图文</t>
        </is>
      </c>
      <c r="P364" s="21" t="n">
        <v>0.85</v>
      </c>
      <c r="Q364" s="18" t="n"/>
      <c r="R364" s="21" t="n"/>
      <c r="S364" s="21" t="n"/>
      <c r="T364" s="21" t="n">
        <v>0.58</v>
      </c>
      <c r="U364" s="21" t="n">
        <v>0.12</v>
      </c>
      <c r="V364" s="22" t="n">
        <v>3383</v>
      </c>
      <c r="W364" s="18" t="n">
        <v>65</v>
      </c>
      <c r="X364" s="18" t="n">
        <v>1200</v>
      </c>
      <c r="Y364" s="18">
        <f>X364*1.1</f>
        <v/>
      </c>
      <c r="Z364" s="20">
        <f>Y364/V364</f>
        <v/>
      </c>
      <c r="AA364" s="20">
        <f>Y364/W364</f>
        <v/>
      </c>
      <c r="AB364" s="18" t="n"/>
      <c r="AC364" s="18" t="n"/>
      <c r="AD364" s="18" t="n"/>
      <c r="AE364" s="18" t="n"/>
    </row>
    <row r="365" ht="87.05" customHeight="1" s="151">
      <c r="A365" s="18" t="n"/>
      <c r="B365" s="18" t="n"/>
      <c r="C365" s="17" t="n">
        <v>46098</v>
      </c>
      <c r="D365" s="18" t="inlineStr">
        <is>
          <t>电商</t>
        </is>
      </c>
      <c r="E365" s="18" t="inlineStr">
        <is>
          <t>洋子本洋</t>
        </is>
      </c>
      <c r="F365" s="122" t="n"/>
      <c r="G365" s="122" t="inlineStr">
        <is>
          <t>https://pgy.xiaohongshu.com/solar/pre-trade/blogger-detail/607272950000000001001bdc?track_id=kolSimilar_d2cab73ff93f436a8e6d71a44fbda001&amp;source=Advertiser_Similar_Kol</t>
        </is>
      </c>
      <c r="H365" s="122" t="inlineStr">
        <is>
          <t>https://www.xiaohongshu.com/user/profile/607272950000000001001bdc</t>
        </is>
      </c>
      <c r="I365" s="18" t="n">
        <v>9472064568</v>
      </c>
      <c r="J365" s="18" t="n"/>
      <c r="K365" s="18" t="inlineStr">
        <is>
          <t>家居家装</t>
        </is>
      </c>
      <c r="L365" s="18" t="inlineStr">
        <is>
          <t>koc</t>
        </is>
      </c>
      <c r="M365" s="18" t="n">
        <v>0.2</v>
      </c>
      <c r="N365" s="18" t="n">
        <v>5</v>
      </c>
      <c r="O365" s="18" t="inlineStr">
        <is>
          <t>图文</t>
        </is>
      </c>
      <c r="P365" s="21" t="n">
        <v>0.92</v>
      </c>
      <c r="Q365" s="18" t="n"/>
      <c r="R365" s="18" t="n"/>
      <c r="S365" s="18" t="n"/>
      <c r="T365" s="21" t="n">
        <v>0.72</v>
      </c>
      <c r="U365" s="21" t="n">
        <v>0.1</v>
      </c>
      <c r="V365" s="22" t="n">
        <v>3644</v>
      </c>
      <c r="W365" s="18" t="n">
        <v>533</v>
      </c>
      <c r="X365" s="18" t="n">
        <v>500</v>
      </c>
      <c r="Y365" s="18">
        <f>X365*1.1</f>
        <v/>
      </c>
      <c r="Z365" s="20">
        <f>Y365/V365</f>
        <v/>
      </c>
      <c r="AA365" s="20">
        <f>Y365/W365</f>
        <v/>
      </c>
      <c r="AB365" s="18" t="n"/>
      <c r="AC365" s="18" t="n"/>
      <c r="AD365" s="18" t="n"/>
      <c r="AE365" s="18" t="n"/>
    </row>
    <row r="366" ht="85.90000000000001" customHeight="1" s="151">
      <c r="A366" s="18" t="n"/>
      <c r="B366" s="18" t="n"/>
      <c r="C366" s="17" t="n">
        <v>46098</v>
      </c>
      <c r="D366" s="18" t="inlineStr">
        <is>
          <t>电商</t>
        </is>
      </c>
      <c r="E366" s="18" t="inlineStr">
        <is>
          <t>Sampha</t>
        </is>
      </c>
      <c r="F366" s="122" t="n"/>
      <c r="G366" s="122" t="inlineStr">
        <is>
          <t>https://pgy.xiaohongshu.com/solar/pre-trade/blogger-detail/65990ad30000000022004589?track_id=kolSimilar_d2cab73ff93f436a8e6d71a44fbda001&amp;source=Advertiser_Similar_Kol</t>
        </is>
      </c>
      <c r="H366" s="122" t="inlineStr">
        <is>
          <t>https://www.xiaohongshu.com/user/profile/65990ad30000000022004589</t>
        </is>
      </c>
      <c r="I366" s="18" t="n">
        <v>8273573296</v>
      </c>
      <c r="J366" s="18" t="n"/>
      <c r="K366" s="18" t="inlineStr">
        <is>
          <t>家居家装</t>
        </is>
      </c>
      <c r="L366" s="18" t="inlineStr">
        <is>
          <t>koc</t>
        </is>
      </c>
      <c r="M366" s="18" t="n">
        <v>0.1</v>
      </c>
      <c r="N366" s="18" t="n">
        <v>4.9</v>
      </c>
      <c r="O366" s="18" t="inlineStr">
        <is>
          <t>图文</t>
        </is>
      </c>
      <c r="P366" s="21" t="n">
        <v>0.68</v>
      </c>
      <c r="Q366" s="18" t="n"/>
      <c r="R366" s="18" t="n"/>
      <c r="S366" s="18" t="n"/>
      <c r="T366" s="21" t="n">
        <v>0.75</v>
      </c>
      <c r="U366" s="21" t="n">
        <v>0.09</v>
      </c>
      <c r="V366" s="18" t="n">
        <v>957</v>
      </c>
      <c r="W366" s="18" t="n">
        <v>61</v>
      </c>
      <c r="X366" s="18" t="n">
        <v>500</v>
      </c>
      <c r="Y366" s="18">
        <f>X366*1.1</f>
        <v/>
      </c>
      <c r="Z366" s="20">
        <f>Y366/V366</f>
        <v/>
      </c>
      <c r="AA366" s="20">
        <f>Y366/W366</f>
        <v/>
      </c>
      <c r="AB366" s="18" t="n"/>
      <c r="AC366" s="18" t="n"/>
      <c r="AD366" s="18" t="n"/>
      <c r="AE366" s="18" t="n"/>
    </row>
    <row r="367" ht="91.2" customHeight="1" s="151">
      <c r="A367" s="18" t="n"/>
      <c r="B367" s="18" t="n"/>
      <c r="C367" s="17" t="n">
        <v>46098</v>
      </c>
      <c r="D367" s="18" t="inlineStr">
        <is>
          <t>电商</t>
        </is>
      </c>
      <c r="E367" s="18" t="inlineStr">
        <is>
          <t>柠宝🍋</t>
        </is>
      </c>
      <c r="F367" s="122" t="n"/>
      <c r="G367" s="122" t="inlineStr">
        <is>
          <t>https://pgy.xiaohongshu.com/solar/pre-trade/blogger-detail/66f50997000000000d025366?track_id=kolSimilar_d2cab73ff93f436a8e6d71a44fbda001&amp;source=Advertiser_Similar_Kol</t>
        </is>
      </c>
      <c r="H367" s="122" t="inlineStr">
        <is>
          <t>https://www.xiaohongshu.com/user/profile/66f50997000000000d025366</t>
        </is>
      </c>
      <c r="I367" s="18" t="inlineStr">
        <is>
          <t>z91951924</t>
        </is>
      </c>
      <c r="J367" s="18" t="n"/>
      <c r="K367" s="18" t="inlineStr">
        <is>
          <t>家居家装</t>
        </is>
      </c>
      <c r="L367" s="18" t="inlineStr">
        <is>
          <t>koc</t>
        </is>
      </c>
      <c r="M367" s="18" t="n">
        <v>0.2</v>
      </c>
      <c r="N367" s="18" t="n">
        <v>2</v>
      </c>
      <c r="O367" s="18" t="inlineStr">
        <is>
          <t>图文</t>
        </is>
      </c>
      <c r="P367" s="21" t="n">
        <v>0.91</v>
      </c>
      <c r="Q367" s="18" t="n"/>
      <c r="R367" s="18" t="n"/>
      <c r="S367" s="18" t="n"/>
      <c r="T367" s="21" t="n">
        <v>0.4</v>
      </c>
      <c r="U367" s="21" t="n">
        <v>0.33</v>
      </c>
      <c r="V367" s="22" t="n">
        <v>1340</v>
      </c>
      <c r="W367" s="18" t="n">
        <v>144</v>
      </c>
      <c r="X367" s="18" t="n">
        <v>400</v>
      </c>
      <c r="Y367" s="18">
        <f>X367*1.1</f>
        <v/>
      </c>
      <c r="Z367" s="20">
        <f>Y367/V367</f>
        <v/>
      </c>
      <c r="AA367" s="20">
        <f>Y367/W367</f>
        <v/>
      </c>
      <c r="AB367" s="18" t="n"/>
      <c r="AC367" s="18" t="n"/>
      <c r="AD367" s="18" t="n"/>
      <c r="AE367" s="18" t="n"/>
    </row>
    <row r="368" ht="93.75" customHeight="1" s="151">
      <c r="A368" s="18" t="n"/>
      <c r="B368" s="18" t="n"/>
      <c r="C368" s="17" t="n">
        <v>46098</v>
      </c>
      <c r="D368" s="18" t="inlineStr">
        <is>
          <t>电商</t>
        </is>
      </c>
      <c r="E368" s="18" t="inlineStr">
        <is>
          <t>红豆芽儿的🏠</t>
        </is>
      </c>
      <c r="F368" s="122" t="n"/>
      <c r="G368" s="122" t="inlineStr">
        <is>
          <t>https://pgy.xiaohongshu.com/solar/pre-trade/blogger-detail/61605db50000000002019b17?track_id=kolSimilar_d2cab73ff93f436a8e6d71a44fbda001&amp;source=Advertiser_Similar_Kol</t>
        </is>
      </c>
      <c r="H368" s="122" t="inlineStr">
        <is>
          <t>https://www.xiaohongshu.com/user/profile/61605db50000000002019b17</t>
        </is>
      </c>
      <c r="I368" s="18" t="inlineStr">
        <is>
          <t>18814615803hh</t>
        </is>
      </c>
      <c r="J368" s="18" t="n"/>
      <c r="K368" s="18" t="inlineStr">
        <is>
          <t>家居家装</t>
        </is>
      </c>
      <c r="L368" s="18" t="inlineStr">
        <is>
          <t>koc</t>
        </is>
      </c>
      <c r="M368" s="18" t="n">
        <v>0.8</v>
      </c>
      <c r="N368" s="18" t="n">
        <v>4.7</v>
      </c>
      <c r="O368" s="18" t="inlineStr">
        <is>
          <t>图文</t>
        </is>
      </c>
      <c r="P368" s="21" t="n">
        <v>0.63</v>
      </c>
      <c r="Q368" s="18" t="n"/>
      <c r="R368" s="18" t="n"/>
      <c r="S368" s="18" t="n"/>
      <c r="T368" s="21" t="n">
        <v>0.37</v>
      </c>
      <c r="U368" s="21" t="n">
        <v>0.22</v>
      </c>
      <c r="V368" s="18" t="n">
        <v>299</v>
      </c>
      <c r="W368" s="18" t="n">
        <v>55</v>
      </c>
      <c r="X368" s="18" t="n">
        <v>299</v>
      </c>
      <c r="Y368" s="18">
        <f>X368*1.1</f>
        <v/>
      </c>
      <c r="Z368" s="20">
        <f>Y368/V368</f>
        <v/>
      </c>
      <c r="AA368" s="20">
        <f>Y368/W368</f>
        <v/>
      </c>
      <c r="AB368" s="18" t="n"/>
      <c r="AC368" s="18" t="n"/>
      <c r="AD368" s="18" t="n"/>
      <c r="AE368" s="18" t="n"/>
    </row>
    <row r="369" ht="94.90000000000001" customHeight="1" s="151">
      <c r="A369" s="18" t="n"/>
      <c r="B369" s="18" t="n"/>
      <c r="C369" s="17" t="n">
        <v>46098</v>
      </c>
      <c r="D369" s="18" t="inlineStr">
        <is>
          <t>电商</t>
        </is>
      </c>
      <c r="E369" s="18" t="inlineStr">
        <is>
          <t>一只枕头</t>
        </is>
      </c>
      <c r="F369" s="122" t="n"/>
      <c r="G369" s="122" t="inlineStr">
        <is>
          <t>https://pgy.xiaohongshu.com/solar/pre-trade/blogger-detail/66e58184000000000b0334d7?track_id=kolSimilar_cc149ca614d744adb740f05eb2e68fd8&amp;source=Advertiser_Similar_Kol</t>
        </is>
      </c>
      <c r="H369" s="122" t="inlineStr">
        <is>
          <t>https://www.xiaohongshu.com/user/profile/66e58184000000000b0334d7</t>
        </is>
      </c>
      <c r="I369" s="18" t="n">
        <v>95492170210</v>
      </c>
      <c r="J369" s="18" t="n"/>
      <c r="K369" s="18" t="inlineStr">
        <is>
          <t>家居家装</t>
        </is>
      </c>
      <c r="L369" s="18" t="inlineStr">
        <is>
          <t>koc</t>
        </is>
      </c>
      <c r="M369" s="18" t="n">
        <v>0.2</v>
      </c>
      <c r="N369" s="18" t="n">
        <v>2.3</v>
      </c>
      <c r="O369" s="18" t="inlineStr">
        <is>
          <t>图文</t>
        </is>
      </c>
      <c r="P369" s="21" t="n">
        <v>0.82</v>
      </c>
      <c r="Q369" s="18" t="n"/>
      <c r="R369" s="18" t="n"/>
      <c r="S369" s="18" t="n"/>
      <c r="T369" s="21" t="n">
        <v>0.49</v>
      </c>
      <c r="U369" s="21" t="n">
        <v>0.14</v>
      </c>
      <c r="V369" s="18" t="n">
        <v>394</v>
      </c>
      <c r="W369" s="18" t="n">
        <v>219</v>
      </c>
      <c r="X369" s="18" t="n">
        <v>375</v>
      </c>
      <c r="Y369" s="18">
        <f>X369*1.1</f>
        <v/>
      </c>
      <c r="Z369" s="20">
        <f>Y369/V369</f>
        <v/>
      </c>
      <c r="AA369" s="20">
        <f>Y369/W369</f>
        <v/>
      </c>
      <c r="AB369" s="18" t="n"/>
      <c r="AC369" s="18" t="n"/>
      <c r="AD369" s="18" t="n"/>
      <c r="AE369" s="18" t="n"/>
    </row>
    <row r="370" ht="92.5" customHeight="1" s="151">
      <c r="A370" s="18" t="n"/>
      <c r="B370" s="18" t="n"/>
      <c r="C370" s="17" t="n">
        <v>46098</v>
      </c>
      <c r="D370" s="18" t="inlineStr">
        <is>
          <t>电商</t>
        </is>
      </c>
      <c r="E370" s="18" t="inlineStr">
        <is>
          <t>小F攒星星🌟</t>
        </is>
      </c>
      <c r="F370" s="122" t="n"/>
      <c r="G370" s="122" t="inlineStr">
        <is>
          <t>https://pgy.xiaohongshu.com/solar/pre-trade/blogger-detail/5924fbe76a6a6969c8a9c0bc?track_id=kolSimilar_47dab58e8b6549a5ab766cacb6a37c56&amp;source=Advertiser_Similar_Kol</t>
        </is>
      </c>
      <c r="H370" s="122" t="inlineStr">
        <is>
          <t>https://www.xiaohongshu.com/user/profile/5924fbe76a6a6969c8a9c0bc</t>
        </is>
      </c>
      <c r="I370" s="18" t="n">
        <v>428820878</v>
      </c>
      <c r="J370" s="18" t="n"/>
      <c r="K370" s="18" t="inlineStr">
        <is>
          <t>家居家装</t>
        </is>
      </c>
      <c r="L370" s="18" t="inlineStr">
        <is>
          <t>koc</t>
        </is>
      </c>
      <c r="M370" s="18" t="n">
        <v>0.1</v>
      </c>
      <c r="N370" s="18" t="n">
        <v>3.2</v>
      </c>
      <c r="O370" s="18" t="inlineStr">
        <is>
          <t>图文</t>
        </is>
      </c>
      <c r="P370" s="21" t="n">
        <v>0.87</v>
      </c>
      <c r="Q370" s="18" t="n"/>
      <c r="R370" s="18" t="n"/>
      <c r="S370" s="18" t="n"/>
      <c r="T370" s="21" t="n">
        <v>0.7</v>
      </c>
      <c r="U370" s="21" t="n">
        <v>0.09</v>
      </c>
      <c r="V370" s="22" t="n">
        <v>2473</v>
      </c>
      <c r="W370" s="18" t="n">
        <v>205</v>
      </c>
      <c r="X370" s="18" t="n">
        <v>660</v>
      </c>
      <c r="Y370" s="18">
        <f>X370*1.1</f>
        <v/>
      </c>
      <c r="Z370" s="20">
        <f>Y370/V370</f>
        <v/>
      </c>
      <c r="AA370" s="20">
        <f>Y370/W370</f>
        <v/>
      </c>
      <c r="AB370" s="18" t="n"/>
      <c r="AC370" s="18" t="n"/>
      <c r="AD370" s="18" t="n"/>
      <c r="AE370" s="18" t="n"/>
    </row>
    <row r="371" ht="84.3" customHeight="1" s="151">
      <c r="A371" s="18" t="n"/>
      <c r="B371" s="18" t="n"/>
      <c r="C371" s="17" t="n">
        <v>46098</v>
      </c>
      <c r="D371" s="18" t="inlineStr">
        <is>
          <t>电商</t>
        </is>
      </c>
      <c r="E371" s="18" t="inlineStr">
        <is>
          <t>知知屋屋</t>
        </is>
      </c>
      <c r="F371" s="122" t="n"/>
      <c r="G371" s="122" t="inlineStr">
        <is>
          <t>https://pgy.xiaohongshu.com/solar/pre-trade/blogger-detail/671a3a5b000000001d03067d?track_id=kolSimilar_47dab58e8b6549a5ab766cacb6a37c56&amp;source=Advertiser_Similar_Kol</t>
        </is>
      </c>
      <c r="H371" s="122" t="inlineStr">
        <is>
          <t>https://www.xiaohongshu.com/user/profile/671a3a5b000000001d03067d</t>
        </is>
      </c>
      <c r="I371" s="18" t="n">
        <v>11522057372</v>
      </c>
      <c r="J371" s="18" t="n"/>
      <c r="K371" s="18" t="inlineStr">
        <is>
          <t>家居家装</t>
        </is>
      </c>
      <c r="L371" s="18" t="inlineStr">
        <is>
          <t>koc</t>
        </is>
      </c>
      <c r="M371" s="18" t="n">
        <v>0.1</v>
      </c>
      <c r="N371" s="18" t="n">
        <v>2.3</v>
      </c>
      <c r="O371" s="18" t="inlineStr">
        <is>
          <t>图文</t>
        </is>
      </c>
      <c r="P371" s="21" t="n">
        <v>0.89</v>
      </c>
      <c r="Q371" s="18" t="n"/>
      <c r="R371" s="18" t="n"/>
      <c r="S371" s="18" t="n"/>
      <c r="T371" s="21" t="n">
        <v>0.2</v>
      </c>
      <c r="U371" s="21" t="n">
        <v>0.33</v>
      </c>
      <c r="V371" s="22" t="n">
        <v>1196</v>
      </c>
      <c r="W371" s="18" t="n">
        <v>202</v>
      </c>
      <c r="X371" s="18" t="n">
        <v>300</v>
      </c>
      <c r="Y371" s="18">
        <f>X371*1.1</f>
        <v/>
      </c>
      <c r="Z371" s="20">
        <f>Y371/V371</f>
        <v/>
      </c>
      <c r="AA371" s="20">
        <f>Y371/W371</f>
        <v/>
      </c>
      <c r="AB371" s="18" t="n"/>
      <c r="AC371" s="18" t="n"/>
      <c r="AD371" s="18" t="n"/>
      <c r="AE371" s="18" t="n"/>
    </row>
    <row r="372">
      <c r="A372" s="18" t="n"/>
      <c r="B372" s="18" t="n"/>
      <c r="C372" s="17" t="n">
        <v>46098</v>
      </c>
      <c r="D372" s="18" t="inlineStr">
        <is>
          <t>品牌</t>
        </is>
      </c>
      <c r="E372" s="18" t="inlineStr">
        <is>
          <t>果粒家（软装ing)</t>
        </is>
      </c>
      <c r="F372" s="122" t="n"/>
      <c r="G372" s="122" t="inlineStr">
        <is>
          <t>https://pgy.xiaohongshu.com/solar/pre-trade/blogger-detail/632020d4000000002303f68b?track_id=kolSimilar_903a2dfffbd34961b164c6b8999c1972&amp;source=Advertiser_Similar_Kol</t>
        </is>
      </c>
      <c r="H372" s="122" t="inlineStr">
        <is>
          <t>https://www.xiaohongshu.com/user/profile/632020d4000000002303f68b</t>
        </is>
      </c>
      <c r="I372" s="18" t="n">
        <v>6709668925</v>
      </c>
      <c r="J372" s="18" t="n"/>
      <c r="K372" s="18" t="inlineStr">
        <is>
          <t>家居家装</t>
        </is>
      </c>
      <c r="L372" s="18" t="inlineStr">
        <is>
          <t>koc</t>
        </is>
      </c>
      <c r="M372" s="18" t="n">
        <v>1.5</v>
      </c>
      <c r="N372" s="18" t="n">
        <v>14.2</v>
      </c>
      <c r="O372" s="18" t="inlineStr">
        <is>
          <t>图文</t>
        </is>
      </c>
      <c r="P372" s="21" t="n">
        <v>0.82</v>
      </c>
      <c r="Q372" s="21" t="n">
        <v>0.11</v>
      </c>
      <c r="R372" s="21" t="n">
        <v>0.5600000000000001</v>
      </c>
      <c r="S372" s="21" t="n">
        <v>0.21</v>
      </c>
      <c r="T372" s="21" t="n">
        <v>0.64</v>
      </c>
      <c r="U372" s="21" t="n">
        <v>0.13</v>
      </c>
      <c r="V372" s="22" t="n">
        <v>17537</v>
      </c>
      <c r="W372" s="22" t="n">
        <v>1428</v>
      </c>
      <c r="X372" s="18" t="n">
        <v>1200</v>
      </c>
      <c r="Y372" s="18">
        <f>X372*1.1</f>
        <v/>
      </c>
      <c r="Z372" s="20">
        <f>Y372/V372</f>
        <v/>
      </c>
      <c r="AA372" s="20">
        <f>Y372/W372</f>
        <v/>
      </c>
      <c r="AB372" s="18" t="n"/>
      <c r="AC372" s="18" t="n"/>
      <c r="AD372" s="18" t="n"/>
      <c r="AE372" s="18" t="n"/>
    </row>
    <row r="373">
      <c r="A373" s="18" t="n"/>
      <c r="B373" s="18" t="n"/>
      <c r="C373" s="17" t="n">
        <v>46098</v>
      </c>
      <c r="D373" s="18" t="inlineStr">
        <is>
          <t>品牌</t>
        </is>
      </c>
      <c r="E373" s="18" t="inlineStr">
        <is>
          <t>年小笑</t>
        </is>
      </c>
      <c r="F373" s="122" t="n"/>
      <c r="G373" s="122" t="inlineStr">
        <is>
          <t>https://pgy.xiaohongshu.com/solar/pre-trade/blogger-detail/6872400c000000001b01a12b?track_id=kolSimilar_903a2dfffbd34961b164c6b8999c1972&amp;source=Advertiser_Similar_Kol</t>
        </is>
      </c>
      <c r="H373" s="122" t="inlineStr">
        <is>
          <t>https://www.xiaohongshu.com/user/profile/6872400c000000001b01a12b</t>
        </is>
      </c>
      <c r="I373" s="18" t="n">
        <v>26132628767</v>
      </c>
      <c r="J373" s="18" t="n"/>
      <c r="K373" s="18" t="inlineStr">
        <is>
          <t>家居家装</t>
        </is>
      </c>
      <c r="L373" s="18" t="inlineStr">
        <is>
          <t>koc</t>
        </is>
      </c>
      <c r="M373" s="18" t="n">
        <v>0.2</v>
      </c>
      <c r="N373" s="18" t="n">
        <v>1.1</v>
      </c>
      <c r="O373" s="18" t="inlineStr">
        <is>
          <t>图文</t>
        </is>
      </c>
      <c r="P373" s="21" t="n">
        <v>0.77</v>
      </c>
      <c r="Q373" s="21" t="n">
        <v>0.12</v>
      </c>
      <c r="R373" s="21" t="n">
        <v>0.58</v>
      </c>
      <c r="S373" s="21" t="n">
        <v>0.14</v>
      </c>
      <c r="T373" s="21" t="n">
        <v>0.26</v>
      </c>
      <c r="U373" s="21" t="n">
        <v>0.33</v>
      </c>
      <c r="V373" s="22" t="n">
        <v>1104</v>
      </c>
      <c r="W373" s="18" t="n">
        <v>68</v>
      </c>
      <c r="X373" s="18" t="n">
        <v>300</v>
      </c>
      <c r="Y373" s="18">
        <f>X373*1.1</f>
        <v/>
      </c>
      <c r="Z373" s="20">
        <f>Y373/V373</f>
        <v/>
      </c>
      <c r="AA373" s="20">
        <f>Y373/W373</f>
        <v/>
      </c>
      <c r="AB373" s="18" t="n"/>
      <c r="AC373" s="18" t="n"/>
      <c r="AD373" s="18" t="n"/>
      <c r="AE373" s="18" t="n"/>
    </row>
    <row r="374">
      <c r="A374" s="18" t="n"/>
      <c r="B374" s="18" t="n"/>
      <c r="C374" s="17" t="n">
        <v>46098</v>
      </c>
      <c r="D374" s="18" t="inlineStr">
        <is>
          <t>品牌</t>
        </is>
      </c>
      <c r="E374" s="18" t="inlineStr">
        <is>
          <t>白白和咩咩（软装ing）</t>
        </is>
      </c>
      <c r="F374" s="122" t="n"/>
      <c r="G374" s="122" t="inlineStr">
        <is>
          <t>https://pgy.xiaohongshu.com/solar/pre-trade/blogger-detail/60b7b8450000000001008ff1?track_id=kolSimilar_7d2240e5fea24041b114cf3ee28ac069&amp;source=Advertiser_Similar_Kol</t>
        </is>
      </c>
      <c r="H374" s="122" t="inlineStr">
        <is>
          <t>https://www.xiaohongshu.com/user/profile/60b7b8450000000001008ff1</t>
        </is>
      </c>
      <c r="I374" s="18" t="n">
        <v>9416582010</v>
      </c>
      <c r="J374" s="18" t="n"/>
      <c r="K374" s="18" t="inlineStr">
        <is>
          <t>家居家装</t>
        </is>
      </c>
      <c r="L374" s="18" t="inlineStr">
        <is>
          <t>koc</t>
        </is>
      </c>
      <c r="M374" s="18" t="n">
        <v>0.2</v>
      </c>
      <c r="N374" s="18" t="n">
        <v>4</v>
      </c>
      <c r="O374" s="18" t="inlineStr">
        <is>
          <t>图文</t>
        </is>
      </c>
      <c r="P374" s="21" t="n">
        <v>0.78</v>
      </c>
      <c r="Q374" s="21" t="n">
        <v>0.07000000000000001</v>
      </c>
      <c r="R374" s="21" t="n">
        <v>0.5600000000000001</v>
      </c>
      <c r="S374" s="21" t="n">
        <v>0.26</v>
      </c>
      <c r="T374" s="21" t="n">
        <v>0.73</v>
      </c>
      <c r="U374" s="21" t="n">
        <v>0.12</v>
      </c>
      <c r="V374" s="22" t="n">
        <v>17698</v>
      </c>
      <c r="W374" s="18" t="n">
        <v>696</v>
      </c>
      <c r="X374" s="18" t="n">
        <v>1150</v>
      </c>
      <c r="Y374" s="18">
        <f>X374*1.1</f>
        <v/>
      </c>
      <c r="Z374" s="20">
        <f>Y374/V374</f>
        <v/>
      </c>
      <c r="AA374" s="20">
        <f>Y374/W374</f>
        <v/>
      </c>
      <c r="AB374" s="18" t="n"/>
      <c r="AC374" s="18" t="n"/>
      <c r="AD374" s="18" t="n"/>
      <c r="AE374" s="18" t="n"/>
    </row>
    <row r="375">
      <c r="A375" s="18" t="n"/>
      <c r="B375" s="18" t="n"/>
      <c r="C375" s="17" t="n">
        <v>46098</v>
      </c>
      <c r="D375" s="18" t="inlineStr">
        <is>
          <t>品牌</t>
        </is>
      </c>
      <c r="E375" s="18" t="inlineStr">
        <is>
          <t>是阿丹姐</t>
        </is>
      </c>
      <c r="F375" s="122" t="n"/>
      <c r="G375" s="122" t="inlineStr">
        <is>
          <t>https://pgy.xiaohongshu.com/solar/pre-trade/blogger-detail/60d72512000000000101f0d5?track_id=kolSimilar_0888721fcad446c4baa42681da076613&amp;source=Advertiser_Similar_Kol</t>
        </is>
      </c>
      <c r="H375" s="122" t="inlineStr">
        <is>
          <t>https://www.xiaohongshu.com/user/profile/60d72512000000000101f0d5</t>
        </is>
      </c>
      <c r="I375" s="18" t="n">
        <v>6386645754</v>
      </c>
      <c r="J375" s="18" t="n"/>
      <c r="K375" s="18" t="inlineStr">
        <is>
          <t>家居家装</t>
        </is>
      </c>
      <c r="L375" s="18" t="inlineStr">
        <is>
          <t>koc</t>
        </is>
      </c>
      <c r="M375" s="18" t="n">
        <v>0.4</v>
      </c>
      <c r="N375" s="18" t="n">
        <v>3.6</v>
      </c>
      <c r="O375" s="18" t="inlineStr">
        <is>
          <t>图文</t>
        </is>
      </c>
      <c r="P375" s="21" t="n">
        <v>0.93</v>
      </c>
      <c r="Q375" s="21" t="n">
        <v>0.31</v>
      </c>
      <c r="R375" s="21" t="n">
        <v>0.45</v>
      </c>
      <c r="S375" s="21" t="n">
        <v>0.05</v>
      </c>
      <c r="T375" s="21" t="n">
        <v>0.26</v>
      </c>
      <c r="U375" s="21" t="n">
        <v>0.28</v>
      </c>
      <c r="V375" s="22" t="n">
        <v>3325</v>
      </c>
      <c r="W375" s="18" t="n">
        <v>175</v>
      </c>
      <c r="X375" s="18" t="n">
        <v>300</v>
      </c>
      <c r="Y375" s="18">
        <f>X375*1.1</f>
        <v/>
      </c>
      <c r="Z375" s="20">
        <f>Y375/V375</f>
        <v/>
      </c>
      <c r="AA375" s="20">
        <f>Y375/W375</f>
        <v/>
      </c>
      <c r="AB375" s="18" t="n"/>
      <c r="AC375" s="18" t="n"/>
      <c r="AD375" s="18" t="n"/>
      <c r="AE375" s="18" t="n"/>
    </row>
    <row r="376">
      <c r="A376" s="18" t="n"/>
      <c r="B376" s="18" t="n"/>
      <c r="C376" s="17" t="n">
        <v>46098</v>
      </c>
      <c r="D376" s="18" t="inlineStr">
        <is>
          <t>品牌</t>
        </is>
      </c>
      <c r="E376" s="18" t="inlineStr">
        <is>
          <t>洁然心动家</t>
        </is>
      </c>
      <c r="F376" s="122" t="n"/>
      <c r="G376" s="122" t="inlineStr">
        <is>
          <t>https://pgy.xiaohongshu.com/solar/pre-trade/blogger-detail/65288c82000000002b001baf?track_id=kolSimilar_63be4b37b89e466b9e7943614a78521d&amp;source=Advertiser_Similar_Kol</t>
        </is>
      </c>
      <c r="H376" s="122" t="inlineStr">
        <is>
          <t>https://www.xiaohongshu.com/user/profile/65288c82000000002b001baf</t>
        </is>
      </c>
      <c r="I376" s="18" t="n">
        <v>8131918694</v>
      </c>
      <c r="J376" s="18" t="n"/>
      <c r="K376" s="18" t="inlineStr">
        <is>
          <t>家居家装</t>
        </is>
      </c>
      <c r="L376" s="18" t="inlineStr">
        <is>
          <t>koc</t>
        </is>
      </c>
      <c r="M376" s="18" t="n">
        <v>0.6</v>
      </c>
      <c r="N376" s="18" t="n">
        <v>3.3</v>
      </c>
      <c r="O376" s="18" t="inlineStr">
        <is>
          <t>图文</t>
        </is>
      </c>
      <c r="P376" s="21" t="n">
        <v>0.82</v>
      </c>
      <c r="Q376" s="21" t="n">
        <v>0.19</v>
      </c>
      <c r="R376" s="21" t="n">
        <v>0.37</v>
      </c>
      <c r="S376" s="21" t="n">
        <v>0.16</v>
      </c>
      <c r="T376" s="21" t="n">
        <v>0.51</v>
      </c>
      <c r="U376" s="21" t="n">
        <v>0.13</v>
      </c>
      <c r="V376" s="22" t="n">
        <v>1341</v>
      </c>
      <c r="W376" s="18" t="n">
        <v>98</v>
      </c>
      <c r="X376" s="18" t="n">
        <v>500</v>
      </c>
      <c r="Y376" s="18">
        <f>X376*1.1</f>
        <v/>
      </c>
      <c r="Z376" s="20">
        <f>Y376/V376</f>
        <v/>
      </c>
      <c r="AA376" s="20">
        <f>Y376/W376</f>
        <v/>
      </c>
      <c r="AB376" s="18" t="n"/>
      <c r="AC376" s="18" t="n"/>
      <c r="AD376" s="18" t="n"/>
      <c r="AE376" s="18" t="n"/>
    </row>
    <row r="377">
      <c r="A377" s="18" t="n"/>
      <c r="B377" s="18" t="n"/>
      <c r="C377" s="17" t="n">
        <v>46098</v>
      </c>
      <c r="D377" s="18" t="inlineStr">
        <is>
          <t>品牌</t>
        </is>
      </c>
      <c r="E377" s="18" t="inlineStr">
        <is>
          <t>七七的幸运家</t>
        </is>
      </c>
      <c r="F377" s="122" t="n"/>
      <c r="G377" s="122" t="inlineStr">
        <is>
          <t>https://pgy.xiaohongshu.com/solar/pre-trade/blogger-detail/65a915dd000000000803d203?track_id=kolSimilar_00b0c63d2d8b462fa698f57e6c1f211f&amp;source=Advertiser_Similar_Kol</t>
        </is>
      </c>
      <c r="H377" s="122" t="inlineStr">
        <is>
          <t>https://www.xiaohongshu.com/user/profile/65a915dd000000000803d203</t>
        </is>
      </c>
      <c r="I377" s="18" t="n">
        <v>2556133821</v>
      </c>
      <c r="J377" s="18" t="n"/>
      <c r="K377" s="18" t="inlineStr">
        <is>
          <t>家居家装</t>
        </is>
      </c>
      <c r="L377" s="18" t="inlineStr">
        <is>
          <t>koc</t>
        </is>
      </c>
      <c r="M377" s="18" t="n">
        <v>0.1</v>
      </c>
      <c r="N377" s="18" t="n">
        <v>1.5</v>
      </c>
      <c r="O377" s="18" t="inlineStr">
        <is>
          <t>图文</t>
        </is>
      </c>
      <c r="P377" s="21" t="n">
        <v>0.88</v>
      </c>
      <c r="Q377" s="21" t="n">
        <v>0.08</v>
      </c>
      <c r="R377" s="21" t="n">
        <v>0.78</v>
      </c>
      <c r="S377" s="21" t="n">
        <v>0.05</v>
      </c>
      <c r="T377" s="21" t="n">
        <v>0.25</v>
      </c>
      <c r="U377" s="21" t="n">
        <v>0.43</v>
      </c>
      <c r="V377" s="22" t="n">
        <v>1121</v>
      </c>
      <c r="W377" s="18" t="n">
        <v>173</v>
      </c>
      <c r="X377" s="18" t="n">
        <v>300</v>
      </c>
      <c r="Y377" s="18">
        <f>X377*1.1</f>
        <v/>
      </c>
      <c r="Z377" s="20">
        <f>Y377/V377</f>
        <v/>
      </c>
      <c r="AA377" s="20">
        <f>Y377/W377</f>
        <v/>
      </c>
      <c r="AB377" s="18" t="n"/>
      <c r="AC377" s="18" t="n"/>
      <c r="AD377" s="18" t="n"/>
      <c r="AE377" s="18" t="n"/>
    </row>
    <row r="378">
      <c r="A378" s="18" t="n"/>
      <c r="B378" s="18" t="n"/>
      <c r="C378" s="17" t="n">
        <v>46098</v>
      </c>
      <c r="D378" s="18" t="inlineStr">
        <is>
          <t>品牌</t>
        </is>
      </c>
      <c r="E378" s="18" t="inlineStr">
        <is>
          <t>蛋壳儿家</t>
        </is>
      </c>
      <c r="F378" s="122" t="n"/>
      <c r="G378" s="122" t="inlineStr">
        <is>
          <t>https://pgy.xiaohongshu.com/solar/pre-trade/blogger-detail/63b04429000000002702be94?track_id=kolSimilar_63be4b37b89e466b9e7943614a78521d&amp;source=Advertiser_Similar_Kol</t>
        </is>
      </c>
      <c r="H378" s="122" t="inlineStr">
        <is>
          <t>https://www.xiaohongshu.com/user/profile/63b04429000000002702be94</t>
        </is>
      </c>
      <c r="I378" s="18" t="n">
        <v>3881956059</v>
      </c>
      <c r="J378" s="18" t="n"/>
      <c r="K378" s="18" t="inlineStr">
        <is>
          <t>家居家装</t>
        </is>
      </c>
      <c r="L378" s="18" t="inlineStr">
        <is>
          <t>koc</t>
        </is>
      </c>
      <c r="M378" s="18" t="n">
        <v>0.5</v>
      </c>
      <c r="N378" s="18" t="n">
        <v>10.4</v>
      </c>
      <c r="O378" s="18" t="inlineStr">
        <is>
          <t>图文</t>
        </is>
      </c>
      <c r="P378" s="21" t="n">
        <v>0.86</v>
      </c>
      <c r="Q378" s="21" t="n">
        <v>0.07000000000000001</v>
      </c>
      <c r="R378" s="21" t="n">
        <v>0.57</v>
      </c>
      <c r="S378" s="21" t="n">
        <v>0.25</v>
      </c>
      <c r="T378" s="21" t="n">
        <v>0.48</v>
      </c>
      <c r="U378" s="21" t="n">
        <v>0.15</v>
      </c>
      <c r="V378" s="22" t="n">
        <v>6346</v>
      </c>
      <c r="W378" s="18" t="n">
        <v>443</v>
      </c>
      <c r="X378" s="18" t="n">
        <v>1200</v>
      </c>
      <c r="Y378" s="18">
        <f>X378*1.1</f>
        <v/>
      </c>
      <c r="Z378" s="20">
        <f>Y378/V378</f>
        <v/>
      </c>
      <c r="AA378" s="20">
        <f>Y378/W378</f>
        <v/>
      </c>
      <c r="AB378" s="18" t="n"/>
      <c r="AC378" s="18" t="n"/>
      <c r="AD378" s="18" t="n"/>
      <c r="AE378" s="18" t="n"/>
    </row>
    <row r="379">
      <c r="A379" s="18" t="n"/>
      <c r="B379" s="18" t="n"/>
      <c r="C379" s="17" t="n">
        <v>46098</v>
      </c>
      <c r="D379" s="18" t="inlineStr">
        <is>
          <t>品牌</t>
        </is>
      </c>
      <c r="E379" s="18" t="inlineStr">
        <is>
          <t>乐樂家（软装中）</t>
        </is>
      </c>
      <c r="F379" s="122" t="n"/>
      <c r="G379" s="122" t="inlineStr">
        <is>
          <t>https://pgy.xiaohongshu.com/solar/pre-trade/blogger-detail/6412a4190000000011021d47?track_id=kolSimilar_00b0c63d2d8b462fa698f57e6c1f211f&amp;source=Advertiser_Similar_Kol</t>
        </is>
      </c>
      <c r="H379" s="122" t="inlineStr">
        <is>
          <t>https://www.xiaohongshu.com/user/profile/6412a4190000000011021d47</t>
        </is>
      </c>
      <c r="I379" s="18" t="n">
        <v>6803163273</v>
      </c>
      <c r="J379" s="18" t="n"/>
      <c r="K379" s="18" t="inlineStr">
        <is>
          <t>家居家装</t>
        </is>
      </c>
      <c r="L379" s="18" t="inlineStr">
        <is>
          <t>koc</t>
        </is>
      </c>
      <c r="M379" s="18" t="n">
        <v>4</v>
      </c>
      <c r="N379" s="18" t="n">
        <v>26.1</v>
      </c>
      <c r="O379" s="18" t="inlineStr">
        <is>
          <t>图文</t>
        </is>
      </c>
      <c r="P379" s="21" t="n">
        <v>0.84</v>
      </c>
      <c r="Q379" s="21" t="n">
        <v>0.12</v>
      </c>
      <c r="R379" s="21" t="n">
        <v>0.28</v>
      </c>
      <c r="S379" s="21" t="n">
        <v>0.3</v>
      </c>
      <c r="T379" s="21" t="n">
        <v>0.38</v>
      </c>
      <c r="U379" s="21" t="n">
        <v>0.19</v>
      </c>
      <c r="V379" s="22" t="n">
        <v>1409</v>
      </c>
      <c r="W379" s="18" t="n">
        <v>53</v>
      </c>
      <c r="X379" s="18" t="n">
        <v>1800</v>
      </c>
      <c r="Y379" s="18">
        <f>X379*1.1</f>
        <v/>
      </c>
      <c r="Z379" s="20">
        <f>Y379/V379</f>
        <v/>
      </c>
      <c r="AA379" s="20">
        <f>Y379/W379</f>
        <v/>
      </c>
      <c r="AB379" s="18" t="n"/>
      <c r="AC379" s="18" t="n"/>
      <c r="AD379" s="18" t="n"/>
      <c r="AE379" s="18" t="n"/>
    </row>
    <row r="380">
      <c r="A380" s="18" t="n"/>
      <c r="B380" s="18" t="n"/>
      <c r="C380" s="17" t="n">
        <v>46098</v>
      </c>
      <c r="D380" s="18" t="inlineStr">
        <is>
          <t>品牌</t>
        </is>
      </c>
      <c r="E380" s="18" t="inlineStr">
        <is>
          <t>是芝芝呀</t>
        </is>
      </c>
      <c r="F380" s="122" t="n"/>
      <c r="G380" s="122" t="inlineStr">
        <is>
          <t>https://pgy.xiaohongshu.com/solar/pre-trade/blogger-detail/5a65d271e8ac2b777c317cb9?track_id=kolSimilar_63be4b37b89e466b9e7943614a78521d&amp;source=Advertiser_Similar_Kol</t>
        </is>
      </c>
      <c r="H380" s="122" t="inlineStr">
        <is>
          <t>https://www.xiaohongshu.com/user/profile/5a65d271e8ac2b777c317cb9</t>
        </is>
      </c>
      <c r="I380" s="18" t="n">
        <v>958910515</v>
      </c>
      <c r="J380" s="18" t="n"/>
      <c r="K380" s="18" t="inlineStr">
        <is>
          <t>家居家装</t>
        </is>
      </c>
      <c r="L380" s="18" t="inlineStr">
        <is>
          <t>koc</t>
        </is>
      </c>
      <c r="M380" s="18" t="n">
        <v>0.4</v>
      </c>
      <c r="N380" s="18" t="n">
        <v>7.2</v>
      </c>
      <c r="O380" s="18" t="inlineStr">
        <is>
          <t>图文</t>
        </is>
      </c>
      <c r="P380" s="21" t="n">
        <v>0.83</v>
      </c>
      <c r="Q380" s="21" t="n">
        <v>0.04</v>
      </c>
      <c r="R380" s="21" t="n">
        <v>0.5</v>
      </c>
      <c r="S380" s="21" t="n">
        <v>0.33</v>
      </c>
      <c r="T380" s="21" t="n">
        <v>0.53</v>
      </c>
      <c r="U380" s="21" t="n">
        <v>0.2</v>
      </c>
      <c r="V380" s="18" t="n">
        <v>295</v>
      </c>
      <c r="W380" s="18" t="n">
        <v>75</v>
      </c>
      <c r="X380" s="18" t="n">
        <v>550</v>
      </c>
      <c r="Y380" s="18">
        <f>X380*1.1</f>
        <v/>
      </c>
      <c r="Z380" s="20">
        <f>Y380/V380</f>
        <v/>
      </c>
      <c r="AA380" s="20">
        <f>Y380/W380</f>
        <v/>
      </c>
      <c r="AB380" s="18" t="n"/>
      <c r="AC380" s="18" t="n"/>
      <c r="AD380" s="18" t="n"/>
      <c r="AE380" s="18" t="n"/>
    </row>
    <row r="381">
      <c r="A381" s="18" t="n"/>
      <c r="B381" s="18" t="n"/>
      <c r="C381" s="17" t="n">
        <v>46098</v>
      </c>
      <c r="D381" s="18" t="inlineStr">
        <is>
          <t>品牌</t>
        </is>
      </c>
      <c r="E381" s="18" t="inlineStr">
        <is>
          <t>朵朵呀</t>
        </is>
      </c>
      <c r="F381" s="122" t="n"/>
      <c r="G381" s="122" t="inlineStr">
        <is>
          <t>https://pgy.xiaohongshu.com/solar/pre-trade/blogger-detail/67daa439000000000801480a?track_id=kolSimilar_7946a6419faf47d590df5cb7c5316858&amp;source=Advertiser_Similar_Kol</t>
        </is>
      </c>
      <c r="H381" s="122" t="inlineStr">
        <is>
          <t>https://www.xiaohongshu.com/user/profile/67daa439000000000801480a</t>
        </is>
      </c>
      <c r="I381" s="18" t="n">
        <v>94123489451</v>
      </c>
      <c r="J381" s="18" t="n"/>
      <c r="K381" s="18" t="inlineStr">
        <is>
          <t>家居家装</t>
        </is>
      </c>
      <c r="L381" s="18" t="inlineStr">
        <is>
          <t>koc</t>
        </is>
      </c>
      <c r="M381" s="18" t="n">
        <v>0.2</v>
      </c>
      <c r="N381" s="18" t="n">
        <v>2.1</v>
      </c>
      <c r="O381" s="18" t="inlineStr">
        <is>
          <t>图文</t>
        </is>
      </c>
      <c r="P381" s="21" t="n">
        <v>0.86</v>
      </c>
      <c r="Q381" s="21" t="n">
        <v>0.14</v>
      </c>
      <c r="R381" s="21" t="n">
        <v>0.61</v>
      </c>
      <c r="S381" s="21" t="n">
        <v>0.1</v>
      </c>
      <c r="T381" s="21" t="n">
        <v>0.31</v>
      </c>
      <c r="U381" s="21" t="n">
        <v>0.37</v>
      </c>
      <c r="V381" s="22" t="n">
        <v>1266</v>
      </c>
      <c r="W381" s="18" t="n">
        <v>159</v>
      </c>
      <c r="X381" s="18" t="n">
        <v>300</v>
      </c>
      <c r="Y381" s="18">
        <f>X381*1.1</f>
        <v/>
      </c>
      <c r="Z381" s="20">
        <f>Y381/V381</f>
        <v/>
      </c>
      <c r="AA381" s="20">
        <f>Y381/W381</f>
        <v/>
      </c>
      <c r="AB381" s="18" t="n"/>
      <c r="AC381" s="18" t="n"/>
      <c r="AD381" s="18" t="n"/>
      <c r="AE381" s="18" t="n"/>
    </row>
    <row r="382">
      <c r="A382" s="18" t="n"/>
      <c r="B382" s="18" t="n"/>
      <c r="C382" s="17" t="n">
        <v>46098</v>
      </c>
      <c r="D382" s="18" t="inlineStr">
        <is>
          <t>品牌</t>
        </is>
      </c>
      <c r="E382" s="18" t="inlineStr">
        <is>
          <t>花花花</t>
        </is>
      </c>
      <c r="F382" s="122" t="n"/>
      <c r="G382" s="122" t="inlineStr">
        <is>
          <t>https://pgy.xiaohongshu.com/solar/pre-trade/blogger-detail/5483d137d6e4a95ed7e1b464?track_id=kolSimilar_0add94f521d246999bc430c8b6978b8b&amp;source=Advertiser_Similar_Kol</t>
        </is>
      </c>
      <c r="H382" s="122" t="inlineStr">
        <is>
          <t>https://www.xiaohongshu.com/user/profile/5483d137d6e4a95ed7e1b464</t>
        </is>
      </c>
      <c r="I382" s="18" t="n">
        <v>893348741</v>
      </c>
      <c r="J382" s="18" t="n"/>
      <c r="K382" s="18" t="inlineStr">
        <is>
          <t>家居家装</t>
        </is>
      </c>
      <c r="L382" s="18" t="inlineStr">
        <is>
          <t>koc</t>
        </is>
      </c>
      <c r="M382" s="18" t="n">
        <v>0.3</v>
      </c>
      <c r="N382" s="18" t="n">
        <v>9.5</v>
      </c>
      <c r="O382" s="18" t="inlineStr">
        <is>
          <t>图文</t>
        </is>
      </c>
      <c r="P382" s="21" t="n">
        <v>0.87</v>
      </c>
      <c r="Q382" s="21" t="n">
        <v>0.09</v>
      </c>
      <c r="R382" s="21" t="n">
        <v>0.45</v>
      </c>
      <c r="S382" s="21" t="n">
        <v>0.31</v>
      </c>
      <c r="T382" s="21" t="n">
        <v>0.49</v>
      </c>
      <c r="U382" s="21" t="n">
        <v>0.15</v>
      </c>
      <c r="V382" s="22" t="n">
        <v>5723</v>
      </c>
      <c r="W382" s="18" t="n">
        <v>494</v>
      </c>
      <c r="X382" s="18" t="n">
        <v>1200</v>
      </c>
      <c r="Y382" s="18">
        <f>X382*1.1</f>
        <v/>
      </c>
      <c r="Z382" s="20">
        <f>Y382/V382</f>
        <v/>
      </c>
      <c r="AA382" s="20">
        <f>Y382/W382</f>
        <v/>
      </c>
      <c r="AB382" s="18" t="n"/>
      <c r="AC382" s="18" t="n"/>
      <c r="AD382" s="18" t="n"/>
      <c r="AE382" s="18" t="n"/>
    </row>
    <row r="383">
      <c r="A383" s="18" t="n"/>
      <c r="B383" s="18" t="n"/>
      <c r="C383" s="17" t="n">
        <v>46098</v>
      </c>
      <c r="D383" s="18" t="inlineStr">
        <is>
          <t>品牌</t>
        </is>
      </c>
      <c r="E383" s="18" t="inlineStr">
        <is>
          <t>小杜小杜家</t>
        </is>
      </c>
      <c r="F383" s="122" t="n"/>
      <c r="G383" s="122" t="inlineStr">
        <is>
          <t>https://pgy.xiaohongshu.com/solar/pre-trade/blogger-detail/68371487000000001d00b4b7?track_id=kolSimilar_cc3b27a3c03948e68c83d8ea40aa0f34&amp;source=Advertiser_Similar_Kol</t>
        </is>
      </c>
      <c r="H383" s="122" t="inlineStr">
        <is>
          <t>https://www.xiaohongshu.com/user/profile/68371487000000001d00b4b7</t>
        </is>
      </c>
      <c r="I383" s="18" t="n">
        <v>42262194383</v>
      </c>
      <c r="J383" s="18" t="n"/>
      <c r="K383" s="18" t="inlineStr">
        <is>
          <t>家居家装</t>
        </is>
      </c>
      <c r="L383" s="18" t="inlineStr">
        <is>
          <t>koc</t>
        </is>
      </c>
      <c r="M383" s="18" t="n">
        <v>0.3</v>
      </c>
      <c r="N383" s="18" t="n">
        <v>2.1</v>
      </c>
      <c r="O383" s="18" t="inlineStr">
        <is>
          <t>图文</t>
        </is>
      </c>
      <c r="P383" s="21" t="n">
        <v>0.9</v>
      </c>
      <c r="Q383" s="21" t="n">
        <v>0.1</v>
      </c>
      <c r="R383" s="21" t="n">
        <v>0.54</v>
      </c>
      <c r="S383" s="21" t="n">
        <v>0.14</v>
      </c>
      <c r="T383" s="21" t="n">
        <v>0.52</v>
      </c>
      <c r="U383" s="21" t="n">
        <v>0.13</v>
      </c>
      <c r="V383" s="22" t="n">
        <v>1037</v>
      </c>
      <c r="W383" s="18" t="n">
        <v>50</v>
      </c>
      <c r="X383" s="18" t="n">
        <v>200</v>
      </c>
      <c r="Y383" s="18">
        <f>X383*1.1</f>
        <v/>
      </c>
      <c r="Z383" s="20">
        <f>Y383/V383</f>
        <v/>
      </c>
      <c r="AA383" s="20">
        <f>Y383/W383</f>
        <v/>
      </c>
      <c r="AB383" s="18" t="n"/>
      <c r="AC383" s="18" t="n"/>
      <c r="AD383" s="18" t="n"/>
      <c r="AE383" s="18" t="n"/>
    </row>
    <row r="384">
      <c r="A384" s="18" t="n"/>
      <c r="B384" s="18" t="n"/>
      <c r="C384" s="17" t="n">
        <v>46098</v>
      </c>
      <c r="D384" s="18" t="inlineStr">
        <is>
          <t>品牌</t>
        </is>
      </c>
      <c r="E384" s="18" t="inlineStr">
        <is>
          <t>Muua的家</t>
        </is>
      </c>
      <c r="F384" s="122" t="n"/>
      <c r="G384" s="122" t="inlineStr">
        <is>
          <t>https://pgy.xiaohongshu.com/solar/pre-trade/blogger-detail/573bb2d45e87e7074bea2b35?track_id=kolSimilar_e719015b1e1047888d8236f3695b4058&amp;source=Advertiser_Similar_Kol</t>
        </is>
      </c>
      <c r="H384" s="122" t="inlineStr">
        <is>
          <t>https://www.xiaohongshu.com/user/profile/573bb2d45e87e7074bea2b35</t>
        </is>
      </c>
      <c r="I384" s="18" t="n">
        <v>109531813</v>
      </c>
      <c r="J384" s="18" t="n"/>
      <c r="K384" s="18" t="inlineStr">
        <is>
          <t>家居家装</t>
        </is>
      </c>
      <c r="L384" s="18" t="inlineStr">
        <is>
          <t>koc</t>
        </is>
      </c>
      <c r="M384" s="18" t="n">
        <v>0.6</v>
      </c>
      <c r="N384" s="18" t="n">
        <v>7.8</v>
      </c>
      <c r="O384" s="18" t="inlineStr">
        <is>
          <t>图文</t>
        </is>
      </c>
      <c r="P384" s="21" t="n">
        <v>0.82</v>
      </c>
      <c r="Q384" s="21" t="n">
        <v>0.12</v>
      </c>
      <c r="R384" s="21" t="n">
        <v>0.58</v>
      </c>
      <c r="S384" s="21" t="n">
        <v>0.21</v>
      </c>
      <c r="T384" s="21" t="n">
        <v>0.58</v>
      </c>
      <c r="U384" s="21" t="n">
        <v>0.12</v>
      </c>
      <c r="V384" s="22" t="n">
        <v>2904</v>
      </c>
      <c r="W384" s="18" t="n">
        <v>223</v>
      </c>
      <c r="X384" s="18" t="n">
        <v>1980</v>
      </c>
      <c r="Y384" s="18">
        <f>X384*1.1</f>
        <v/>
      </c>
      <c r="Z384" s="20">
        <f>Y384/V384</f>
        <v/>
      </c>
      <c r="AA384" s="20">
        <f>Y384/W384</f>
        <v/>
      </c>
      <c r="AB384" s="18" t="n"/>
      <c r="AC384" s="18" t="n"/>
      <c r="AD384" s="18" t="n"/>
      <c r="AE384" s="18" t="n"/>
    </row>
    <row r="385">
      <c r="A385" s="18" t="n"/>
      <c r="B385" s="18" t="n"/>
      <c r="C385" s="17" t="n">
        <v>46098</v>
      </c>
      <c r="D385" s="18" t="inlineStr">
        <is>
          <t>品牌</t>
        </is>
      </c>
      <c r="E385" s="18" t="inlineStr">
        <is>
          <t>深漂雅雅de家🏠</t>
        </is>
      </c>
      <c r="F385" s="122" t="n"/>
      <c r="G385" s="122" t="inlineStr">
        <is>
          <t>https://pgy.xiaohongshu.com/solar/pre-trade/blogger-detail/635887bb000000001901eee9?track_id=kolSimilar_7d2240e5fea24041b114cf3ee28ac069&amp;source=Advertiser_Similar_Kol</t>
        </is>
      </c>
      <c r="H385" s="122" t="inlineStr">
        <is>
          <t>https://www.xiaohongshu.com/user/profile/635887bb000000001901eee9</t>
        </is>
      </c>
      <c r="I385" s="18" t="n">
        <v>5344757123</v>
      </c>
      <c r="J385" s="18" t="n"/>
      <c r="K385" s="18" t="inlineStr">
        <is>
          <t>家居家装</t>
        </is>
      </c>
      <c r="L385" s="18" t="inlineStr">
        <is>
          <t>koc</t>
        </is>
      </c>
      <c r="M385" s="18" t="n">
        <v>0.2</v>
      </c>
      <c r="N385" s="18" t="n">
        <v>1.1</v>
      </c>
      <c r="O385" s="18" t="inlineStr">
        <is>
          <t>图文</t>
        </is>
      </c>
      <c r="P385" s="21" t="n">
        <v>0.66</v>
      </c>
      <c r="Q385" s="21" t="n">
        <v>0.13</v>
      </c>
      <c r="R385" s="21" t="n">
        <v>0.42</v>
      </c>
      <c r="S385" s="21" t="n">
        <v>0.22</v>
      </c>
      <c r="T385" s="21" t="n">
        <v>0.43</v>
      </c>
      <c r="U385" s="21" t="n">
        <v>0.17</v>
      </c>
      <c r="V385" s="18" t="n">
        <v>805</v>
      </c>
      <c r="W385" s="18" t="n">
        <v>102</v>
      </c>
      <c r="X385" s="18" t="n">
        <v>200</v>
      </c>
      <c r="Y385" s="18">
        <f>X385*1.1</f>
        <v/>
      </c>
      <c r="Z385" s="20">
        <f>Y385/V385</f>
        <v/>
      </c>
      <c r="AA385" s="20">
        <f>Y385/W385</f>
        <v/>
      </c>
      <c r="AB385" s="18" t="n"/>
      <c r="AC385" s="18" t="n"/>
      <c r="AD385" s="18" t="n"/>
      <c r="AE385" s="18" t="n"/>
    </row>
    <row r="386">
      <c r="A386" s="18" t="n"/>
      <c r="B386" s="18" t="n"/>
      <c r="C386" s="17" t="n">
        <v>46098</v>
      </c>
      <c r="D386" s="18" t="inlineStr">
        <is>
          <t>品牌</t>
        </is>
      </c>
      <c r="E386" s="18" t="inlineStr">
        <is>
          <t>油菜花花（软装中）</t>
        </is>
      </c>
      <c r="F386" s="122" t="n"/>
      <c r="G386" s="122" t="inlineStr">
        <is>
          <t>https://pgy.xiaohongshu.com/solar/pre-trade/blogger-detail/58e7723e6a6a697afa226317?track_id=kolSimilar_0fcc49c63c5d4d6786801684198c6b37&amp;source=Advertiser_Similar_Kol</t>
        </is>
      </c>
      <c r="H386" s="122" t="inlineStr">
        <is>
          <t>https://www.xiaohongshu.com/user/profile/58e7723e6a6a697afa226317</t>
        </is>
      </c>
      <c r="I386" s="18" t="n">
        <v>118558374</v>
      </c>
      <c r="J386" s="18" t="n"/>
      <c r="K386" s="18" t="inlineStr">
        <is>
          <t>家居家装</t>
        </is>
      </c>
      <c r="L386" s="18" t="inlineStr">
        <is>
          <t>koc</t>
        </is>
      </c>
      <c r="M386" s="18" t="n">
        <v>0.1</v>
      </c>
      <c r="N386" s="18" t="n">
        <v>2.2</v>
      </c>
      <c r="O386" s="18" t="inlineStr">
        <is>
          <t>图文</t>
        </is>
      </c>
      <c r="P386" s="21" t="n">
        <v>0.87</v>
      </c>
      <c r="Q386" s="21" t="n">
        <v>0.05</v>
      </c>
      <c r="R386" s="21" t="n">
        <v>0.77</v>
      </c>
      <c r="S386" s="21" t="n">
        <v>0.09</v>
      </c>
      <c r="T386" s="21" t="n">
        <v>0.68</v>
      </c>
      <c r="U386" s="21" t="n">
        <v>0.12</v>
      </c>
      <c r="V386" s="18" t="n">
        <v>114</v>
      </c>
      <c r="W386" s="18" t="n">
        <v>71</v>
      </c>
      <c r="X386" s="18" t="n">
        <v>200</v>
      </c>
      <c r="Y386" s="18">
        <f>X386*1.1</f>
        <v/>
      </c>
      <c r="Z386" s="20">
        <f>Y386/V386</f>
        <v/>
      </c>
      <c r="AA386" s="20">
        <f>Y386/W386</f>
        <v/>
      </c>
      <c r="AB386" s="18" t="n"/>
      <c r="AC386" s="18" t="n"/>
      <c r="AD386" s="18" t="n"/>
      <c r="AE386" s="18" t="n"/>
    </row>
    <row r="387">
      <c r="A387" s="18" t="n"/>
      <c r="B387" s="18" t="n"/>
      <c r="C387" s="17" t="n">
        <v>46098</v>
      </c>
      <c r="D387" s="18" t="inlineStr">
        <is>
          <t>品牌</t>
        </is>
      </c>
      <c r="E387" s="18" t="inlineStr">
        <is>
          <t>阿满的新家🎀（软装中）</t>
        </is>
      </c>
      <c r="F387" s="122" t="n"/>
      <c r="G387" s="122" t="inlineStr">
        <is>
          <t>https://pgy.xiaohongshu.com/solar/pre-trade/blogger-detail/5cdd419f00000000180280ec?track_id=kolSimilar_e719015b1e1047888d8236f3695b4058&amp;source=Advertiser_Similar_Kol</t>
        </is>
      </c>
      <c r="H387" s="122" t="inlineStr">
        <is>
          <t>https://www.xiaohongshu.com/user/profile/5cdd419f00000000180280ec</t>
        </is>
      </c>
      <c r="I387" s="18" t="n">
        <v>513244290</v>
      </c>
      <c r="J387" s="18" t="n"/>
      <c r="K387" s="18" t="inlineStr">
        <is>
          <t>家居家装</t>
        </is>
      </c>
      <c r="L387" s="18" t="inlineStr">
        <is>
          <t>koc</t>
        </is>
      </c>
      <c r="M387" s="18" t="n">
        <v>0.8</v>
      </c>
      <c r="N387" s="18" t="n">
        <v>10.1</v>
      </c>
      <c r="O387" s="18" t="inlineStr">
        <is>
          <t>图文</t>
        </is>
      </c>
      <c r="P387" s="21" t="n">
        <v>0.91</v>
      </c>
      <c r="Q387" s="21" t="n">
        <v>0.12</v>
      </c>
      <c r="R387" s="21" t="n">
        <v>0.5600000000000001</v>
      </c>
      <c r="S387" s="21" t="n">
        <v>0.09</v>
      </c>
      <c r="T387" s="21" t="n">
        <v>0.21</v>
      </c>
      <c r="U387" s="21" t="n">
        <v>0.4</v>
      </c>
      <c r="V387" s="22" t="n">
        <v>4324</v>
      </c>
      <c r="W387" s="18" t="n">
        <v>351</v>
      </c>
      <c r="X387" s="18" t="n">
        <v>1600</v>
      </c>
      <c r="Y387" s="18">
        <f>X387*1.1</f>
        <v/>
      </c>
      <c r="Z387" s="20">
        <f>Y387/V387</f>
        <v/>
      </c>
      <c r="AA387" s="20">
        <f>Y387/W387</f>
        <v/>
      </c>
      <c r="AB387" s="18" t="n"/>
      <c r="AC387" s="18" t="n"/>
      <c r="AD387" s="18" t="n"/>
      <c r="AE387" s="18" t="n"/>
    </row>
    <row r="388">
      <c r="A388" s="18" t="n"/>
      <c r="B388" s="18" t="n"/>
      <c r="C388" s="17" t="n">
        <v>46098</v>
      </c>
      <c r="D388" s="18" t="inlineStr">
        <is>
          <t>品牌</t>
        </is>
      </c>
      <c r="E388" s="18" t="inlineStr">
        <is>
          <t>葛格的家</t>
        </is>
      </c>
      <c r="F388" s="122" t="n"/>
      <c r="G388" s="122" t="inlineStr">
        <is>
          <t>https://pgy.xiaohongshu.com/solar/pre-trade/blogger-detail/6406999300000000290115a8?track_id=kolSimilar_7946a6419faf47d590df5cb7c5316858&amp;source=Advertiser_Similar_Kol</t>
        </is>
      </c>
      <c r="H388" s="122" t="inlineStr">
        <is>
          <t>https://www.xiaohongshu.com/user/profile/6406999300000000290115a8</t>
        </is>
      </c>
      <c r="I388" s="18" t="n">
        <v>2271870133</v>
      </c>
      <c r="J388" s="18" t="n"/>
      <c r="K388" s="18" t="inlineStr">
        <is>
          <t>家居家装</t>
        </is>
      </c>
      <c r="L388" s="18" t="inlineStr">
        <is>
          <t>koc</t>
        </is>
      </c>
      <c r="M388" s="18" t="n">
        <v>0.5</v>
      </c>
      <c r="N388" s="18" t="n">
        <v>15.7</v>
      </c>
      <c r="O388" s="18" t="inlineStr">
        <is>
          <t>图文</t>
        </is>
      </c>
      <c r="P388" s="21" t="n">
        <v>0.82</v>
      </c>
      <c r="Q388" s="21" t="n">
        <v>0.12</v>
      </c>
      <c r="R388" s="21" t="n">
        <v>0.59</v>
      </c>
      <c r="S388" s="21" t="n">
        <v>0.15</v>
      </c>
      <c r="T388" s="21" t="n">
        <v>0.34</v>
      </c>
      <c r="U388" s="21" t="n">
        <v>0.22</v>
      </c>
      <c r="V388" s="22" t="n">
        <v>1561</v>
      </c>
      <c r="W388" s="18" t="n">
        <v>241</v>
      </c>
      <c r="X388" s="18" t="n">
        <v>700</v>
      </c>
      <c r="Y388" s="18">
        <f>X388*1.1</f>
        <v/>
      </c>
      <c r="Z388" s="20">
        <f>Y388/V388</f>
        <v/>
      </c>
      <c r="AA388" s="20">
        <f>Y388/W388</f>
        <v/>
      </c>
      <c r="AB388" s="18" t="n"/>
      <c r="AC388" s="18" t="n"/>
      <c r="AD388" s="18" t="n"/>
      <c r="AE388" s="18" t="n"/>
    </row>
    <row r="389">
      <c r="A389" s="18" t="n"/>
      <c r="B389" s="18" t="n"/>
      <c r="C389" s="17" t="n">
        <v>46098</v>
      </c>
      <c r="D389" s="18" t="inlineStr">
        <is>
          <t>品牌</t>
        </is>
      </c>
      <c r="E389" s="18" t="inlineStr">
        <is>
          <t>夏阿茶茶</t>
        </is>
      </c>
      <c r="F389" s="122" t="n"/>
      <c r="G389" s="122" t="inlineStr">
        <is>
          <t>https://pgy.xiaohongshu.com/solar/pre-trade/blogger-detail/59102a385e87e756920abafb?track_id=kolSimilar_c9e5ef974ff6459a92f4f31e3e6e4437&amp;source=Advertiser_Similar_Kol</t>
        </is>
      </c>
      <c r="H389" s="122" t="inlineStr">
        <is>
          <t>https://www.xiaohongshu.com/user/profile/59102a385e87e756920abafb</t>
        </is>
      </c>
      <c r="I389" s="18" t="n">
        <v>116280292</v>
      </c>
      <c r="J389" s="18" t="n"/>
      <c r="K389" s="18" t="inlineStr">
        <is>
          <t>家居家装</t>
        </is>
      </c>
      <c r="L389" s="18" t="inlineStr">
        <is>
          <t>koc</t>
        </is>
      </c>
      <c r="M389" s="18" t="n">
        <v>0.4</v>
      </c>
      <c r="N389" s="18" t="n">
        <v>7.1</v>
      </c>
      <c r="O389" s="18" t="inlineStr">
        <is>
          <t>图文</t>
        </is>
      </c>
      <c r="P389" s="21" t="n">
        <v>0.76</v>
      </c>
      <c r="Q389" s="21" t="n">
        <v>0.06</v>
      </c>
      <c r="R389" s="21" t="n">
        <v>0.44</v>
      </c>
      <c r="S389" s="21" t="n">
        <v>0.37</v>
      </c>
      <c r="T389" s="21" t="n">
        <v>0.64</v>
      </c>
      <c r="U389" s="21" t="n">
        <v>0.16</v>
      </c>
      <c r="V389" s="22" t="n">
        <v>3082</v>
      </c>
      <c r="W389" s="18" t="n">
        <v>212</v>
      </c>
      <c r="X389" s="18" t="n">
        <v>1500</v>
      </c>
      <c r="Y389" s="18">
        <f>X389*1.1</f>
        <v/>
      </c>
      <c r="Z389" s="20">
        <f>Y389/V389</f>
        <v/>
      </c>
      <c r="AA389" s="20">
        <f>Y389/W389</f>
        <v/>
      </c>
      <c r="AB389" s="18" t="n"/>
      <c r="AC389" s="18" t="n"/>
      <c r="AD389" s="18" t="n"/>
      <c r="AE389" s="18" t="n"/>
    </row>
    <row r="390">
      <c r="A390" s="18" t="n"/>
      <c r="B390" s="18" t="n"/>
      <c r="C390" s="17" t="n">
        <v>46098</v>
      </c>
      <c r="D390" s="18" t="inlineStr">
        <is>
          <t>品牌</t>
        </is>
      </c>
      <c r="E390" s="18" t="inlineStr">
        <is>
          <t>海盐泡泡泡在家</t>
        </is>
      </c>
      <c r="F390" s="122" t="n"/>
      <c r="G390" s="122" t="inlineStr">
        <is>
          <t>https://pgy.xiaohongshu.com/solar/pre-trade/blogger-detail/600bb34500000000010032f4?track_id=kolSimilar_d63955a422f64f3ea24bc61e5d613366&amp;source=Advertiser_Similar_Kol</t>
        </is>
      </c>
      <c r="H390" s="122" t="inlineStr">
        <is>
          <t>https://www.xiaohongshu.com/user/profile/600bb34500000000010032f4</t>
        </is>
      </c>
      <c r="I390" s="18" t="inlineStr">
        <is>
          <t>hypp59188</t>
        </is>
      </c>
      <c r="J390" s="18" t="n"/>
      <c r="K390" s="18" t="inlineStr">
        <is>
          <t>家居家装</t>
        </is>
      </c>
      <c r="L390" s="18" t="inlineStr">
        <is>
          <t>koc</t>
        </is>
      </c>
      <c r="M390" s="18" t="n">
        <v>0.4</v>
      </c>
      <c r="N390" s="18" t="n">
        <v>8.300000000000001</v>
      </c>
      <c r="O390" s="18" t="inlineStr">
        <is>
          <t>图文</t>
        </is>
      </c>
      <c r="P390" s="21" t="n">
        <v>0.9</v>
      </c>
      <c r="Q390" s="21" t="n">
        <v>0.07000000000000001</v>
      </c>
      <c r="R390" s="21" t="n">
        <v>0.42</v>
      </c>
      <c r="S390" s="21" t="n">
        <v>0.33</v>
      </c>
      <c r="T390" s="21" t="n">
        <v>0.46</v>
      </c>
      <c r="U390" s="21" t="n">
        <v>0.18</v>
      </c>
      <c r="V390" s="18" t="n">
        <v>188</v>
      </c>
      <c r="W390" s="18" t="n">
        <v>22</v>
      </c>
      <c r="X390" s="18" t="n">
        <v>700</v>
      </c>
      <c r="Y390" s="18">
        <f>X390*1.1</f>
        <v/>
      </c>
      <c r="Z390" s="20">
        <f>Y390/V390</f>
        <v/>
      </c>
      <c r="AA390" s="20">
        <f>Y390/W390</f>
        <v/>
      </c>
      <c r="AB390" s="18" t="n"/>
      <c r="AC390" s="18" t="n"/>
      <c r="AD390" s="18" t="n"/>
      <c r="AE390" s="18" t="n"/>
    </row>
    <row r="391">
      <c r="A391" s="18" t="n"/>
      <c r="B391" s="18" t="n"/>
      <c r="C391" s="17" t="n">
        <v>46098</v>
      </c>
      <c r="D391" s="18" t="inlineStr">
        <is>
          <t>品牌</t>
        </is>
      </c>
      <c r="E391" s="18" t="inlineStr">
        <is>
          <t>阿树的装修日记</t>
        </is>
      </c>
      <c r="F391" s="122" t="n"/>
      <c r="G391" s="122" t="inlineStr">
        <is>
          <t>https://pgy.xiaohongshu.com/solar/pre-trade/blogger-detail/5aa767374eacab62a3dd8800?track_id=kolSimilar_d63955a422f64f3ea24bc61e5d613366&amp;source=Advertiser_Similar_Kol</t>
        </is>
      </c>
      <c r="H391" s="122" t="inlineStr">
        <is>
          <t>https://www.xiaohongshu.com/user/profile/5aa767374eacab62a3dd8800</t>
        </is>
      </c>
      <c r="I391" s="18" t="inlineStr">
        <is>
          <t>NBgirlna</t>
        </is>
      </c>
      <c r="J391" s="18" t="n"/>
      <c r="K391" s="18" t="inlineStr">
        <is>
          <t>家居家装</t>
        </is>
      </c>
      <c r="L391" s="18" t="inlineStr">
        <is>
          <t>koc</t>
        </is>
      </c>
      <c r="M391" s="18" t="n">
        <v>0.4</v>
      </c>
      <c r="N391" s="18" t="n">
        <v>7.8</v>
      </c>
      <c r="O391" s="18" t="inlineStr">
        <is>
          <t>图文</t>
        </is>
      </c>
      <c r="P391" s="21" t="n">
        <v>0.84</v>
      </c>
      <c r="Q391" s="21" t="n">
        <v>0.14</v>
      </c>
      <c r="R391" s="21" t="n">
        <v>0.5</v>
      </c>
      <c r="S391" s="21" t="n">
        <v>0.21</v>
      </c>
      <c r="T391" s="21" t="n">
        <v>0.44</v>
      </c>
      <c r="U391" s="21" t="n">
        <v>0.16</v>
      </c>
      <c r="V391" s="22" t="n">
        <v>2300</v>
      </c>
      <c r="W391" s="18" t="n">
        <v>197</v>
      </c>
      <c r="X391" s="18" t="n">
        <v>1500</v>
      </c>
      <c r="Y391" s="18">
        <f>X391*1.1</f>
        <v/>
      </c>
      <c r="Z391" s="20">
        <f>Y391/V391</f>
        <v/>
      </c>
      <c r="AA391" s="20">
        <f>Y391/W391</f>
        <v/>
      </c>
      <c r="AB391" s="18" t="n"/>
      <c r="AC391" s="18" t="n"/>
      <c r="AD391" s="18" t="n"/>
      <c r="AE391" s="18" t="n"/>
    </row>
    <row r="392">
      <c r="A392" s="18" t="n"/>
      <c r="B392" s="18" t="n"/>
      <c r="C392" s="17" t="n">
        <v>46098</v>
      </c>
      <c r="D392" s="18" t="inlineStr">
        <is>
          <t>品牌</t>
        </is>
      </c>
      <c r="E392" s="18" t="inlineStr">
        <is>
          <t>椰子的家（软装中）</t>
        </is>
      </c>
      <c r="F392" s="122" t="n"/>
      <c r="G392" s="122" t="inlineStr">
        <is>
          <t>https://pgy.xiaohongshu.com/solar/pre-trade/blogger-detail/66ee6ab6000000001b038b43?track_id=kolSimilar_d63955a422f64f3ea24bc61e5d613366&amp;source=Advertiser_Similar_Kol</t>
        </is>
      </c>
      <c r="H392" s="122" t="inlineStr">
        <is>
          <t>https://www.xiaohongshu.com/user/profile/66ee6ab6000000001b038b43</t>
        </is>
      </c>
      <c r="I392" s="18" t="n">
        <v>95498129461</v>
      </c>
      <c r="J392" s="18" t="n"/>
      <c r="K392" s="18" t="inlineStr">
        <is>
          <t>家居家装</t>
        </is>
      </c>
      <c r="L392" s="18" t="inlineStr">
        <is>
          <t>koc</t>
        </is>
      </c>
      <c r="M392" s="18" t="n">
        <v>1</v>
      </c>
      <c r="N392" s="18" t="n">
        <v>23.8</v>
      </c>
      <c r="O392" s="18" t="inlineStr">
        <is>
          <t>图文</t>
        </is>
      </c>
      <c r="P392" s="21" t="n">
        <v>0.74</v>
      </c>
      <c r="Q392" s="21" t="n">
        <v>0.16</v>
      </c>
      <c r="R392" s="21" t="n">
        <v>0.29</v>
      </c>
      <c r="S392" s="21" t="n">
        <v>0.25</v>
      </c>
      <c r="T392" s="21" t="n">
        <v>0.31</v>
      </c>
      <c r="U392" s="21" t="n">
        <v>0.21</v>
      </c>
      <c r="V392" s="22" t="n">
        <v>1506</v>
      </c>
      <c r="W392" s="18" t="n">
        <v>66</v>
      </c>
      <c r="X392" s="18" t="n">
        <v>1980</v>
      </c>
      <c r="Y392" s="18">
        <f>X392*1.1</f>
        <v/>
      </c>
      <c r="Z392" s="20">
        <f>Y392/V392</f>
        <v/>
      </c>
      <c r="AA392" s="20">
        <f>Y392/W392</f>
        <v/>
      </c>
      <c r="AB392" s="18" t="n"/>
      <c r="AC392" s="18" t="n"/>
      <c r="AD392" s="18" t="n"/>
      <c r="AE392" s="18" t="n"/>
    </row>
    <row r="393">
      <c r="A393" s="18" t="n"/>
      <c r="B393" s="18" t="n"/>
      <c r="C393" s="18" t="n"/>
      <c r="D393" s="18" t="n"/>
      <c r="E393" s="18" t="n"/>
      <c r="F393" s="122" t="n"/>
      <c r="G393" s="122" t="n"/>
      <c r="H393" s="122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>
        <f>X393*1.1</f>
        <v/>
      </c>
      <c r="Z393" s="20">
        <f>Y393/V393</f>
        <v/>
      </c>
      <c r="AA393" s="20">
        <f>Y393/W393</f>
        <v/>
      </c>
      <c r="AB393" s="18" t="n"/>
      <c r="AC393" s="18" t="n"/>
      <c r="AD393" s="18" t="n"/>
      <c r="AE393" s="18" t="n"/>
    </row>
    <row r="394">
      <c r="A394" s="18" t="n"/>
      <c r="B394" s="18" t="n"/>
      <c r="C394" s="17" t="n">
        <v>46099</v>
      </c>
      <c r="D394" s="18" t="inlineStr">
        <is>
          <t>品牌</t>
        </is>
      </c>
      <c r="E394" s="18" t="inlineStr">
        <is>
          <t>啊青青青青青</t>
        </is>
      </c>
      <c r="F394" s="122" t="n"/>
      <c r="G394" s="122" t="inlineStr">
        <is>
          <t>https://pgy.xiaohongshu.com/solar/pre-trade/blogger-detail/55fa39cd67bc6561c88d225d?track_id=kolSearch_18911159b0c746399e39eaf33004f79c&amp;source=Advertiser_Kol</t>
        </is>
      </c>
      <c r="H394" s="122" t="inlineStr">
        <is>
          <t>https://www.xiaohongshu.com/user/profile/55fa39cd67bc6561c88d225d</t>
        </is>
      </c>
      <c r="I394" s="18" t="inlineStr">
        <is>
          <t>zhouqingqing0</t>
        </is>
      </c>
      <c r="J394" s="18" t="n"/>
      <c r="K394" s="18" t="inlineStr">
        <is>
          <t>家居家装</t>
        </is>
      </c>
      <c r="L394" s="18" t="inlineStr">
        <is>
          <t>koc</t>
        </is>
      </c>
      <c r="M394" s="18" t="n">
        <v>0.5</v>
      </c>
      <c r="N394" s="18" t="n">
        <v>8.1</v>
      </c>
      <c r="O394" s="18" t="inlineStr">
        <is>
          <t>图文</t>
        </is>
      </c>
      <c r="P394" s="21" t="n">
        <v>0.82</v>
      </c>
      <c r="Q394" s="21" t="n">
        <v>0.14</v>
      </c>
      <c r="R394" s="21" t="n">
        <v>0.53</v>
      </c>
      <c r="S394" s="21" t="n">
        <v>0.19</v>
      </c>
      <c r="T394" s="21" t="n">
        <v>0.36</v>
      </c>
      <c r="U394" s="21" t="n">
        <v>0.22</v>
      </c>
      <c r="V394" s="22" t="n">
        <v>5535</v>
      </c>
      <c r="W394" s="18" t="n">
        <v>522</v>
      </c>
      <c r="X394" s="18" t="n">
        <v>1800</v>
      </c>
      <c r="Y394" s="18">
        <f>X394*1.1</f>
        <v/>
      </c>
      <c r="Z394" s="20">
        <f>Y394/V394</f>
        <v/>
      </c>
      <c r="AA394" s="20">
        <f>Y394/W394</f>
        <v/>
      </c>
      <c r="AB394" s="18" t="n"/>
      <c r="AC394" s="18" t="n"/>
      <c r="AD394" s="18" t="n"/>
      <c r="AE394" s="18" t="n"/>
    </row>
    <row r="395">
      <c r="A395" s="18" t="n"/>
      <c r="B395" s="18" t="n"/>
      <c r="C395" s="17" t="n">
        <v>46099</v>
      </c>
      <c r="D395" s="18" t="inlineStr">
        <is>
          <t>品牌</t>
        </is>
      </c>
      <c r="E395" s="18" t="inlineStr">
        <is>
          <t>Girl👑</t>
        </is>
      </c>
      <c r="F395" s="122" t="n"/>
      <c r="G395" s="122" t="inlineStr">
        <is>
          <t>https://pgy.xiaohongshu.com/solar/pre-trade/blogger-detail/59362c3eb1da141f2b7f500a?track_id=kolSimilar_437256d2c60c4bfba8f5eaa9e82dc64c&amp;source=Advertiser_Similar_Kol</t>
        </is>
      </c>
      <c r="H395" s="122" t="inlineStr">
        <is>
          <t>https://www.xiaohongshu.com/user/profile/59362c3eb1da141f2b7f500a</t>
        </is>
      </c>
      <c r="I395" s="18" t="inlineStr">
        <is>
          <t>ZHAIJIA124</t>
        </is>
      </c>
      <c r="J395" s="18" t="n"/>
      <c r="K395" s="18" t="inlineStr">
        <is>
          <t>家居家装</t>
        </is>
      </c>
      <c r="L395" s="18" t="inlineStr">
        <is>
          <t>koc</t>
        </is>
      </c>
      <c r="M395" s="18" t="n">
        <v>0.7</v>
      </c>
      <c r="N395" s="18" t="n">
        <v>18.5</v>
      </c>
      <c r="O395" s="18" t="inlineStr">
        <is>
          <t>图文</t>
        </is>
      </c>
      <c r="P395" s="21" t="n">
        <v>0.84</v>
      </c>
      <c r="Q395" s="21" t="n">
        <v>0.12</v>
      </c>
      <c r="R395" s="21" t="n">
        <v>0.5</v>
      </c>
      <c r="S395" s="21" t="n">
        <v>0.24</v>
      </c>
      <c r="T395" s="21" t="n">
        <v>0.49</v>
      </c>
      <c r="U395" s="21" t="n">
        <v>0.15</v>
      </c>
      <c r="V395" s="22" t="n">
        <v>6292</v>
      </c>
      <c r="W395" s="18" t="n">
        <v>347</v>
      </c>
      <c r="X395" s="18" t="n">
        <v>1800</v>
      </c>
      <c r="Y395" s="18">
        <f>X395*1.1</f>
        <v/>
      </c>
      <c r="Z395" s="20">
        <f>Y395/V395</f>
        <v/>
      </c>
      <c r="AA395" s="20">
        <f>Y395/W395</f>
        <v/>
      </c>
      <c r="AB395" s="18" t="n"/>
      <c r="AC395" s="18" t="n"/>
      <c r="AD395" s="18" t="n"/>
      <c r="AE395" s="18" t="n"/>
    </row>
    <row r="396">
      <c r="A396" s="18" t="n"/>
      <c r="B396" s="18" t="n"/>
      <c r="C396" s="17" t="n">
        <v>46099</v>
      </c>
      <c r="D396" s="18" t="inlineStr">
        <is>
          <t>品牌</t>
        </is>
      </c>
      <c r="E396" s="18" t="inlineStr">
        <is>
          <t>鲍鲍（软装中）</t>
        </is>
      </c>
      <c r="F396" s="122" t="n"/>
      <c r="G396" s="122" t="inlineStr">
        <is>
          <t>https://pgy.xiaohongshu.com/solar/pre-trade/blogger-detail/5e533bda0000000001005572?track_id=kolSimilar_437256d2c60c4bfba8f5eaa9e82dc64c&amp;source=Advertiser_Similar_Kol</t>
        </is>
      </c>
      <c r="H396" s="122" t="inlineStr">
        <is>
          <t>https://www.xiaohongshu.com/user/profile/5e533bda0000000001005572</t>
        </is>
      </c>
      <c r="I396" s="18" t="inlineStr">
        <is>
          <t>a15702483418</t>
        </is>
      </c>
      <c r="J396" s="18" t="n"/>
      <c r="K396" s="18" t="inlineStr">
        <is>
          <t>家居家装</t>
        </is>
      </c>
      <c r="L396" s="18" t="inlineStr">
        <is>
          <t>koc</t>
        </is>
      </c>
      <c r="M396" s="18" t="n">
        <v>0.2</v>
      </c>
      <c r="N396" s="18" t="n">
        <v>1.9</v>
      </c>
      <c r="O396" s="18" t="inlineStr">
        <is>
          <t>图文</t>
        </is>
      </c>
      <c r="P396" s="21" t="n">
        <v>0.84</v>
      </c>
      <c r="Q396" s="21" t="n">
        <v>0.09</v>
      </c>
      <c r="R396" s="21" t="n">
        <v>0.6899999999999999</v>
      </c>
      <c r="S396" s="21" t="n">
        <v>0.12</v>
      </c>
      <c r="T396" s="21" t="n">
        <v>0.29</v>
      </c>
      <c r="U396" s="21" t="n">
        <v>0.32</v>
      </c>
      <c r="V396" s="22" t="n">
        <v>1033</v>
      </c>
      <c r="W396" s="18" t="n">
        <v>129</v>
      </c>
      <c r="X396" s="18" t="n">
        <v>400</v>
      </c>
      <c r="Y396" s="18">
        <f>X396*1.1</f>
        <v/>
      </c>
      <c r="Z396" s="20">
        <f>Y396/V396</f>
        <v/>
      </c>
      <c r="AA396" s="20">
        <f>Y396/W396</f>
        <v/>
      </c>
      <c r="AB396" s="18" t="n"/>
      <c r="AC396" s="18" t="n"/>
      <c r="AD396" s="18" t="n"/>
      <c r="AE396" s="18" t="n"/>
    </row>
    <row r="397">
      <c r="A397" s="18" t="n"/>
      <c r="B397" s="18" t="n"/>
      <c r="C397" s="17" t="n">
        <v>46099</v>
      </c>
      <c r="D397" s="18" t="inlineStr">
        <is>
          <t>品牌</t>
        </is>
      </c>
      <c r="E397" s="18" t="inlineStr">
        <is>
          <t>July_</t>
        </is>
      </c>
      <c r="F397" s="122" t="n"/>
      <c r="G397" s="122" t="inlineStr">
        <is>
          <t>https://pgy.xiaohongshu.com/solar/pre-trade/blogger-detail/602a8b180000000001002eac?track_id=kolSimilar_437256d2c60c4bfba8f5eaa9e82dc64c&amp;source=Advertiser_Similar_Kol</t>
        </is>
      </c>
      <c r="H397" s="122" t="inlineStr">
        <is>
          <t>https://www.xiaohongshu.com/user/profile/602a8b180000000001002eac</t>
        </is>
      </c>
      <c r="I397" s="7" t="inlineStr">
        <is>
          <t>hw940721</t>
        </is>
      </c>
      <c r="J397" s="18" t="n"/>
      <c r="K397" s="18" t="inlineStr">
        <is>
          <t>家居家装</t>
        </is>
      </c>
      <c r="L397" s="18" t="inlineStr">
        <is>
          <t>koc</t>
        </is>
      </c>
      <c r="M397" s="18" t="n">
        <v>0.4</v>
      </c>
      <c r="N397" s="18" t="n">
        <v>4.8</v>
      </c>
      <c r="O397" s="18" t="inlineStr">
        <is>
          <t>图文</t>
        </is>
      </c>
      <c r="P397" s="21" t="n">
        <v>0.79</v>
      </c>
      <c r="Q397" s="21" t="n">
        <v>0.1</v>
      </c>
      <c r="R397" s="21" t="n">
        <v>0.6</v>
      </c>
      <c r="S397" s="21" t="n">
        <v>0.22</v>
      </c>
      <c r="T397" s="21" t="n">
        <v>0.58</v>
      </c>
      <c r="U397" s="21" t="n">
        <v>0.13</v>
      </c>
      <c r="V397" s="22" t="n">
        <v>4111</v>
      </c>
      <c r="W397" s="18" t="n">
        <v>362</v>
      </c>
      <c r="X397" s="18" t="n">
        <v>1800</v>
      </c>
      <c r="Y397" s="18">
        <f>X397*1.1</f>
        <v/>
      </c>
      <c r="Z397" s="20">
        <f>Y397/V397</f>
        <v/>
      </c>
      <c r="AA397" s="20">
        <f>Y397/W397</f>
        <v/>
      </c>
      <c r="AB397" s="18" t="n"/>
      <c r="AC397" s="18" t="n"/>
      <c r="AD397" s="18" t="n"/>
      <c r="AE397" s="18" t="n"/>
    </row>
    <row r="398">
      <c r="A398" s="18" t="n"/>
      <c r="B398" s="18" t="n"/>
      <c r="C398" s="17" t="n">
        <v>46099</v>
      </c>
      <c r="D398" s="18" t="inlineStr">
        <is>
          <t>品牌</t>
        </is>
      </c>
      <c r="E398" s="18" t="inlineStr">
        <is>
          <t>孟琪0809</t>
        </is>
      </c>
      <c r="F398" s="122" t="n"/>
      <c r="G398" s="122" t="inlineStr">
        <is>
          <t>https://pgy.xiaohongshu.com/solar/pre-trade/blogger-detail/56f8a1f41c07df1a01df0389?track_id=kolSimilar_437256d2c60c4bfba8f5eaa9e82dc64c&amp;source=Advertiser_Similar_Kol</t>
        </is>
      </c>
      <c r="H398" s="122" t="inlineStr">
        <is>
          <t>https://www.xiaohongshu.com/user/profile/56f8a1f41c07df1a01df0389</t>
        </is>
      </c>
      <c r="I398" s="18" t="inlineStr">
        <is>
          <t>￼100863583</t>
        </is>
      </c>
      <c r="J398" s="18" t="n"/>
      <c r="K398" s="18" t="inlineStr">
        <is>
          <t>家居家装</t>
        </is>
      </c>
      <c r="L398" s="18" t="inlineStr">
        <is>
          <t>koc</t>
        </is>
      </c>
      <c r="M398" s="18" t="n">
        <v>0.4</v>
      </c>
      <c r="N398" s="18" t="n">
        <v>11.6</v>
      </c>
      <c r="O398" s="18" t="inlineStr">
        <is>
          <t>图文</t>
        </is>
      </c>
      <c r="P398" s="21" t="n">
        <v>0.87</v>
      </c>
      <c r="Q398" s="21" t="n">
        <v>0.08</v>
      </c>
      <c r="R398" s="21" t="n">
        <v>0.49</v>
      </c>
      <c r="S398" s="21" t="n">
        <v>0.28</v>
      </c>
      <c r="T398" s="21" t="n">
        <v>0.5</v>
      </c>
      <c r="U398" s="21" t="n">
        <v>0.17</v>
      </c>
      <c r="V398" s="18" t="n">
        <v>493</v>
      </c>
      <c r="W398" s="18" t="n">
        <v>71</v>
      </c>
      <c r="X398" s="18" t="n">
        <v>1500</v>
      </c>
      <c r="Y398" s="18">
        <f>X398*1.1</f>
        <v/>
      </c>
      <c r="Z398" s="20">
        <f>Y398/V398</f>
        <v/>
      </c>
      <c r="AA398" s="20">
        <f>Y398/W398</f>
        <v/>
      </c>
      <c r="AB398" s="18" t="n"/>
      <c r="AC398" s="18" t="n"/>
      <c r="AD398" s="18" t="n"/>
      <c r="AE398" s="18" t="n"/>
    </row>
    <row r="399">
      <c r="A399" s="18" t="n"/>
      <c r="B399" s="18" t="n"/>
      <c r="C399" s="17" t="n">
        <v>46099</v>
      </c>
      <c r="D399" s="18" t="inlineStr">
        <is>
          <t>品牌</t>
        </is>
      </c>
      <c r="E399" s="18" t="inlineStr">
        <is>
          <t>一小只只🐟（软装ing～）</t>
        </is>
      </c>
      <c r="F399" s="122" t="n"/>
      <c r="G399" s="122" t="inlineStr">
        <is>
          <t>https://pgy.xiaohongshu.com/solar/pre-trade/blogger-detail/59c7633e51783a665429dfaa?track_id=kolSimilar_437256d2c60c4bfba8f5eaa9e82dc64c&amp;source=Advertiser_Similar_Kol</t>
        </is>
      </c>
      <c r="H399" s="122" t="inlineStr">
        <is>
          <t>https://www.xiaohongshu.com/user/profile/59c7633e51783a665429dfaa</t>
        </is>
      </c>
      <c r="I399" s="18" t="n">
        <v>115734611</v>
      </c>
      <c r="J399" s="18" t="n"/>
      <c r="K399" s="18" t="inlineStr">
        <is>
          <t>家居家装</t>
        </is>
      </c>
      <c r="L399" s="18" t="inlineStr">
        <is>
          <t>koc</t>
        </is>
      </c>
      <c r="M399" s="18" t="n">
        <v>0.6</v>
      </c>
      <c r="N399" s="18" t="n">
        <v>10</v>
      </c>
      <c r="O399" s="18" t="inlineStr">
        <is>
          <t>图文</t>
        </is>
      </c>
      <c r="P399" s="21" t="n">
        <v>0.8</v>
      </c>
      <c r="Q399" s="21" t="n">
        <v>0.06</v>
      </c>
      <c r="R399" s="21" t="n">
        <v>0.57</v>
      </c>
      <c r="S399" s="21" t="n">
        <v>0.24</v>
      </c>
      <c r="T399" s="21" t="n">
        <v>0.38</v>
      </c>
      <c r="U399" s="21" t="n">
        <v>0.23</v>
      </c>
      <c r="V399" s="22" t="n">
        <v>7234</v>
      </c>
      <c r="W399" s="18" t="n">
        <v>428</v>
      </c>
      <c r="X399" s="18" t="n">
        <v>2000</v>
      </c>
      <c r="Y399" s="18">
        <f>X399*1.1</f>
        <v/>
      </c>
      <c r="Z399" s="20">
        <f>Y399/V399</f>
        <v/>
      </c>
      <c r="AA399" s="20">
        <f>Y399/W399</f>
        <v/>
      </c>
      <c r="AB399" s="18" t="n"/>
      <c r="AC399" s="18" t="n"/>
      <c r="AD399" s="18" t="n"/>
      <c r="AE399" s="18" t="n"/>
    </row>
    <row r="400">
      <c r="A400" s="18" t="n"/>
      <c r="B400" s="18" t="n"/>
      <c r="C400" s="17" t="n">
        <v>46099</v>
      </c>
      <c r="D400" s="18" t="inlineStr">
        <is>
          <t>品牌</t>
        </is>
      </c>
      <c r="E400" s="18" t="inlineStr">
        <is>
          <t>梁梁宅家日记📔</t>
        </is>
      </c>
      <c r="F400" s="122" t="n"/>
      <c r="G400" s="122" t="inlineStr">
        <is>
          <t>https://pgy.xiaohongshu.com/solar/pre-trade/blogger-detail/561ddba73f0f3c54015447ad?track_id=kolSimilar_437256d2c60c4bfba8f5eaa9e82dc64c&amp;source=Advertiser_Similar_Kol</t>
        </is>
      </c>
      <c r="H400" s="122" t="inlineStr">
        <is>
          <t>https://www.xiaohongshu.com/user/profile/561ddba73f0f3c54015447ad</t>
        </is>
      </c>
      <c r="I400" s="18" t="inlineStr">
        <is>
          <t>L48011999</t>
        </is>
      </c>
      <c r="J400" s="18" t="n"/>
      <c r="K400" s="18" t="inlineStr">
        <is>
          <t>家居家装</t>
        </is>
      </c>
      <c r="L400" s="18" t="inlineStr">
        <is>
          <t>koc</t>
        </is>
      </c>
      <c r="M400" s="18" t="n">
        <v>0.3</v>
      </c>
      <c r="N400" s="18" t="n">
        <v>4.1</v>
      </c>
      <c r="O400" s="18" t="inlineStr">
        <is>
          <t>图文</t>
        </is>
      </c>
      <c r="P400" s="21" t="n">
        <v>0.86</v>
      </c>
      <c r="Q400" s="21" t="n">
        <v>0.06</v>
      </c>
      <c r="R400" s="21" t="n">
        <v>0.68</v>
      </c>
      <c r="S400" s="21" t="n">
        <v>0.15</v>
      </c>
      <c r="T400" s="21" t="n">
        <v>0.34</v>
      </c>
      <c r="U400" s="21" t="n">
        <v>0.22</v>
      </c>
      <c r="V400" s="22" t="n">
        <v>5355</v>
      </c>
      <c r="W400" s="18" t="n">
        <v>577</v>
      </c>
      <c r="X400" s="18" t="n">
        <v>1200</v>
      </c>
      <c r="Y400" s="18">
        <f>X400*1.1</f>
        <v/>
      </c>
      <c r="Z400" s="20">
        <f>Y400/V400</f>
        <v/>
      </c>
      <c r="AA400" s="20">
        <f>Y400/W400</f>
        <v/>
      </c>
      <c r="AB400" s="18" t="n"/>
      <c r="AC400" s="18" t="n"/>
      <c r="AD400" s="18" t="n"/>
      <c r="AE400" s="18" t="n"/>
    </row>
    <row r="401">
      <c r="A401" s="18" t="n"/>
      <c r="B401" s="18" t="n"/>
      <c r="C401" s="17" t="n">
        <v>46099</v>
      </c>
      <c r="D401" s="18" t="inlineStr">
        <is>
          <t>品牌</t>
        </is>
      </c>
      <c r="E401" s="18" t="inlineStr">
        <is>
          <t>明天过后</t>
        </is>
      </c>
      <c r="F401" s="122" t="n"/>
      <c r="G401" s="122" t="inlineStr">
        <is>
          <t>https://pgy.xiaohongshu.com/solar/pre-trade/blogger-detail/5e54f2c9000000000100566b?track_id=kolSimilar_437256d2c60c4bfba8f5eaa9e82dc64c&amp;source=Advertiser_Similar_Kol</t>
        </is>
      </c>
      <c r="H401" s="122" t="inlineStr">
        <is>
          <t>https://www.xiaohongshu.com/user/profile/5e54f2c9000000000100566b</t>
        </is>
      </c>
      <c r="I401" s="18" t="n">
        <v>919213959</v>
      </c>
      <c r="J401" s="18" t="n"/>
      <c r="K401" s="18" t="inlineStr">
        <is>
          <t>家居家装</t>
        </is>
      </c>
      <c r="L401" s="18" t="inlineStr">
        <is>
          <t>koc</t>
        </is>
      </c>
      <c r="M401" s="18" t="n">
        <v>0.3</v>
      </c>
      <c r="N401" s="18" t="n">
        <v>3.7</v>
      </c>
      <c r="O401" s="18" t="inlineStr">
        <is>
          <t>图文</t>
        </is>
      </c>
      <c r="P401" s="21" t="n">
        <v>0.78</v>
      </c>
      <c r="Q401" s="21" t="n">
        <v>0.11</v>
      </c>
      <c r="R401" s="21" t="n">
        <v>0.53</v>
      </c>
      <c r="S401" s="21" t="n">
        <v>0.23</v>
      </c>
      <c r="T401" s="21" t="n">
        <v>0.51</v>
      </c>
      <c r="U401" s="21" t="n">
        <v>0.15</v>
      </c>
      <c r="V401" s="18" t="n">
        <v>738</v>
      </c>
      <c r="W401" s="18" t="n">
        <v>149</v>
      </c>
      <c r="X401" s="18" t="n">
        <v>898</v>
      </c>
      <c r="Y401" s="18">
        <f>X401*1.1</f>
        <v/>
      </c>
      <c r="Z401" s="20">
        <f>Y401/V401</f>
        <v/>
      </c>
      <c r="AA401" s="20">
        <f>Y401/W401</f>
        <v/>
      </c>
      <c r="AB401" s="18" t="n"/>
      <c r="AC401" s="18" t="n"/>
      <c r="AD401" s="18" t="n"/>
      <c r="AE401" s="18" t="n"/>
    </row>
    <row r="402">
      <c r="A402" s="18" t="n"/>
      <c r="B402" s="18" t="n"/>
      <c r="C402" s="17" t="n">
        <v>46099</v>
      </c>
      <c r="D402" s="18" t="inlineStr">
        <is>
          <t>品牌</t>
        </is>
      </c>
      <c r="E402" s="18" t="inlineStr">
        <is>
          <t>提拉米苏🏠 .</t>
        </is>
      </c>
      <c r="F402" s="122" t="n"/>
      <c r="G402" s="122" t="inlineStr">
        <is>
          <t>https://pgy.xiaohongshu.com/solar/pre-trade/blogger-detail/67c318df000000000a03e88a?track_id=kolSimilar_437256d2c60c4bfba8f5eaa9e82dc64c&amp;source=Advertiser_Similar_Kol</t>
        </is>
      </c>
      <c r="H402" s="122" t="inlineStr">
        <is>
          <t>https://www.xiaohongshu.com/user/profile/67c318df000000000a03e88a</t>
        </is>
      </c>
      <c r="I402" s="18" t="inlineStr">
        <is>
          <t>l952998140</t>
        </is>
      </c>
      <c r="J402" s="18" t="n"/>
      <c r="K402" s="18" t="inlineStr">
        <is>
          <t>家居家装</t>
        </is>
      </c>
      <c r="L402" s="18" t="inlineStr">
        <is>
          <t>koc</t>
        </is>
      </c>
      <c r="M402" s="18" t="n">
        <v>0.5</v>
      </c>
      <c r="N402" s="18" t="n">
        <v>5.8</v>
      </c>
      <c r="O402" s="18" t="inlineStr">
        <is>
          <t>图文</t>
        </is>
      </c>
      <c r="P402" s="21" t="n">
        <v>0.78</v>
      </c>
      <c r="Q402" s="21" t="n">
        <v>0.14</v>
      </c>
      <c r="R402" s="21" t="n">
        <v>0.49</v>
      </c>
      <c r="S402" s="21" t="n">
        <v>0.19</v>
      </c>
      <c r="T402" s="21" t="n">
        <v>0.45</v>
      </c>
      <c r="U402" s="21" t="n">
        <v>0.17</v>
      </c>
      <c r="V402" s="22" t="n">
        <v>4625</v>
      </c>
      <c r="W402" s="18" t="n">
        <v>687</v>
      </c>
      <c r="X402" s="18" t="n">
        <v>1600</v>
      </c>
      <c r="Y402" s="18">
        <f>X402*1.1</f>
        <v/>
      </c>
      <c r="Z402" s="20">
        <f>Y402/V402</f>
        <v/>
      </c>
      <c r="AA402" s="20">
        <f>Y402/W402</f>
        <v/>
      </c>
      <c r="AB402" s="18" t="n"/>
      <c r="AC402" s="18" t="n"/>
      <c r="AD402" s="18" t="n"/>
      <c r="AE402" s="18" t="n"/>
    </row>
    <row r="403">
      <c r="A403" s="18" t="n"/>
      <c r="B403" s="18" t="n"/>
      <c r="C403" s="17" t="n">
        <v>46099</v>
      </c>
      <c r="D403" s="18" t="inlineStr">
        <is>
          <t>品牌</t>
        </is>
      </c>
      <c r="E403" s="18" t="inlineStr">
        <is>
          <t>不宅家的桃子</t>
        </is>
      </c>
      <c r="F403" s="122" t="n"/>
      <c r="G403" s="122" t="inlineStr">
        <is>
          <t>https://pgy.xiaohongshu.com/solar/pre-trade/blogger-detail/668e43f7000000000d024d59?track_id=kolSimilar_60877fa9c5ca4e89b2b162450d47e050&amp;source=Advertiser_Similar_Kol</t>
        </is>
      </c>
      <c r="H403" s="122" t="inlineStr">
        <is>
          <t>https://www.xiaohongshu.com/user/profile/668e43f7000000000d024d59</t>
        </is>
      </c>
      <c r="I403" s="18" t="inlineStr">
        <is>
          <t>V15586418882</t>
        </is>
      </c>
      <c r="J403" s="18" t="n"/>
      <c r="K403" s="18" t="inlineStr">
        <is>
          <t>家居家装</t>
        </is>
      </c>
      <c r="L403" s="18" t="inlineStr">
        <is>
          <t>koc</t>
        </is>
      </c>
      <c r="M403" s="18" t="n">
        <v>0.6</v>
      </c>
      <c r="N403" s="18" t="n">
        <v>6.3</v>
      </c>
      <c r="O403" s="18" t="inlineStr">
        <is>
          <t>图文</t>
        </is>
      </c>
      <c r="P403" s="21" t="n">
        <v>0.88</v>
      </c>
      <c r="Q403" s="21" t="n">
        <v>0.07000000000000001</v>
      </c>
      <c r="R403" s="21" t="n">
        <v>0.71</v>
      </c>
      <c r="S403" s="21" t="n">
        <v>0.11</v>
      </c>
      <c r="T403" s="21" t="n">
        <v>0.23</v>
      </c>
      <c r="U403" s="21" t="n">
        <v>0.42</v>
      </c>
      <c r="V403" s="18" t="n">
        <v>3500</v>
      </c>
      <c r="W403" s="18" t="n">
        <v>120</v>
      </c>
      <c r="X403" s="18" t="n">
        <v>1000</v>
      </c>
      <c r="Y403" s="18">
        <f>X403*1.1</f>
        <v/>
      </c>
      <c r="Z403" s="20">
        <f>Y403/V403</f>
        <v/>
      </c>
      <c r="AA403" s="20">
        <f>Y403/W403</f>
        <v/>
      </c>
      <c r="AB403" s="18" t="n"/>
      <c r="AC403" s="18" t="n"/>
      <c r="AD403" s="18" t="n"/>
      <c r="AE403" s="18" t="n"/>
    </row>
    <row r="404">
      <c r="A404" s="18" t="n"/>
      <c r="B404" s="18" t="n"/>
      <c r="C404" s="17" t="n">
        <v>46099</v>
      </c>
      <c r="D404" s="18" t="inlineStr">
        <is>
          <t>品牌</t>
        </is>
      </c>
      <c r="E404" s="18" t="inlineStr">
        <is>
          <t>super谭棉花</t>
        </is>
      </c>
      <c r="F404" s="122" t="n"/>
      <c r="G404" s="122" t="inlineStr">
        <is>
          <t>https://pgy.xiaohongshu.com/solar/pre-trade/blogger-detail/59e389b96b645522282aaa37?track_id=kolSimilar_60877fa9c5ca4e89b2b162450d47e050&amp;source=Advertiser_Similar_Kol</t>
        </is>
      </c>
      <c r="H404" s="122" t="inlineStr">
        <is>
          <t>https://www.xiaohongshu.com/user/profile/59e389b96b645522282aaa37</t>
        </is>
      </c>
      <c r="I404" s="18" t="n">
        <v>261018247</v>
      </c>
      <c r="J404" s="18" t="n"/>
      <c r="K404" s="18" t="inlineStr">
        <is>
          <t>家居家装</t>
        </is>
      </c>
      <c r="L404" s="18" t="inlineStr">
        <is>
          <t>koc</t>
        </is>
      </c>
      <c r="M404" s="18" t="n">
        <v>0.3</v>
      </c>
      <c r="N404" s="18" t="n">
        <v>5.1</v>
      </c>
      <c r="O404" s="18" t="inlineStr">
        <is>
          <t>图文</t>
        </is>
      </c>
      <c r="P404" s="21" t="n">
        <v>0.8</v>
      </c>
      <c r="Q404" s="21" t="n">
        <v>0.16</v>
      </c>
      <c r="R404" s="21" t="n">
        <v>0.53</v>
      </c>
      <c r="S404" s="21" t="n">
        <v>0.17</v>
      </c>
      <c r="T404" s="21" t="n">
        <v>0.41</v>
      </c>
      <c r="U404" s="21" t="n">
        <v>0.21</v>
      </c>
      <c r="V404" s="22" t="n">
        <v>1740</v>
      </c>
      <c r="W404" s="18" t="n">
        <v>188</v>
      </c>
      <c r="X404" s="18" t="n">
        <v>800</v>
      </c>
      <c r="Y404" s="18">
        <f>X404*1.1</f>
        <v/>
      </c>
      <c r="Z404" s="20">
        <f>Y404/V404</f>
        <v/>
      </c>
      <c r="AA404" s="20">
        <f>Y404/W404</f>
        <v/>
      </c>
      <c r="AB404" s="18" t="n"/>
      <c r="AC404" s="18" t="n"/>
      <c r="AD404" s="18" t="n"/>
      <c r="AE404" s="18" t="n"/>
    </row>
    <row r="405">
      <c r="A405" s="18" t="n"/>
      <c r="B405" s="18" t="n"/>
      <c r="C405" s="17" t="n">
        <v>46099</v>
      </c>
      <c r="D405" s="18" t="inlineStr">
        <is>
          <t>品牌</t>
        </is>
      </c>
      <c r="E405" s="18" t="inlineStr">
        <is>
          <t>什么宸🏠</t>
        </is>
      </c>
      <c r="F405" s="122" t="n"/>
      <c r="G405" s="122" t="inlineStr">
        <is>
          <t>https://pgy.xiaohongshu.com/solar/pre-trade/blogger-detail/66f413f0000000001d022644?track_id=kolSimilar_77d0c7ed463146fcbe2cd2fb972d6000&amp;source=Advertiser_Similar_Kol</t>
        </is>
      </c>
      <c r="H405" s="122" t="inlineStr">
        <is>
          <t>https://www.xiaohongshu.com/user/profile/66f413f0000000001d022644</t>
        </is>
      </c>
      <c r="I405" s="18" t="inlineStr">
        <is>
          <t>v397697376</t>
        </is>
      </c>
      <c r="J405" s="18" t="n"/>
      <c r="K405" s="18" t="inlineStr">
        <is>
          <t>家居家装</t>
        </is>
      </c>
      <c r="L405" s="18" t="inlineStr">
        <is>
          <t>koc</t>
        </is>
      </c>
      <c r="M405" s="18" t="n">
        <v>0.2</v>
      </c>
      <c r="N405" s="18" t="n">
        <v>2.2</v>
      </c>
      <c r="O405" s="18" t="inlineStr">
        <is>
          <t>图文</t>
        </is>
      </c>
      <c r="P405" s="21" t="n">
        <v>0.57</v>
      </c>
      <c r="Q405" s="21" t="n">
        <v>0.08</v>
      </c>
      <c r="R405" s="21" t="n">
        <v>0.4</v>
      </c>
      <c r="S405" s="21" t="n">
        <v>0.33</v>
      </c>
      <c r="T405" s="21" t="n">
        <v>0.42</v>
      </c>
      <c r="U405" s="21" t="n">
        <v>0.2</v>
      </c>
      <c r="V405" s="22" t="n">
        <v>2148</v>
      </c>
      <c r="W405" s="18" t="n">
        <v>257</v>
      </c>
      <c r="X405" s="18" t="n">
        <v>800</v>
      </c>
      <c r="Y405" s="18">
        <f>X405*1.1</f>
        <v/>
      </c>
      <c r="Z405" s="20">
        <f>Y405/V405</f>
        <v/>
      </c>
      <c r="AA405" s="20">
        <f>Y405/W405</f>
        <v/>
      </c>
      <c r="AB405" s="18" t="n"/>
      <c r="AC405" s="18" t="n"/>
      <c r="AD405" s="18" t="n"/>
      <c r="AE405" s="18" t="n"/>
    </row>
    <row r="406">
      <c r="A406" s="18" t="n"/>
      <c r="B406" s="18" t="n"/>
      <c r="C406" s="17" t="n">
        <v>46099</v>
      </c>
      <c r="D406" s="18" t="inlineStr">
        <is>
          <t>品牌</t>
        </is>
      </c>
      <c r="E406" s="18" t="inlineStr">
        <is>
          <t>小董饭饭屋</t>
        </is>
      </c>
      <c r="F406" s="122" t="n"/>
      <c r="G406" s="122" t="inlineStr">
        <is>
          <t>https://pgy.xiaohongshu.com/solar/pre-trade/blogger-detail/63f862ad000000000f011cb9?track_id=kolSimilar_77d0c7ed463146fcbe2cd2fb972d6000&amp;source=Advertiser_Similar_Kol</t>
        </is>
      </c>
      <c r="H406" s="122" t="inlineStr">
        <is>
          <t>https://www.xiaohongshu.com/user/profile/63f862ad000000000f011cb9</t>
        </is>
      </c>
      <c r="I406" s="18" t="inlineStr">
        <is>
          <t>Dm98774</t>
        </is>
      </c>
      <c r="J406" s="18" t="n"/>
      <c r="K406" s="18" t="inlineStr">
        <is>
          <t>家居家装</t>
        </is>
      </c>
      <c r="L406" s="18" t="inlineStr">
        <is>
          <t>koc</t>
        </is>
      </c>
      <c r="M406" s="18" t="n">
        <v>0.2</v>
      </c>
      <c r="N406" s="18" t="n">
        <v>2</v>
      </c>
      <c r="O406" s="18" t="inlineStr">
        <is>
          <t>图文</t>
        </is>
      </c>
      <c r="P406" s="21" t="n">
        <v>0.9</v>
      </c>
      <c r="Q406" s="21" t="n">
        <v>0.17</v>
      </c>
      <c r="R406" s="21" t="n">
        <v>0.64</v>
      </c>
      <c r="S406" s="21" t="n">
        <v>0.14</v>
      </c>
      <c r="T406" s="21" t="n">
        <v>0.77</v>
      </c>
      <c r="U406" s="21" t="n">
        <v>0.08</v>
      </c>
      <c r="V406" s="22" t="n">
        <v>2795</v>
      </c>
      <c r="W406" s="18" t="n">
        <v>241</v>
      </c>
      <c r="X406" s="18" t="n">
        <v>400</v>
      </c>
      <c r="Y406" s="18">
        <f>X406*1.1</f>
        <v/>
      </c>
      <c r="Z406" s="20">
        <f>Y406/V406</f>
        <v/>
      </c>
      <c r="AA406" s="20">
        <f>Y406/W406</f>
        <v/>
      </c>
      <c r="AB406" s="18" t="n"/>
      <c r="AC406" s="18" t="n"/>
      <c r="AD406" s="18" t="n"/>
      <c r="AE406" s="18" t="n"/>
    </row>
    <row r="407">
      <c r="A407" s="18" t="n"/>
      <c r="B407" s="18" t="n"/>
      <c r="C407" s="17" t="n">
        <v>46099</v>
      </c>
      <c r="D407" s="18" t="inlineStr">
        <is>
          <t>品牌</t>
        </is>
      </c>
      <c r="E407" s="18" t="inlineStr">
        <is>
          <t>失眠吐司🍞</t>
        </is>
      </c>
      <c r="F407" s="122" t="n"/>
      <c r="G407" s="122" t="inlineStr">
        <is>
          <t>https://pgy.xiaohongshu.com/solar/pre-trade/blogger-detail/5c8a07060000000016000146?track_id=kolSimilar_77d0c7ed463146fcbe2cd2fb972d6000&amp;source=Advertiser_Similar_Kol</t>
        </is>
      </c>
      <c r="H407" s="122" t="inlineStr">
        <is>
          <t>https://www.xiaohongshu.com/user/profile/5c8a07060000000016000146</t>
        </is>
      </c>
      <c r="I407" s="18" t="inlineStr">
        <is>
          <t>Nuomi221122</t>
        </is>
      </c>
      <c r="J407" s="18" t="n"/>
      <c r="K407" s="18" t="inlineStr">
        <is>
          <t>家居家装</t>
        </is>
      </c>
      <c r="L407" s="18" t="inlineStr">
        <is>
          <t>koc</t>
        </is>
      </c>
      <c r="M407" s="18" t="n">
        <v>0.3</v>
      </c>
      <c r="N407" s="18" t="n">
        <v>5.6</v>
      </c>
      <c r="O407" s="18" t="inlineStr">
        <is>
          <t>图文</t>
        </is>
      </c>
      <c r="P407" s="21" t="n">
        <v>0.82</v>
      </c>
      <c r="Q407" s="21" t="n">
        <v>0.08</v>
      </c>
      <c r="R407" s="21" t="n">
        <v>0.66</v>
      </c>
      <c r="S407" s="21" t="n">
        <v>0.19</v>
      </c>
      <c r="T407" s="21" t="n">
        <v>0.73</v>
      </c>
      <c r="U407" s="21" t="n">
        <v>0.09</v>
      </c>
      <c r="V407" s="22" t="n">
        <v>1872</v>
      </c>
      <c r="W407" s="18" t="n">
        <v>204</v>
      </c>
      <c r="X407" s="18" t="n">
        <v>1100</v>
      </c>
      <c r="Y407" s="18">
        <f>X407*1.1</f>
        <v/>
      </c>
      <c r="Z407" s="20">
        <f>Y407/V407</f>
        <v/>
      </c>
      <c r="AA407" s="20">
        <f>Y407/W407</f>
        <v/>
      </c>
      <c r="AB407" s="18" t="n"/>
      <c r="AC407" s="18" t="n"/>
      <c r="AD407" s="18" t="n"/>
      <c r="AE407" s="18" t="n"/>
    </row>
    <row r="408">
      <c r="A408" s="18" t="n"/>
      <c r="B408" s="18" t="n"/>
      <c r="C408" s="17" t="n">
        <v>46099</v>
      </c>
      <c r="D408" s="18" t="inlineStr">
        <is>
          <t>品牌</t>
        </is>
      </c>
      <c r="E408" s="18" t="inlineStr">
        <is>
          <t>我的小小家</t>
        </is>
      </c>
      <c r="F408" s="122" t="n"/>
      <c r="G408" s="122" t="inlineStr">
        <is>
          <t>https://pgy.xiaohongshu.com/solar/pre-trade/blogger-detail/5b220a236b58b710f77c1e07?track_id=kolSimilar_77d0c7ed463146fcbe2cd2fb972d6000&amp;source=Advertiser_Similar_Kol</t>
        </is>
      </c>
      <c r="H408" s="122" t="inlineStr">
        <is>
          <t>https://www.xiaohongshu.com/user/profile/5b220a236b58b710f77c1e07</t>
        </is>
      </c>
      <c r="I408" s="18" t="n">
        <v>634373927</v>
      </c>
      <c r="J408" s="18" t="n"/>
      <c r="K408" s="18" t="inlineStr">
        <is>
          <t>家居家装</t>
        </is>
      </c>
      <c r="L408" s="18" t="inlineStr">
        <is>
          <t>koc</t>
        </is>
      </c>
      <c r="M408" s="18" t="n">
        <v>0.2</v>
      </c>
      <c r="N408" s="18" t="n">
        <v>2.3</v>
      </c>
      <c r="O408" s="18" t="inlineStr">
        <is>
          <t>图文</t>
        </is>
      </c>
      <c r="P408" s="21" t="n">
        <v>0.65</v>
      </c>
      <c r="Q408" s="21" t="n">
        <v>0.06</v>
      </c>
      <c r="R408" s="21" t="n">
        <v>0.5</v>
      </c>
      <c r="S408" s="21" t="n">
        <v>0.31</v>
      </c>
      <c r="T408" s="21" t="n">
        <v>0.5600000000000001</v>
      </c>
      <c r="U408" s="21" t="n">
        <v>0.13</v>
      </c>
      <c r="V408" s="22" t="n">
        <v>3928</v>
      </c>
      <c r="W408" s="18" t="n">
        <v>210</v>
      </c>
      <c r="X408" s="18" t="n">
        <v>600</v>
      </c>
      <c r="Y408" s="18">
        <f>X408*1.1</f>
        <v/>
      </c>
      <c r="Z408" s="20">
        <f>Y408/V408</f>
        <v/>
      </c>
      <c r="AA408" s="20">
        <f>Y408/W408</f>
        <v/>
      </c>
      <c r="AB408" s="18" t="n"/>
      <c r="AC408" s="18" t="n"/>
      <c r="AD408" s="18" t="n"/>
      <c r="AE408" s="18" t="n"/>
    </row>
    <row r="409">
      <c r="A409" s="18" t="n"/>
      <c r="B409" s="18" t="n"/>
      <c r="C409" s="17" t="n">
        <v>46099</v>
      </c>
      <c r="D409" s="18" t="inlineStr">
        <is>
          <t>品牌</t>
        </is>
      </c>
      <c r="E409" s="18" t="inlineStr">
        <is>
          <t>王小伍（软装中）</t>
        </is>
      </c>
      <c r="F409" s="122" t="n"/>
      <c r="G409" s="122" t="inlineStr">
        <is>
          <t>https://pgy.xiaohongshu.com/solar/pre-trade/blogger-detail/5abc4aa811be10672e30cbde?track_id=kolSimilar_77d0c7ed463146fcbe2cd2fb972d6000&amp;source=Advertiser_Similar_Kol</t>
        </is>
      </c>
      <c r="H409" s="122" t="inlineStr">
        <is>
          <t>https://www.xiaohongshu.com/user/profile/5abc4aa811be10672e30cbde</t>
        </is>
      </c>
      <c r="I409" s="18" t="n">
        <v>187291943</v>
      </c>
      <c r="J409" s="18" t="n"/>
      <c r="K409" s="18" t="inlineStr">
        <is>
          <t>家居家装</t>
        </is>
      </c>
      <c r="L409" s="18" t="inlineStr">
        <is>
          <t>koc</t>
        </is>
      </c>
      <c r="M409" s="18" t="n">
        <v>0.9</v>
      </c>
      <c r="N409" s="18" t="n">
        <v>10</v>
      </c>
      <c r="O409" s="18" t="inlineStr">
        <is>
          <t>图文</t>
        </is>
      </c>
      <c r="P409" s="21" t="n">
        <v>0.72</v>
      </c>
      <c r="Q409" s="21" t="n">
        <v>0.04</v>
      </c>
      <c r="R409" s="21" t="n">
        <v>0.39</v>
      </c>
      <c r="S409" s="21" t="n">
        <v>0.39</v>
      </c>
      <c r="T409" s="21" t="n">
        <v>0.46</v>
      </c>
      <c r="U409" s="21" t="n">
        <v>0.25</v>
      </c>
      <c r="V409" s="22" t="n">
        <v>2318</v>
      </c>
      <c r="W409" s="18" t="n">
        <v>148</v>
      </c>
      <c r="X409" s="18" t="n">
        <v>1200</v>
      </c>
      <c r="Y409" s="18">
        <f>X409*1.1</f>
        <v/>
      </c>
      <c r="Z409" s="20">
        <f>Y409/V409</f>
        <v/>
      </c>
      <c r="AA409" s="20">
        <f>Y409/W409</f>
        <v/>
      </c>
      <c r="AB409" s="18" t="n"/>
      <c r="AC409" s="18" t="n"/>
      <c r="AD409" s="18" t="n"/>
      <c r="AE409" s="18" t="n"/>
    </row>
    <row r="410">
      <c r="A410" s="18" t="n"/>
      <c r="B410" s="18" t="n"/>
      <c r="C410" s="17" t="n">
        <v>46099</v>
      </c>
      <c r="D410" s="18" t="inlineStr">
        <is>
          <t>品牌</t>
        </is>
      </c>
      <c r="E410" s="18" t="inlineStr">
        <is>
          <t>向北飞，</t>
        </is>
      </c>
      <c r="F410" s="122" t="n"/>
      <c r="G410" s="122" t="inlineStr">
        <is>
          <t>https://pgy.xiaohongshu.com/solar/pre-trade/blogger-detail/6006865c000000000100a999?track_id=kolSimilar_77d0c7ed463146fcbe2cd2fb972d6000&amp;source=Advertiser_Similar_Kol</t>
        </is>
      </c>
      <c r="H410" s="122" t="inlineStr">
        <is>
          <t>https://www.xiaohongshu.com/user/profile/6006865c000000000100a999</t>
        </is>
      </c>
      <c r="I410" s="18" t="n">
        <v>4262386387</v>
      </c>
      <c r="J410" s="18" t="n"/>
      <c r="K410" s="18" t="inlineStr">
        <is>
          <t>家居家装</t>
        </is>
      </c>
      <c r="L410" s="18" t="inlineStr">
        <is>
          <t>koc</t>
        </is>
      </c>
      <c r="M410" s="18" t="n">
        <v>0.2</v>
      </c>
      <c r="N410" s="18" t="n">
        <v>3</v>
      </c>
      <c r="O410" s="18" t="inlineStr">
        <is>
          <t>图文</t>
        </is>
      </c>
      <c r="P410" s="21" t="n">
        <v>0.63</v>
      </c>
      <c r="Q410" s="21" t="n">
        <v>0.19</v>
      </c>
      <c r="R410" s="21" t="n">
        <v>0.45</v>
      </c>
      <c r="S410" s="21" t="n">
        <v>0.22</v>
      </c>
      <c r="T410" s="21" t="n">
        <v>0.48</v>
      </c>
      <c r="U410" s="21" t="n">
        <v>0.15</v>
      </c>
      <c r="V410" s="18" t="n">
        <v>203</v>
      </c>
      <c r="W410" s="18" t="n">
        <v>47</v>
      </c>
      <c r="X410" s="18" t="n">
        <v>300</v>
      </c>
      <c r="Y410" s="18">
        <f>X410*1.1</f>
        <v/>
      </c>
      <c r="Z410" s="20">
        <f>Y410/V410</f>
        <v/>
      </c>
      <c r="AA410" s="20">
        <f>Y410/W410</f>
        <v/>
      </c>
      <c r="AB410" s="18" t="n"/>
      <c r="AC410" s="18" t="n"/>
      <c r="AD410" s="18" t="n"/>
      <c r="AE410" s="18" t="n"/>
    </row>
    <row r="411">
      <c r="A411" s="18" t="n"/>
      <c r="B411" s="18" t="n"/>
      <c r="C411" s="17" t="n">
        <v>46099</v>
      </c>
      <c r="D411" s="18" t="inlineStr">
        <is>
          <t>品牌</t>
        </is>
      </c>
      <c r="E411" s="18" t="inlineStr">
        <is>
          <t>一只兔子</t>
        </is>
      </c>
      <c r="F411" s="122" t="n"/>
      <c r="G411" s="122" t="inlineStr">
        <is>
          <t>https://pgy.xiaohongshu.com/solar/pre-trade/blogger-detail/5c25af600000000006027254?track_id=kolSimilar_77d0c7ed463146fcbe2cd2fb972d6000&amp;source=Advertiser_Similar_Kol</t>
        </is>
      </c>
      <c r="H411" s="122" t="inlineStr">
        <is>
          <t>https://www.xiaohongshu.com/user/profile/5c25af600000000006027254</t>
        </is>
      </c>
      <c r="I411" s="18" t="n">
        <v>385383701</v>
      </c>
      <c r="J411" s="18" t="n"/>
      <c r="K411" s="18" t="inlineStr">
        <is>
          <t>家居家装</t>
        </is>
      </c>
      <c r="L411" s="18" t="inlineStr">
        <is>
          <t>koc</t>
        </is>
      </c>
      <c r="M411" s="18" t="n">
        <v>0.1</v>
      </c>
      <c r="N411" s="18" t="n">
        <v>3.4</v>
      </c>
      <c r="O411" s="18" t="inlineStr">
        <is>
          <t>图文</t>
        </is>
      </c>
      <c r="P411" s="21" t="n">
        <v>0.83</v>
      </c>
      <c r="Q411" s="21" t="n">
        <v>0.12</v>
      </c>
      <c r="R411" s="21" t="n">
        <v>0.52</v>
      </c>
      <c r="S411" s="21" t="n">
        <v>0.3</v>
      </c>
      <c r="T411" s="21" t="n">
        <v>0.66</v>
      </c>
      <c r="U411" s="21" t="n">
        <v>0.14</v>
      </c>
      <c r="V411" s="22" t="n">
        <v>1621</v>
      </c>
      <c r="W411" s="18" t="n">
        <v>119</v>
      </c>
      <c r="X411" s="18" t="n">
        <v>260</v>
      </c>
      <c r="Y411" s="18">
        <f>X411*1.1</f>
        <v/>
      </c>
      <c r="Z411" s="20">
        <f>Y411/V411</f>
        <v/>
      </c>
      <c r="AA411" s="20">
        <f>Y411/W411</f>
        <v/>
      </c>
      <c r="AB411" s="18" t="n"/>
      <c r="AC411" s="18" t="n"/>
      <c r="AD411" s="18" t="n"/>
      <c r="AE411" s="18" t="n"/>
    </row>
    <row r="412">
      <c r="A412" s="18" t="n"/>
      <c r="B412" s="18" t="n"/>
      <c r="C412" s="17" t="n">
        <v>46099</v>
      </c>
      <c r="D412" s="18" t="inlineStr">
        <is>
          <t>品牌</t>
        </is>
      </c>
      <c r="E412" s="18" t="inlineStr">
        <is>
          <t>噗噗pupu🏠</t>
        </is>
      </c>
      <c r="F412" s="122" t="n"/>
      <c r="G412" s="122" t="inlineStr">
        <is>
          <t>https://pgy.xiaohongshu.com/solar/pre-trade/blogger-detail/5cf7affb000000000603419f?track_id=kolSimilar_77d0c7ed463146fcbe2cd2fb972d6000&amp;source=Advertiser_Similar_Kol</t>
        </is>
      </c>
      <c r="H412" s="122" t="inlineStr">
        <is>
          <t>https://www.xiaohongshu.com/user/profile/5cf7affb000000000603419f</t>
        </is>
      </c>
      <c r="I412" s="7" t="n">
        <v>868840843</v>
      </c>
      <c r="J412" s="18" t="n"/>
      <c r="K412" s="18" t="inlineStr">
        <is>
          <t>家居家装</t>
        </is>
      </c>
      <c r="L412" s="18" t="inlineStr">
        <is>
          <t>koc</t>
        </is>
      </c>
      <c r="M412" s="18" t="n">
        <v>0.3</v>
      </c>
      <c r="N412" s="18" t="n">
        <v>7.7</v>
      </c>
      <c r="O412" s="18" t="inlineStr">
        <is>
          <t>图文</t>
        </is>
      </c>
      <c r="P412" s="21" t="n">
        <v>0.86</v>
      </c>
      <c r="Q412" s="21" t="n">
        <v>0.08</v>
      </c>
      <c r="R412" s="21" t="n">
        <v>0.55</v>
      </c>
      <c r="S412" s="21" t="n">
        <v>0.25</v>
      </c>
      <c r="T412" s="21" t="n">
        <v>0.64</v>
      </c>
      <c r="U412" s="21" t="n">
        <v>0.13</v>
      </c>
      <c r="V412" s="22" t="n">
        <v>1174</v>
      </c>
      <c r="W412" s="18" t="n">
        <v>115</v>
      </c>
      <c r="X412" s="18" t="n">
        <v>600</v>
      </c>
      <c r="Y412" s="18">
        <f>X412*1.1</f>
        <v/>
      </c>
      <c r="Z412" s="20">
        <f>Y412/V412</f>
        <v/>
      </c>
      <c r="AA412" s="20">
        <f>Y412/W412</f>
        <v/>
      </c>
      <c r="AB412" s="18" t="n"/>
      <c r="AC412" s="18" t="n"/>
      <c r="AD412" s="18" t="n"/>
      <c r="AE412" s="18" t="n"/>
    </row>
    <row r="413">
      <c r="A413" s="18" t="n"/>
      <c r="B413" s="18" t="n"/>
      <c r="C413" s="17" t="n">
        <v>46099</v>
      </c>
      <c r="D413" s="18" t="inlineStr">
        <is>
          <t>品牌</t>
        </is>
      </c>
      <c r="E413" s="18" t="inlineStr">
        <is>
          <t>Cindy</t>
        </is>
      </c>
      <c r="F413" s="122" t="n"/>
      <c r="G413" s="122" t="inlineStr">
        <is>
          <t>https://pgy.xiaohongshu.com/solar/pre-trade/blogger-detail/6882e5c6000000001e03cd80?track_id=kolSimilar_77d0c7ed463146fcbe2cd2fb972d6000&amp;source=Advertiser_Similar_Kol</t>
        </is>
      </c>
      <c r="H413" s="122" t="inlineStr">
        <is>
          <t>https://www.xiaohongshu.com/user/profile/6882e5c6000000001e03cd80</t>
        </is>
      </c>
      <c r="I413" s="18" t="inlineStr">
        <is>
          <t>Cindy___</t>
        </is>
      </c>
      <c r="J413" s="18" t="n"/>
      <c r="K413" s="18" t="inlineStr">
        <is>
          <t>家居家装</t>
        </is>
      </c>
      <c r="L413" s="18" t="inlineStr">
        <is>
          <t>koc</t>
        </is>
      </c>
      <c r="M413" s="18" t="n">
        <v>0.2</v>
      </c>
      <c r="N413" s="18" t="n">
        <v>1.9</v>
      </c>
      <c r="O413" s="18" t="inlineStr">
        <is>
          <t>图文</t>
        </is>
      </c>
      <c r="P413" s="21" t="n">
        <v>0.6899999999999999</v>
      </c>
      <c r="Q413" s="21" t="n">
        <v>0.15</v>
      </c>
      <c r="R413" s="21" t="n">
        <v>0.46</v>
      </c>
      <c r="S413" s="21" t="n">
        <v>0.25</v>
      </c>
      <c r="T413" s="21" t="n">
        <v>0.46</v>
      </c>
      <c r="U413" s="21" t="n">
        <v>0.16</v>
      </c>
      <c r="V413" s="22" t="n">
        <v>1107</v>
      </c>
      <c r="W413" s="18" t="n">
        <v>178</v>
      </c>
      <c r="X413" s="18" t="n">
        <v>390</v>
      </c>
      <c r="Y413" s="18">
        <f>X413*1.1</f>
        <v/>
      </c>
      <c r="Z413" s="20">
        <f>Y413/V413</f>
        <v/>
      </c>
      <c r="AA413" s="20">
        <f>Y413/W413</f>
        <v/>
      </c>
      <c r="AB413" s="18" t="n"/>
      <c r="AC413" s="18" t="n"/>
      <c r="AD413" s="18" t="n"/>
      <c r="AE413" s="18" t="n"/>
    </row>
    <row r="414">
      <c r="A414" s="18" t="n"/>
      <c r="B414" s="18" t="n"/>
      <c r="C414" s="17" t="n">
        <v>46099</v>
      </c>
      <c r="D414" s="18" t="inlineStr">
        <is>
          <t>品牌</t>
        </is>
      </c>
      <c r="E414" s="18" t="inlineStr">
        <is>
          <t>一袋番茄酱吖🍅</t>
        </is>
      </c>
      <c r="F414" s="122" t="n"/>
      <c r="G414" s="122" t="inlineStr">
        <is>
          <t>https://pgy.xiaohongshu.com/solar/pre-trade/blogger-detail/5fd3778e0000000001004dfe?track_id=kolSimilar_77d0c7ed463146fcbe2cd2fb972d6000&amp;source=Advertiser_Similar_Kol</t>
        </is>
      </c>
      <c r="H414" s="122" t="inlineStr">
        <is>
          <t>https://www.xiaohongshu.com/user/profile/5fd3778e0000000001004dfe</t>
        </is>
      </c>
      <c r="I414" s="18" t="inlineStr">
        <is>
          <t>fq222999</t>
        </is>
      </c>
      <c r="J414" s="18" t="n"/>
      <c r="K414" s="18" t="inlineStr">
        <is>
          <t>家居家装</t>
        </is>
      </c>
      <c r="L414" s="18" t="inlineStr">
        <is>
          <t>koc</t>
        </is>
      </c>
      <c r="M414" s="18" t="n">
        <v>0.3</v>
      </c>
      <c r="N414" s="18" t="n">
        <v>5.9</v>
      </c>
      <c r="O414" s="18" t="inlineStr">
        <is>
          <t>图文</t>
        </is>
      </c>
      <c r="P414" s="21" t="n">
        <v>0.72</v>
      </c>
      <c r="Q414" s="21" t="n">
        <v>0.05</v>
      </c>
      <c r="R414" s="21" t="n">
        <v>0.53</v>
      </c>
      <c r="S414" s="21" t="n">
        <v>0.32</v>
      </c>
      <c r="T414" s="21" t="n">
        <v>0.65</v>
      </c>
      <c r="U414" s="21" t="n">
        <v>0.13</v>
      </c>
      <c r="V414" s="22" t="n">
        <v>1742</v>
      </c>
      <c r="W414" s="18" t="n">
        <v>199</v>
      </c>
      <c r="X414" s="18" t="n">
        <v>500</v>
      </c>
      <c r="Y414" s="18">
        <f>X414*1.1</f>
        <v/>
      </c>
      <c r="Z414" s="20">
        <f>Y414/V414</f>
        <v/>
      </c>
      <c r="AA414" s="20">
        <f>Y414/W414</f>
        <v/>
      </c>
      <c r="AB414" s="18" t="n"/>
      <c r="AC414" s="18" t="n"/>
      <c r="AD414" s="18" t="n"/>
      <c r="AE414" s="18" t="n"/>
    </row>
    <row r="415">
      <c r="A415" s="37" t="inlineStr">
        <is>
          <t>以下为3月19日新提报</t>
        </is>
      </c>
      <c r="B415" s="18" t="n"/>
      <c r="C415" s="17" t="n"/>
      <c r="D415" s="18" t="n"/>
      <c r="E415" s="18" t="n"/>
      <c r="F415" s="122" t="n"/>
      <c r="G415" s="122" t="n"/>
      <c r="H415" s="122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20" t="n"/>
      <c r="AA415" s="20" t="n"/>
      <c r="AB415" s="18" t="n"/>
      <c r="AC415" s="18" t="n"/>
      <c r="AD415" s="18" t="n"/>
      <c r="AE415" s="18" t="n"/>
    </row>
    <row r="416">
      <c r="A416" s="18" t="n"/>
      <c r="B416" s="18" t="n"/>
      <c r="C416" s="17" t="n">
        <v>46100</v>
      </c>
      <c r="D416" s="18" t="inlineStr">
        <is>
          <t>品牌</t>
        </is>
      </c>
      <c r="E416" s="18" t="inlineStr">
        <is>
          <t>Yoyo的日记本📔</t>
        </is>
      </c>
      <c r="F416" s="122" t="n"/>
      <c r="G416" s="122" t="inlineStr">
        <is>
          <t>https://pgy.xiaohongshu.com/solar/pre-trade/blogger-detail/5d77430a000000000101b81f?track_id=kolSimilar_032e389fecaa425a8d32e120dc50999b&amp;source=Advertiser_Kol</t>
        </is>
      </c>
      <c r="H416" s="122" t="inlineStr">
        <is>
          <t>https://www.xiaohongshu.com/user/profile/5d77430a000000000101b81f</t>
        </is>
      </c>
      <c r="I416" s="18" t="n">
        <v>364354516</v>
      </c>
      <c r="J416" s="18" t="n"/>
      <c r="K416" s="18" t="inlineStr">
        <is>
          <t>家居家装</t>
        </is>
      </c>
      <c r="L416" s="18" t="inlineStr">
        <is>
          <t>koc</t>
        </is>
      </c>
      <c r="M416" s="18" t="n">
        <v>0.2</v>
      </c>
      <c r="N416" s="18" t="n">
        <v>5.6</v>
      </c>
      <c r="O416" s="18" t="inlineStr">
        <is>
          <t>图文</t>
        </is>
      </c>
      <c r="P416" s="21" t="n">
        <v>0.79</v>
      </c>
      <c r="Q416" s="21" t="n">
        <v>0.1</v>
      </c>
      <c r="R416" s="21" t="n">
        <v>0.5600000000000001</v>
      </c>
      <c r="S416" s="21" t="n">
        <v>0.24</v>
      </c>
      <c r="T416" s="21" t="n">
        <v>0.54</v>
      </c>
      <c r="U416" s="21" t="n">
        <v>0.14</v>
      </c>
      <c r="V416" s="18" t="n">
        <v>927</v>
      </c>
      <c r="W416" s="18" t="n">
        <v>52</v>
      </c>
      <c r="X416" s="18" t="n">
        <v>450</v>
      </c>
      <c r="Y416" s="18">
        <f>X416*1.1</f>
        <v/>
      </c>
      <c r="Z416" s="20">
        <f>Y416/V416</f>
        <v/>
      </c>
      <c r="AA416" s="20">
        <f>Y416/W416</f>
        <v/>
      </c>
      <c r="AB416" s="18" t="n"/>
      <c r="AC416" s="18" t="n"/>
      <c r="AD416" s="18" t="n"/>
      <c r="AE416" s="18" t="n"/>
    </row>
    <row r="417">
      <c r="A417" s="18" t="n"/>
      <c r="B417" s="18" t="n"/>
      <c r="C417" s="17" t="n">
        <v>46100</v>
      </c>
      <c r="D417" s="18" t="inlineStr">
        <is>
          <t>品牌</t>
        </is>
      </c>
      <c r="E417" s="18" t="inlineStr">
        <is>
          <t>轶翎家</t>
        </is>
      </c>
      <c r="F417" s="122" t="n"/>
      <c r="G417" s="122" t="inlineStr">
        <is>
          <t>https://pgy.xiaohongshu.com/solar/pre-trade/blogger-detail/6432cb4700000000290118f6?track_id=kolSimilar_032e389fecaa425a8d32e120dc50999b&amp;source=Advertiser_Kol</t>
        </is>
      </c>
      <c r="H417" s="122" t="inlineStr">
        <is>
          <t>https://www.xiaohongshu.com/user/profile/6432cb4700000000290118f6</t>
        </is>
      </c>
      <c r="I417" s="18" t="n">
        <v>9601914082</v>
      </c>
      <c r="J417" s="18" t="n"/>
      <c r="K417" s="18" t="inlineStr">
        <is>
          <t>家居家装</t>
        </is>
      </c>
      <c r="L417" s="18" t="inlineStr">
        <is>
          <t>koc</t>
        </is>
      </c>
      <c r="M417" s="18" t="n">
        <v>0.3</v>
      </c>
      <c r="N417" s="18" t="n">
        <v>5</v>
      </c>
      <c r="O417" s="18" t="inlineStr">
        <is>
          <t>图文</t>
        </is>
      </c>
      <c r="P417" s="21" t="n">
        <v>0.83</v>
      </c>
      <c r="Q417" s="21" t="n">
        <v>0.06</v>
      </c>
      <c r="R417" s="21" t="n">
        <v>0.66</v>
      </c>
      <c r="S417" s="21" t="n">
        <v>0.19</v>
      </c>
      <c r="T417" s="21" t="n">
        <v>0.62</v>
      </c>
      <c r="U417" s="21" t="n">
        <v>0.14</v>
      </c>
      <c r="V417" s="22" t="n">
        <v>4713</v>
      </c>
      <c r="W417" s="18" t="n">
        <v>398</v>
      </c>
      <c r="X417" s="18" t="n">
        <v>500</v>
      </c>
      <c r="Y417" s="18">
        <f>X417*1.1</f>
        <v/>
      </c>
      <c r="Z417" s="20">
        <f>Y417/V417</f>
        <v/>
      </c>
      <c r="AA417" s="20">
        <f>Y417/W417</f>
        <v/>
      </c>
      <c r="AB417" s="18" t="n"/>
      <c r="AC417" s="18" t="n"/>
      <c r="AD417" s="18" t="n"/>
      <c r="AE417" s="18" t="n"/>
    </row>
    <row r="418">
      <c r="A418" s="18" t="n"/>
      <c r="B418" s="18" t="n"/>
      <c r="C418" s="17" t="n">
        <v>46100</v>
      </c>
      <c r="D418" s="18" t="inlineStr">
        <is>
          <t>品牌</t>
        </is>
      </c>
      <c r="E418" s="18" t="inlineStr">
        <is>
          <t>豆汀妈妈装修日记</t>
        </is>
      </c>
      <c r="F418" s="122" t="n"/>
      <c r="G418" s="122" t="inlineStr">
        <is>
          <t>https://pgy.xiaohongshu.com/solar/pre-trade/blogger-detail/5926f0f450c4b45ab48d214f?track_id=kolSimilar_032e389fecaa425a8d32e120dc50999b&amp;source=Advertiser_Kol</t>
        </is>
      </c>
      <c r="H418" s="122" t="inlineStr">
        <is>
          <t>https://www.xiaohongshu.com/user/profile/5926f0f450c4b45ab48d214f</t>
        </is>
      </c>
      <c r="I418" s="18" t="n">
        <v>609535975</v>
      </c>
      <c r="J418" s="18" t="n"/>
      <c r="K418" s="18" t="inlineStr">
        <is>
          <t>家居家装</t>
        </is>
      </c>
      <c r="L418" s="18" t="inlineStr">
        <is>
          <t>koc</t>
        </is>
      </c>
      <c r="M418" s="18" t="n">
        <v>0.2</v>
      </c>
      <c r="N418" s="18" t="n">
        <v>2.3</v>
      </c>
      <c r="O418" s="18" t="inlineStr">
        <is>
          <t>图文</t>
        </is>
      </c>
      <c r="P418" s="21" t="n">
        <v>0.71</v>
      </c>
      <c r="Q418" s="21" t="n">
        <v>0.11</v>
      </c>
      <c r="R418" s="21" t="n">
        <v>0.53</v>
      </c>
      <c r="S418" s="21" t="n">
        <v>0.25</v>
      </c>
      <c r="T418" s="21" t="n">
        <v>0.59</v>
      </c>
      <c r="U418" s="21" t="n">
        <v>0.13</v>
      </c>
      <c r="V418" s="18" t="n">
        <v>857</v>
      </c>
      <c r="W418" s="18" t="n">
        <v>71</v>
      </c>
      <c r="X418" s="18" t="n">
        <v>260</v>
      </c>
      <c r="Y418" s="18">
        <f>X418*1.1</f>
        <v/>
      </c>
      <c r="Z418" s="20">
        <f>Y418/V418</f>
        <v/>
      </c>
      <c r="AA418" s="20">
        <f>Y418/W418</f>
        <v/>
      </c>
      <c r="AB418" s="18" t="n"/>
      <c r="AC418" s="18" t="n"/>
      <c r="AD418" s="18" t="n"/>
      <c r="AE418" s="18" t="n"/>
    </row>
    <row r="419">
      <c r="A419" s="18" t="n"/>
      <c r="B419" s="18" t="n"/>
      <c r="C419" s="17" t="n">
        <v>46100</v>
      </c>
      <c r="D419" s="18" t="inlineStr">
        <is>
          <t>品牌</t>
        </is>
      </c>
      <c r="E419" s="18" t="inlineStr">
        <is>
          <t>小怡同学的家</t>
        </is>
      </c>
      <c r="F419" s="122" t="n"/>
      <c r="G419" s="122" t="inlineStr">
        <is>
          <t>https://pgy.xiaohongshu.com/solar/pre-trade/blogger-detail/6108c02b000000000100967a?track_id=kolSimilar_032e389fecaa425a8d32e120dc50999b&amp;source=Advertiser_Kol</t>
        </is>
      </c>
      <c r="H419" s="122" t="inlineStr">
        <is>
          <t>https://www.xiaohongshu.com/user/profile/6108c02b000000000100967a</t>
        </is>
      </c>
      <c r="I419" s="18" t="n">
        <v>2741333054</v>
      </c>
      <c r="J419" s="18" t="n"/>
      <c r="K419" s="18" t="inlineStr">
        <is>
          <t>家居家装</t>
        </is>
      </c>
      <c r="L419" s="18" t="inlineStr">
        <is>
          <t>koc</t>
        </is>
      </c>
      <c r="M419" s="18" t="n">
        <v>0.6</v>
      </c>
      <c r="N419" s="18" t="n">
        <v>10.3</v>
      </c>
      <c r="O419" s="18" t="inlineStr">
        <is>
          <t>图文</t>
        </is>
      </c>
      <c r="P419" s="21" t="n">
        <v>0.89</v>
      </c>
      <c r="Q419" s="21" t="n">
        <v>0.09</v>
      </c>
      <c r="R419" s="21" t="n">
        <v>0.61</v>
      </c>
      <c r="S419" s="21" t="n">
        <v>0.21</v>
      </c>
      <c r="T419" s="21" t="n">
        <v>0.65</v>
      </c>
      <c r="U419" s="21" t="n">
        <v>0.16</v>
      </c>
      <c r="V419" s="22" t="n">
        <v>6558</v>
      </c>
      <c r="W419" s="18" t="n">
        <v>594</v>
      </c>
      <c r="X419" s="18" t="n">
        <v>1880</v>
      </c>
      <c r="Y419" s="18">
        <f>X419*1.1</f>
        <v/>
      </c>
      <c r="Z419" s="20">
        <f>Y419/V419</f>
        <v/>
      </c>
      <c r="AA419" s="20">
        <f>Y419/W419</f>
        <v/>
      </c>
      <c r="AB419" s="18" t="n"/>
      <c r="AC419" s="18" t="n"/>
      <c r="AD419" s="18" t="n"/>
      <c r="AE419" s="18" t="n"/>
    </row>
    <row r="420">
      <c r="A420" s="18" t="n"/>
      <c r="B420" s="18" t="n"/>
      <c r="C420" s="17" t="n">
        <v>46100</v>
      </c>
      <c r="D420" s="18" t="inlineStr">
        <is>
          <t>品牌</t>
        </is>
      </c>
      <c r="E420" s="18" t="inlineStr">
        <is>
          <t>你的益达</t>
        </is>
      </c>
      <c r="F420" s="122" t="n"/>
      <c r="G420" s="122" t="inlineStr">
        <is>
          <t>https://pgy.xiaohongshu.com/solar/pre-trade/blogger-detail/5ca93e000000000011017c64?track_id=kolSimilar_fb7e5cc258924fce8045cc4aadb8dc02&amp;source=Advertiser_Kol</t>
        </is>
      </c>
      <c r="H420" s="122" t="inlineStr">
        <is>
          <t>https://www.xiaohongshu.com/user/profile/5ca93e000000000011017c64</t>
        </is>
      </c>
      <c r="I420" s="18" t="n">
        <v>439536334</v>
      </c>
      <c r="J420" s="18" t="n"/>
      <c r="K420" s="18" t="inlineStr">
        <is>
          <t>家居家装</t>
        </is>
      </c>
      <c r="L420" s="18" t="inlineStr">
        <is>
          <t>koc</t>
        </is>
      </c>
      <c r="M420" s="18" t="n">
        <v>0.2</v>
      </c>
      <c r="N420" s="18" t="n">
        <v>3.5</v>
      </c>
      <c r="O420" s="18" t="inlineStr">
        <is>
          <t>图文</t>
        </is>
      </c>
      <c r="P420" s="21" t="n">
        <v>0.8100000000000001</v>
      </c>
      <c r="Q420" s="21" t="n">
        <v>0.04</v>
      </c>
      <c r="R420" s="21" t="n">
        <v>0.51</v>
      </c>
      <c r="S420" s="21" t="n">
        <v>0.25</v>
      </c>
      <c r="T420" s="21" t="n">
        <v>0.55</v>
      </c>
      <c r="U420" s="21" t="n">
        <v>0.16</v>
      </c>
      <c r="V420" s="18" t="n">
        <v>4900</v>
      </c>
      <c r="W420" s="18" t="n">
        <v>350</v>
      </c>
      <c r="X420" s="18" t="n">
        <v>800</v>
      </c>
      <c r="Y420" s="18">
        <f>X420*1.1</f>
        <v/>
      </c>
      <c r="Z420" s="20">
        <f>Y420/V420</f>
        <v/>
      </c>
      <c r="AA420" s="20">
        <f>Y420/W420</f>
        <v/>
      </c>
      <c r="AB420" s="18" t="n"/>
      <c r="AC420" s="18" t="n"/>
      <c r="AD420" s="18" t="n"/>
      <c r="AE420" s="18" t="n"/>
    </row>
    <row r="421">
      <c r="A421" s="18" t="n"/>
      <c r="B421" s="18" t="n"/>
      <c r="C421" s="17" t="n">
        <v>46100</v>
      </c>
      <c r="D421" s="18" t="inlineStr">
        <is>
          <t>品牌</t>
        </is>
      </c>
      <c r="E421" s="18" t="inlineStr">
        <is>
          <t>恬恬圈</t>
        </is>
      </c>
      <c r="F421" s="122" t="n"/>
      <c r="G421" s="122" t="inlineStr">
        <is>
          <t>https://pgy.xiaohongshu.com/solar/pre-trade/blogger-detail/582d061850c4b4270363405a?track_id=kolSimilar_fb7e5cc258924fce8045cc4aadb8dc02&amp;source=Advertiser_Kol</t>
        </is>
      </c>
      <c r="H421" s="122" t="inlineStr">
        <is>
          <t>https://www.xiaohongshu.com/user/profile/582d061850c4b4270363405a</t>
        </is>
      </c>
      <c r="I421" s="18" t="n">
        <v>108569177</v>
      </c>
      <c r="J421" s="18" t="n"/>
      <c r="K421" s="18" t="inlineStr">
        <is>
          <t>家居家装</t>
        </is>
      </c>
      <c r="L421" s="18" t="inlineStr">
        <is>
          <t>koc</t>
        </is>
      </c>
      <c r="M421" s="18" t="n">
        <v>0.1</v>
      </c>
      <c r="N421" s="18" t="n">
        <v>3.7</v>
      </c>
      <c r="O421" s="18" t="inlineStr">
        <is>
          <t>图文</t>
        </is>
      </c>
      <c r="P421" s="21" t="n">
        <v>0.82</v>
      </c>
      <c r="Q421" s="21" t="n">
        <v>0.07000000000000001</v>
      </c>
      <c r="R421" s="21" t="n">
        <v>0.59</v>
      </c>
      <c r="S421" s="21" t="n">
        <v>0.23</v>
      </c>
      <c r="T421" s="21" t="n">
        <v>0.64</v>
      </c>
      <c r="U421" s="21" t="n">
        <v>0.13</v>
      </c>
      <c r="V421" s="22" t="n">
        <v>1903</v>
      </c>
      <c r="W421" s="18" t="n">
        <v>206</v>
      </c>
      <c r="X421" s="18" t="n">
        <v>350</v>
      </c>
      <c r="Y421" s="18">
        <f>X421*1.1</f>
        <v/>
      </c>
      <c r="Z421" s="20">
        <f>Y421/V421</f>
        <v/>
      </c>
      <c r="AA421" s="20">
        <f>Y421/W421</f>
        <v/>
      </c>
      <c r="AB421" s="18" t="n"/>
      <c r="AC421" s="18" t="n"/>
      <c r="AD421" s="18" t="n"/>
      <c r="AE421" s="18" t="n"/>
    </row>
    <row r="422">
      <c r="A422" s="18" t="n"/>
      <c r="B422" s="18" t="n"/>
      <c r="C422" s="17" t="n">
        <v>46100</v>
      </c>
      <c r="D422" s="18" t="inlineStr">
        <is>
          <t>品牌</t>
        </is>
      </c>
      <c r="E422" s="18" t="inlineStr">
        <is>
          <t>哩的家</t>
        </is>
      </c>
      <c r="F422" s="122" t="n"/>
      <c r="G422" s="122" t="inlineStr">
        <is>
          <t>https://pgy.xiaohongshu.com/solar/pre-trade/blogger-detail/674d7b20000000001d02c11c?track_id=kolSimilar_fb7e5cc258924fce8045cc4aadb8dc02&amp;source=Advertiser_Kol</t>
        </is>
      </c>
      <c r="H422" s="122" t="inlineStr">
        <is>
          <t>https://www.xiaohongshu.com/user/profile/674d7b20000000001d02c11c</t>
        </is>
      </c>
      <c r="I422" s="18" t="inlineStr">
        <is>
          <t>Zsui1021</t>
        </is>
      </c>
      <c r="J422" s="18" t="n"/>
      <c r="K422" s="18" t="inlineStr">
        <is>
          <t>家居家装</t>
        </is>
      </c>
      <c r="L422" s="18" t="inlineStr">
        <is>
          <t>koc</t>
        </is>
      </c>
      <c r="M422" s="18" t="n">
        <v>0.2</v>
      </c>
      <c r="N422" s="18" t="n">
        <v>3.7</v>
      </c>
      <c r="O422" s="18" t="inlineStr">
        <is>
          <t>图文</t>
        </is>
      </c>
      <c r="P422" s="21" t="n">
        <v>0.88</v>
      </c>
      <c r="Q422" s="21" t="n">
        <v>0.08</v>
      </c>
      <c r="R422" s="21" t="n">
        <v>0.55</v>
      </c>
      <c r="S422" s="21" t="n">
        <v>0.25</v>
      </c>
      <c r="T422" s="21" t="n">
        <v>0.61</v>
      </c>
      <c r="U422" s="21" t="n">
        <v>0.13</v>
      </c>
      <c r="V422" s="22" t="n">
        <v>2245</v>
      </c>
      <c r="W422" s="18" t="n">
        <v>169</v>
      </c>
      <c r="X422" s="18" t="n">
        <v>1500</v>
      </c>
      <c r="Y422" s="18">
        <f>X422*1.1</f>
        <v/>
      </c>
      <c r="Z422" s="20">
        <f>Y422/V422</f>
        <v/>
      </c>
      <c r="AA422" s="20">
        <f>Y422/W422</f>
        <v/>
      </c>
      <c r="AB422" s="18" t="n"/>
      <c r="AC422" s="18" t="n"/>
      <c r="AD422" s="18" t="n"/>
      <c r="AE422" s="18" t="n"/>
    </row>
    <row r="423">
      <c r="A423" s="18" t="n"/>
      <c r="B423" s="18" t="n"/>
      <c r="C423" s="17" t="n">
        <v>46100</v>
      </c>
      <c r="D423" s="18" t="inlineStr">
        <is>
          <t>品牌</t>
        </is>
      </c>
      <c r="E423" s="18" t="inlineStr">
        <is>
          <t>饼饼的house</t>
        </is>
      </c>
      <c r="F423" s="122" t="n"/>
      <c r="G423" s="122" t="inlineStr">
        <is>
          <t>https://pgy.xiaohongshu.com/solar/pre-trade/blogger-detail/662f160c000000000700702e?track_id=kolMatch_e6d78e722cd3414a9b0d3543dd51ed5e&amp;source=Advertiser_Kol</t>
        </is>
      </c>
      <c r="H423" s="122" t="inlineStr">
        <is>
          <t>https://www.xiaohongshu.com/user/profile/662f160c000000000700702e</t>
        </is>
      </c>
      <c r="I423" s="18" t="n">
        <v>11413954609</v>
      </c>
      <c r="J423" s="18" t="n"/>
      <c r="K423" s="18" t="inlineStr">
        <is>
          <t>家居家装</t>
        </is>
      </c>
      <c r="L423" s="18" t="inlineStr">
        <is>
          <t>koc</t>
        </is>
      </c>
      <c r="M423" s="18" t="n">
        <v>0.5</v>
      </c>
      <c r="N423" s="18" t="n">
        <v>17.5</v>
      </c>
      <c r="O423" s="18" t="inlineStr">
        <is>
          <t>图文</t>
        </is>
      </c>
      <c r="P423" s="21" t="n">
        <v>0.84</v>
      </c>
      <c r="Q423" s="21" t="n">
        <v>0.09</v>
      </c>
      <c r="R423" s="21" t="n">
        <v>0.5600000000000001</v>
      </c>
      <c r="S423" s="21" t="n">
        <v>0.23</v>
      </c>
      <c r="T423" s="21" t="n">
        <v>0.53</v>
      </c>
      <c r="U423" s="21" t="n">
        <v>0.15</v>
      </c>
      <c r="V423" s="22" t="n">
        <v>2474</v>
      </c>
      <c r="W423" s="18" t="n">
        <v>158</v>
      </c>
      <c r="X423" s="18" t="n">
        <v>1000</v>
      </c>
      <c r="Y423" s="18">
        <f>X423*1.1</f>
        <v/>
      </c>
      <c r="Z423" s="20">
        <f>Y423/V423</f>
        <v/>
      </c>
      <c r="AA423" s="20">
        <f>Y423/W423</f>
        <v/>
      </c>
      <c r="AB423" s="18" t="n"/>
      <c r="AC423" s="18" t="n"/>
      <c r="AD423" s="18" t="n"/>
      <c r="AE423" s="18" t="n"/>
    </row>
    <row r="424">
      <c r="A424" s="18" t="n"/>
      <c r="B424" s="18" t="n"/>
      <c r="C424" s="17" t="n">
        <v>46100</v>
      </c>
      <c r="D424" s="18" t="inlineStr">
        <is>
          <t>品牌</t>
        </is>
      </c>
      <c r="E424" s="18" t="inlineStr">
        <is>
          <t>浆果Hygge</t>
        </is>
      </c>
      <c r="F424" s="122" t="n"/>
      <c r="G424" s="122" t="inlineStr">
        <is>
          <t>https://pgy.xiaohongshu.com/solar/pre-trade/blogger-detail/603db003000000000100b55e?track_id=kolMatch_e6d78e722cd3414a9b0d3543dd51ed5e&amp;source=Advertiser_Kol</t>
        </is>
      </c>
      <c r="H424" s="122" t="inlineStr">
        <is>
          <t>https://www.xiaohongshu.com/user/profile/603db003000000000100b55e</t>
        </is>
      </c>
      <c r="I424" s="18" t="inlineStr">
        <is>
          <t>Hyggent</t>
        </is>
      </c>
      <c r="J424" s="18" t="n"/>
      <c r="K424" s="18" t="inlineStr">
        <is>
          <t>家居家装</t>
        </is>
      </c>
      <c r="L424" s="18" t="inlineStr">
        <is>
          <t>koc</t>
        </is>
      </c>
      <c r="M424" s="18" t="n">
        <v>0.1</v>
      </c>
      <c r="N424" s="18" t="n">
        <v>3.7</v>
      </c>
      <c r="O424" s="18" t="inlineStr">
        <is>
          <t>图文</t>
        </is>
      </c>
      <c r="P424" s="21" t="n">
        <v>0.74</v>
      </c>
      <c r="Q424" s="21" t="n">
        <v>0.06</v>
      </c>
      <c r="R424" s="21" t="n">
        <v>0.51</v>
      </c>
      <c r="S424" s="21" t="n">
        <v>0.31</v>
      </c>
      <c r="T424" s="21" t="n">
        <v>0.65</v>
      </c>
      <c r="U424" s="21" t="n">
        <v>0.12</v>
      </c>
      <c r="V424" s="22" t="n">
        <v>5408</v>
      </c>
      <c r="W424" s="18" t="n">
        <v>671</v>
      </c>
      <c r="X424" s="18" t="n">
        <v>320</v>
      </c>
      <c r="Y424" s="18">
        <f>X424*1.1</f>
        <v/>
      </c>
      <c r="Z424" s="20">
        <f>Y424/V424</f>
        <v/>
      </c>
      <c r="AA424" s="20">
        <f>Y424/W424</f>
        <v/>
      </c>
      <c r="AB424" s="18" t="n"/>
      <c r="AC424" s="18" t="n"/>
      <c r="AD424" s="18" t="n"/>
      <c r="AE424" s="18" t="n"/>
    </row>
    <row r="425">
      <c r="A425" s="18" t="n"/>
      <c r="B425" s="18" t="n"/>
      <c r="C425" s="17" t="n">
        <v>46100</v>
      </c>
      <c r="D425" s="18" t="inlineStr">
        <is>
          <t>品牌</t>
        </is>
      </c>
      <c r="E425" s="18" t="inlineStr">
        <is>
          <t>图图小小搬新家</t>
        </is>
      </c>
      <c r="F425" s="122" t="n"/>
      <c r="G425" s="122" t="inlineStr">
        <is>
          <t>https://pgy.xiaohongshu.com/solar/pre-trade/blogger-detail/66068688000000000600fd72?track_id=kolMatch_e6d78e722cd3414a9b0d3543dd51ed5e&amp;source=Advertiser_Kol</t>
        </is>
      </c>
      <c r="H425" s="122" t="inlineStr">
        <is>
          <t>https://www.xiaohongshu.com/user/profile/66068688000000000600fd72</t>
        </is>
      </c>
      <c r="I425" s="18" t="n">
        <v>18064301515</v>
      </c>
      <c r="J425" s="18" t="n"/>
      <c r="K425" s="18" t="inlineStr">
        <is>
          <t>家居家装</t>
        </is>
      </c>
      <c r="L425" s="18" t="inlineStr">
        <is>
          <t>koc</t>
        </is>
      </c>
      <c r="M425" s="18" t="n">
        <v>0.5</v>
      </c>
      <c r="N425" s="18" t="n">
        <v>3.8</v>
      </c>
      <c r="O425" s="18" t="inlineStr">
        <is>
          <t>图文</t>
        </is>
      </c>
      <c r="P425" s="21" t="n">
        <v>0.82</v>
      </c>
      <c r="Q425" s="21" t="n">
        <v>0.08</v>
      </c>
      <c r="R425" s="21" t="n">
        <v>0.59</v>
      </c>
      <c r="S425" s="21" t="n">
        <v>0.23</v>
      </c>
      <c r="T425" s="21" t="n">
        <v>0.67</v>
      </c>
      <c r="U425" s="21" t="n">
        <v>0.14</v>
      </c>
      <c r="V425" s="22" t="n">
        <v>6645</v>
      </c>
      <c r="W425" s="18" t="n">
        <v>453</v>
      </c>
      <c r="X425" s="18" t="n">
        <v>1200</v>
      </c>
      <c r="Y425" s="18">
        <f>X425*1.1</f>
        <v/>
      </c>
      <c r="Z425" s="20">
        <f>Y425/V425</f>
        <v/>
      </c>
      <c r="AA425" s="20">
        <f>Y425/W425</f>
        <v/>
      </c>
      <c r="AB425" s="18" t="n"/>
      <c r="AC425" s="18" t="n"/>
      <c r="AD425" s="18" t="n"/>
      <c r="AE425" s="18" t="n"/>
    </row>
    <row r="426">
      <c r="A426" s="18" t="n"/>
      <c r="B426" s="18" t="n"/>
      <c r="C426" s="17" t="n">
        <v>46100</v>
      </c>
      <c r="D426" s="18" t="inlineStr">
        <is>
          <t>品牌</t>
        </is>
      </c>
      <c r="E426" s="18" t="inlineStr">
        <is>
          <t>冻梨.中古风的家（软装中）</t>
        </is>
      </c>
      <c r="F426" s="122" t="n"/>
      <c r="G426" s="122" t="inlineStr">
        <is>
          <t>https://pgy.xiaohongshu.com/solar/pre-trade/blogger-detail/5d0a4d800000000016039582?track_id=kolMatch_e6d78e722cd3414a9b0d3543dd51ed5e&amp;source=Advertiser_Kol</t>
        </is>
      </c>
      <c r="H426" s="122" t="inlineStr">
        <is>
          <t>https://www.xiaohongshu.com/user/profile/5d0a4d800000000016039582</t>
        </is>
      </c>
      <c r="I426" s="18" t="inlineStr">
        <is>
          <t>DNE208</t>
        </is>
      </c>
      <c r="J426" s="18" t="n"/>
      <c r="K426" s="18" t="inlineStr">
        <is>
          <t>家居家装</t>
        </is>
      </c>
      <c r="L426" s="18" t="inlineStr">
        <is>
          <t>koc</t>
        </is>
      </c>
      <c r="M426" s="18" t="n">
        <v>0.4</v>
      </c>
      <c r="N426" s="18" t="n">
        <v>6.2</v>
      </c>
      <c r="O426" s="18" t="inlineStr">
        <is>
          <t>图文</t>
        </is>
      </c>
      <c r="P426" s="21" t="n">
        <v>0.79</v>
      </c>
      <c r="Q426" s="21" t="n">
        <v>0.06</v>
      </c>
      <c r="R426" s="21" t="n">
        <v>0.54</v>
      </c>
      <c r="S426" s="21" t="n">
        <v>0.27</v>
      </c>
      <c r="T426" s="21" t="n">
        <v>0.58</v>
      </c>
      <c r="U426" s="21" t="n">
        <v>0.2</v>
      </c>
      <c r="V426" s="22" t="n">
        <v>1040</v>
      </c>
      <c r="W426" s="18" t="n">
        <v>43</v>
      </c>
      <c r="X426" s="18" t="n">
        <v>270</v>
      </c>
      <c r="Y426" s="18">
        <f>X426*1.1</f>
        <v/>
      </c>
      <c r="Z426" s="20">
        <f>Y426/V426</f>
        <v/>
      </c>
      <c r="AA426" s="20">
        <f>Y426/W426</f>
        <v/>
      </c>
      <c r="AB426" s="18" t="n"/>
      <c r="AC426" s="18" t="n"/>
      <c r="AD426" s="18" t="n"/>
      <c r="AE426" s="18" t="n"/>
    </row>
    <row r="427">
      <c r="A427" s="18" t="n"/>
      <c r="B427" s="18" t="n"/>
      <c r="C427" s="17" t="n">
        <v>46100</v>
      </c>
      <c r="D427" s="18" t="inlineStr">
        <is>
          <t>品牌</t>
        </is>
      </c>
      <c r="E427" s="18" t="inlineStr">
        <is>
          <t>猪宝崽</t>
        </is>
      </c>
      <c r="F427" s="122" t="n"/>
      <c r="G427" s="122" t="inlineStr">
        <is>
          <t>https://pgy.xiaohongshu.com/solar/pre-trade/blogger-detail/5e1004680000000001005829?track_id=kolMatch_e6d78e722cd3414a9b0d3543dd51ed5e&amp;source=Advertiser_Kol</t>
        </is>
      </c>
      <c r="H427" s="122" t="inlineStr">
        <is>
          <t>https://www.xiaohongshu.com/user/profile/5e1004680000000001005829</t>
        </is>
      </c>
      <c r="I427" s="18" t="inlineStr">
        <is>
          <t>Pandaaaa103</t>
        </is>
      </c>
      <c r="J427" s="18" t="n"/>
      <c r="K427" s="18" t="inlineStr">
        <is>
          <t>家居家装</t>
        </is>
      </c>
      <c r="L427" s="18" t="inlineStr">
        <is>
          <t>koc</t>
        </is>
      </c>
      <c r="M427" s="18" t="n">
        <v>0.1</v>
      </c>
      <c r="N427" s="18" t="n">
        <v>3.2</v>
      </c>
      <c r="O427" s="18" t="inlineStr">
        <is>
          <t>图文</t>
        </is>
      </c>
      <c r="P427" s="21" t="n">
        <v>0.84</v>
      </c>
      <c r="Q427" s="21" t="n">
        <v>0.05</v>
      </c>
      <c r="R427" s="21" t="n">
        <v>0.57</v>
      </c>
      <c r="S427" s="21" t="n">
        <v>0.29</v>
      </c>
      <c r="T427" s="21" t="n">
        <v>0.7</v>
      </c>
      <c r="U427" s="21" t="n">
        <v>0.14</v>
      </c>
      <c r="V427" s="22" t="n">
        <v>2612</v>
      </c>
      <c r="W427" s="18" t="n">
        <v>263</v>
      </c>
      <c r="X427" s="18" t="n">
        <v>300</v>
      </c>
      <c r="Y427" s="18">
        <f>X427*1.1</f>
        <v/>
      </c>
      <c r="Z427" s="20">
        <f>Y427/V427</f>
        <v/>
      </c>
      <c r="AA427" s="20">
        <f>Y427/W427</f>
        <v/>
      </c>
      <c r="AB427" s="18" t="n"/>
      <c r="AC427" s="18" t="n"/>
      <c r="AD427" s="18" t="n"/>
      <c r="AE427" s="18" t="n"/>
    </row>
    <row r="428">
      <c r="A428" s="18" t="n"/>
      <c r="B428" s="18" t="n"/>
      <c r="C428" s="17" t="n">
        <v>46100</v>
      </c>
      <c r="D428" s="18" t="inlineStr">
        <is>
          <t>品牌</t>
        </is>
      </c>
      <c r="E428" s="18" t="inlineStr">
        <is>
          <t>卷女士的白房子</t>
        </is>
      </c>
      <c r="F428" s="122" t="n"/>
      <c r="G428" s="122" t="inlineStr">
        <is>
          <t>https://pgy.xiaohongshu.com/solar/pre-trade/blogger-detail/5db3f93c0000000001006765?track_id=kolMatch_e6d78e722cd3414a9b0d3543dd51ed5e&amp;source=Advertiser_Kol</t>
        </is>
      </c>
      <c r="H428" s="122" t="inlineStr">
        <is>
          <t>https://www.xiaohongshu.com/user/profile/5db3f93c0000000001006765</t>
        </is>
      </c>
      <c r="I428" s="18" t="n">
        <v>590082260</v>
      </c>
      <c r="J428" s="18" t="n"/>
      <c r="K428" s="18" t="inlineStr">
        <is>
          <t>家居家装</t>
        </is>
      </c>
      <c r="L428" s="18" t="inlineStr">
        <is>
          <t>koc</t>
        </is>
      </c>
      <c r="M428" s="18" t="n">
        <v>0.3</v>
      </c>
      <c r="N428" s="18" t="n">
        <v>5.9</v>
      </c>
      <c r="O428" s="18" t="inlineStr">
        <is>
          <t>图文</t>
        </is>
      </c>
      <c r="P428" s="21" t="n">
        <v>0.8100000000000001</v>
      </c>
      <c r="Q428" s="21" t="n">
        <v>0.06</v>
      </c>
      <c r="R428" s="21" t="n">
        <v>0.53</v>
      </c>
      <c r="S428" s="21" t="n">
        <v>0.3</v>
      </c>
      <c r="T428" s="21" t="n">
        <v>0.65</v>
      </c>
      <c r="U428" s="21" t="n">
        <v>0.13</v>
      </c>
      <c r="V428" s="22" t="n">
        <v>2345</v>
      </c>
      <c r="W428" s="18" t="n">
        <v>78</v>
      </c>
      <c r="X428" s="18" t="n">
        <v>800</v>
      </c>
      <c r="Y428" s="18">
        <f>X428*1.1</f>
        <v/>
      </c>
      <c r="Z428" s="20">
        <f>Y428/V428</f>
        <v/>
      </c>
      <c r="AA428" s="20">
        <f>Y428/W428</f>
        <v/>
      </c>
      <c r="AB428" s="18" t="n"/>
      <c r="AC428" s="18" t="n"/>
      <c r="AD428" s="18" t="n"/>
      <c r="AE428" s="18" t="n"/>
    </row>
    <row r="429">
      <c r="A429" s="37" t="inlineStr">
        <is>
          <t>以下为3月20日新提报</t>
        </is>
      </c>
      <c r="B429" s="18" t="n"/>
      <c r="C429" s="17" t="n"/>
      <c r="D429" s="17" t="n"/>
      <c r="E429" s="18" t="n"/>
      <c r="F429" s="122" t="n"/>
      <c r="G429" s="122" t="n"/>
      <c r="H429" s="122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20" t="n"/>
      <c r="AA429" s="20" t="n"/>
      <c r="AB429" s="18" t="n"/>
      <c r="AC429" s="18" t="n"/>
      <c r="AD429" s="18" t="n"/>
      <c r="AE429" s="18" t="n"/>
    </row>
    <row r="430">
      <c r="A430" s="18" t="n"/>
      <c r="B430" s="18" t="n"/>
      <c r="C430" s="17" t="n">
        <v>46101</v>
      </c>
      <c r="D430" s="18" t="inlineStr">
        <is>
          <t>品牌</t>
        </is>
      </c>
      <c r="E430" s="18" t="inlineStr">
        <is>
          <t>小欧聊聊家电</t>
        </is>
      </c>
      <c r="F430" s="122" t="n"/>
      <c r="G430" s="122" t="inlineStr">
        <is>
          <t>https://pgy.xiaohongshu.com/solar/pre-trade/blogger-detail/650ea51500000000120078d8?track_id=kolSimilar_013b5b6b9f08455f857f489ec61dcdb8&amp;source=Advertiser_Kol</t>
        </is>
      </c>
      <c r="H430" s="122" t="inlineStr">
        <is>
          <t>https://www.xiaohongshu.com/user/profile/650ea51500000000120078d8</t>
        </is>
      </c>
      <c r="I430" s="18" t="n">
        <v>7717333344</v>
      </c>
      <c r="J430" s="18" t="n"/>
      <c r="K430" s="18" t="inlineStr">
        <is>
          <t>家居家装</t>
        </is>
      </c>
      <c r="L430" s="18" t="inlineStr">
        <is>
          <t>koc</t>
        </is>
      </c>
      <c r="M430" s="18" t="n">
        <v>1.5</v>
      </c>
      <c r="N430" s="18" t="n">
        <v>20.6</v>
      </c>
      <c r="O430" s="18" t="inlineStr">
        <is>
          <t>图文</t>
        </is>
      </c>
      <c r="P430" s="21" t="n">
        <v>0.57</v>
      </c>
      <c r="Q430" s="21" t="n">
        <v>0.09</v>
      </c>
      <c r="R430" s="21" t="n">
        <v>0.41</v>
      </c>
      <c r="S430" s="21" t="n">
        <v>0.27</v>
      </c>
      <c r="T430" s="21" t="n">
        <v>0.39</v>
      </c>
      <c r="U430" s="21" t="n">
        <v>0.21</v>
      </c>
      <c r="V430" s="22" t="n">
        <v>11197</v>
      </c>
      <c r="W430" s="18" t="n">
        <v>317</v>
      </c>
      <c r="X430" s="18" t="n">
        <v>2500</v>
      </c>
      <c r="Y430" s="18">
        <f>X430*1.1</f>
        <v/>
      </c>
      <c r="Z430" s="20">
        <f>Y430/V430</f>
        <v/>
      </c>
      <c r="AA430" s="20">
        <f>Y430/W430</f>
        <v/>
      </c>
      <c r="AB430" s="18" t="n"/>
      <c r="AC430" s="18" t="n"/>
      <c r="AD430" s="18" t="n"/>
      <c r="AE430" s="18" t="n"/>
    </row>
    <row r="431">
      <c r="A431" s="18" t="n"/>
      <c r="B431" s="18" t="n"/>
      <c r="C431" s="17" t="n">
        <v>46101</v>
      </c>
      <c r="D431" s="18" t="inlineStr">
        <is>
          <t>品牌</t>
        </is>
      </c>
      <c r="E431" s="18" t="inlineStr">
        <is>
          <t>草莓酱🍓</t>
        </is>
      </c>
      <c r="F431" s="122" t="n"/>
      <c r="G431" s="122" t="inlineStr">
        <is>
          <t>https://pgy.xiaohongshu.com/solar/pre-trade/blogger-detail/66114bc5000000000b033b98?track_id=kolSimilar_e4f9fed00191488eb4c3db3b580a1ab9&amp;source=Advertiser_Kol</t>
        </is>
      </c>
      <c r="H431" s="122" t="inlineStr">
        <is>
          <t>https://www.xiaohongshu.com/user/profile/66114bc5000000000b033b98</t>
        </is>
      </c>
      <c r="I431" s="18" t="n">
        <v>42149532896</v>
      </c>
      <c r="J431" s="18" t="n"/>
      <c r="K431" s="18" t="inlineStr">
        <is>
          <t>家居家装</t>
        </is>
      </c>
      <c r="L431" s="18" t="inlineStr">
        <is>
          <t>koc</t>
        </is>
      </c>
      <c r="M431" s="18" t="n">
        <v>0.1</v>
      </c>
      <c r="N431" s="18" t="n">
        <v>3.6</v>
      </c>
      <c r="O431" s="18" t="inlineStr">
        <is>
          <t>图文</t>
        </is>
      </c>
      <c r="P431" s="21" t="n">
        <v>0.84</v>
      </c>
      <c r="Q431" s="21" t="n">
        <v>0.1</v>
      </c>
      <c r="R431" s="21" t="n">
        <v>0.63</v>
      </c>
      <c r="S431" s="21" t="n">
        <v>0.1</v>
      </c>
      <c r="T431" s="21" t="n">
        <v>0.16</v>
      </c>
      <c r="U431" s="21" t="n">
        <v>0.39</v>
      </c>
      <c r="V431" s="22" t="n">
        <v>1030</v>
      </c>
      <c r="W431" s="18" t="n">
        <v>102</v>
      </c>
      <c r="X431" s="18" t="n">
        <v>300</v>
      </c>
      <c r="Y431" s="18">
        <f>X431*1.1</f>
        <v/>
      </c>
      <c r="Z431" s="20">
        <f>Y431/V431</f>
        <v/>
      </c>
      <c r="AA431" s="20">
        <f>Y431/W431</f>
        <v/>
      </c>
      <c r="AB431" s="18" t="n"/>
      <c r="AC431" s="18" t="n"/>
      <c r="AD431" s="18" t="n"/>
      <c r="AE431" s="18" t="n"/>
    </row>
    <row r="432">
      <c r="A432" s="18" t="n"/>
      <c r="B432" s="18" t="n"/>
      <c r="C432" s="17" t="n">
        <v>46101</v>
      </c>
      <c r="D432" s="18" t="inlineStr">
        <is>
          <t>品牌</t>
        </is>
      </c>
      <c r="E432" s="18" t="inlineStr">
        <is>
          <t>璇璇悬</t>
        </is>
      </c>
      <c r="F432" s="122" t="n"/>
      <c r="G432" s="122" t="inlineStr">
        <is>
          <t>https://pgy.xiaohongshu.com/solar/pre-trade/blogger-detail/5432b9ced6e4a978331c1f2a?track_id=kolSimilar_e4f9fed00191488eb4c3db3b580a1ab9&amp;source=Advertiser_Kol</t>
        </is>
      </c>
      <c r="H432" s="122" t="inlineStr">
        <is>
          <t>https://www.xiaohongshu.com/user/profile/5432b9ced6e4a978331c1f2a</t>
        </is>
      </c>
      <c r="I432" s="18" t="inlineStr">
        <is>
          <t>TuRn4eVeR</t>
        </is>
      </c>
      <c r="J432" s="18" t="n"/>
      <c r="K432" s="18" t="inlineStr">
        <is>
          <t>家居家装</t>
        </is>
      </c>
      <c r="L432" s="18" t="inlineStr">
        <is>
          <t>koc</t>
        </is>
      </c>
      <c r="M432" s="18" t="n">
        <v>0.2</v>
      </c>
      <c r="N432" s="18" t="n">
        <v>5.1</v>
      </c>
      <c r="O432" s="18" t="inlineStr">
        <is>
          <t>图文</t>
        </is>
      </c>
      <c r="P432" s="21" t="n">
        <v>0.82</v>
      </c>
      <c r="Q432" s="21" t="n">
        <v>0.1</v>
      </c>
      <c r="R432" s="21" t="n">
        <v>0.57</v>
      </c>
      <c r="S432" s="21" t="n">
        <v>0.16</v>
      </c>
      <c r="T432" s="21" t="n">
        <v>0.28</v>
      </c>
      <c r="U432" s="21" t="n">
        <v>0.25</v>
      </c>
      <c r="V432" s="18" t="n">
        <v>937</v>
      </c>
      <c r="W432" s="18" t="n">
        <v>50</v>
      </c>
      <c r="X432" s="18" t="n">
        <v>300</v>
      </c>
      <c r="Y432" s="18">
        <f>X432*1.1</f>
        <v/>
      </c>
      <c r="Z432" s="20">
        <f>Y432/V432</f>
        <v/>
      </c>
      <c r="AA432" s="20">
        <f>Y432/W432</f>
        <v/>
      </c>
      <c r="AB432" s="18" t="n"/>
      <c r="AC432" s="18" t="n"/>
      <c r="AD432" s="18" t="n"/>
      <c r="AE432" s="18" t="n"/>
    </row>
    <row r="433">
      <c r="A433" s="18" t="n"/>
      <c r="B433" s="18" t="n"/>
      <c r="C433" s="17" t="n">
        <v>46101</v>
      </c>
      <c r="D433" s="18" t="inlineStr">
        <is>
          <t>品牌</t>
        </is>
      </c>
      <c r="E433" s="18" t="inlineStr">
        <is>
          <t>阿泽的家</t>
        </is>
      </c>
      <c r="F433" s="122" t="n"/>
      <c r="G433" s="122" t="inlineStr">
        <is>
          <t>https://pgy.xiaohongshu.com/solar/pre-trade/blogger-detail/67f1da8f000000000e011be7?track_id=kolSimilar_c1ec9582edbb4a8a8bb08a65eec8644a&amp;source=Advertiser_Kol</t>
        </is>
      </c>
      <c r="H433" s="122" t="inlineStr">
        <is>
          <t>https://www.xiaohongshu.com/user/profile/67f1da8f000000000e011be7</t>
        </is>
      </c>
      <c r="I433" s="18" t="n">
        <v>26765607993</v>
      </c>
      <c r="J433" s="18" t="n"/>
      <c r="K433" s="18" t="inlineStr">
        <is>
          <t>家居家装</t>
        </is>
      </c>
      <c r="L433" s="18" t="inlineStr">
        <is>
          <t>koc</t>
        </is>
      </c>
      <c r="M433" s="18" t="n">
        <v>0.1</v>
      </c>
      <c r="N433" s="18" t="n">
        <v>0.8</v>
      </c>
      <c r="O433" s="18" t="inlineStr">
        <is>
          <t>图文</t>
        </is>
      </c>
      <c r="P433" s="21" t="n">
        <v>0.84</v>
      </c>
      <c r="Q433" s="21" t="n">
        <v>0.1</v>
      </c>
      <c r="R433" s="21" t="n">
        <v>0.6</v>
      </c>
      <c r="S433" s="21" t="n">
        <v>0.16</v>
      </c>
      <c r="T433" s="21" t="n">
        <v>0.71</v>
      </c>
      <c r="U433" s="21" t="n">
        <v>0.1</v>
      </c>
      <c r="V433" s="22" t="n">
        <v>1638</v>
      </c>
      <c r="W433" s="18" t="n">
        <v>99</v>
      </c>
      <c r="X433" s="18" t="n">
        <v>300</v>
      </c>
      <c r="Y433" s="18">
        <f>X433*1.1</f>
        <v/>
      </c>
      <c r="Z433" s="20">
        <f>Y433/V433</f>
        <v/>
      </c>
      <c r="AA433" s="20">
        <f>Y433/W433</f>
        <v/>
      </c>
      <c r="AB433" s="18" t="n"/>
      <c r="AC433" s="18" t="n"/>
      <c r="AD433" s="18" t="n"/>
      <c r="AE433" s="18" t="n"/>
    </row>
    <row r="434">
      <c r="A434" s="18" t="n"/>
      <c r="B434" s="18" t="n"/>
      <c r="C434" s="17" t="n">
        <v>46101</v>
      </c>
      <c r="D434" s="18" t="inlineStr">
        <is>
          <t>品牌</t>
        </is>
      </c>
      <c r="E434" s="18" t="inlineStr">
        <is>
          <t>装墨白是三只猫</t>
        </is>
      </c>
      <c r="F434" s="122" t="n"/>
      <c r="G434" s="122" t="inlineStr">
        <is>
          <t>https://pgy.xiaohongshu.com/solar/pre-trade/blogger-detail/62b1884c000000001b02845e?track_id=kolSimilar_7de27e9505c84d8da9f6bc3bd0f7052d&amp;source=Advertiser_Kol</t>
        </is>
      </c>
      <c r="H434" s="122" t="inlineStr">
        <is>
          <t>https://www.xiaohongshu.com/user/profile/62b1884c000000001b02845e</t>
        </is>
      </c>
      <c r="I434" s="18" t="n">
        <v>6296435562</v>
      </c>
      <c r="J434" s="18" t="n"/>
      <c r="K434" s="18" t="inlineStr">
        <is>
          <t>家居家装</t>
        </is>
      </c>
      <c r="L434" s="18" t="inlineStr">
        <is>
          <t>koc</t>
        </is>
      </c>
      <c r="M434" s="18" t="n">
        <v>2</v>
      </c>
      <c r="N434" s="18" t="n">
        <v>12.8</v>
      </c>
      <c r="O434" s="18" t="inlineStr">
        <is>
          <t>图文</t>
        </is>
      </c>
      <c r="P434" s="21" t="n">
        <v>0.8</v>
      </c>
      <c r="Q434" s="21" t="n">
        <v>0.15</v>
      </c>
      <c r="R434" s="21" t="n">
        <v>0.33</v>
      </c>
      <c r="S434" s="21" t="n">
        <v>0.25</v>
      </c>
      <c r="T434" s="21" t="n">
        <v>0.36</v>
      </c>
      <c r="U434" s="21" t="n">
        <v>0.17</v>
      </c>
      <c r="V434" s="22" t="n">
        <v>5946</v>
      </c>
      <c r="W434" s="18" t="n">
        <v>560</v>
      </c>
      <c r="X434" s="18" t="n">
        <v>3000</v>
      </c>
      <c r="Y434" s="18">
        <f>X434*1.1</f>
        <v/>
      </c>
      <c r="Z434" s="20">
        <f>Y434/V434</f>
        <v/>
      </c>
      <c r="AA434" s="20">
        <f>Y434/W434</f>
        <v/>
      </c>
      <c r="AB434" s="18" t="n"/>
      <c r="AC434" s="18" t="n"/>
      <c r="AD434" s="18" t="n"/>
      <c r="AE434" s="18" t="n"/>
    </row>
    <row r="435">
      <c r="A435" s="18" t="n"/>
      <c r="B435" s="18" t="n"/>
      <c r="C435" s="17" t="n">
        <v>46101</v>
      </c>
      <c r="D435" s="18" t="inlineStr">
        <is>
          <t>品牌</t>
        </is>
      </c>
      <c r="E435" s="18" t="inlineStr">
        <is>
          <t>阿宁测评日记</t>
        </is>
      </c>
      <c r="F435" s="122" t="n"/>
      <c r="G435" s="122" t="inlineStr">
        <is>
          <t>https://pgy.xiaohongshu.com/solar/pre-trade/blogger-detail/6755b46d00000000010032eb?track_id=kolSimilar_7fdcd60241cc49c1a47554718ccfebeb&amp;source=Advertiser_Kol</t>
        </is>
      </c>
      <c r="H435" s="122" t="inlineStr">
        <is>
          <t>https://www.xiaohongshu.com/user/profile/6755b46d00000000010032eb</t>
        </is>
      </c>
      <c r="I435" s="18" t="n">
        <v>11564299516</v>
      </c>
      <c r="J435" s="18" t="n"/>
      <c r="K435" s="18" t="inlineStr">
        <is>
          <t>家居家装</t>
        </is>
      </c>
      <c r="L435" s="18" t="inlineStr">
        <is>
          <t>koc</t>
        </is>
      </c>
      <c r="M435" s="18" t="n">
        <v>1.1</v>
      </c>
      <c r="N435" s="18" t="n">
        <v>19</v>
      </c>
      <c r="O435" s="18" t="inlineStr">
        <is>
          <t>图文</t>
        </is>
      </c>
      <c r="P435" s="21" t="n">
        <v>0.5600000000000001</v>
      </c>
      <c r="Q435" s="21" t="n">
        <v>0.17</v>
      </c>
      <c r="R435" s="21" t="n">
        <v>0.22</v>
      </c>
      <c r="S435" s="21" t="n">
        <v>0.18</v>
      </c>
      <c r="T435" s="21" t="n">
        <v>0.19</v>
      </c>
      <c r="U435" s="21" t="n">
        <v>0.22</v>
      </c>
      <c r="V435" s="22" t="n">
        <v>3472</v>
      </c>
      <c r="W435" s="18" t="n">
        <v>172</v>
      </c>
      <c r="X435" s="18" t="n">
        <v>2500</v>
      </c>
      <c r="Y435" s="18">
        <f>X435*1.1</f>
        <v/>
      </c>
      <c r="Z435" s="20">
        <f>Y435/V435</f>
        <v/>
      </c>
      <c r="AA435" s="20">
        <f>Y435/W435</f>
        <v/>
      </c>
      <c r="AB435" s="18" t="n"/>
      <c r="AC435" s="18" t="n"/>
      <c r="AD435" s="18" t="n"/>
      <c r="AE435" s="18" t="n"/>
    </row>
    <row r="436">
      <c r="A436" s="18" t="n"/>
      <c r="B436" s="18" t="n"/>
      <c r="C436" s="17" t="n">
        <v>46101</v>
      </c>
      <c r="D436" s="18" t="inlineStr">
        <is>
          <t>品牌</t>
        </is>
      </c>
      <c r="E436" s="18" t="inlineStr">
        <is>
          <t>猫小咪的家🏠</t>
        </is>
      </c>
      <c r="F436" s="122" t="n"/>
      <c r="G436" s="122" t="inlineStr">
        <is>
          <t>https://pgy.xiaohongshu.com/solar/pre-trade/blogger-detail/66fa1f36000000001d033cb7?track_id=kolSimilar_7fdcd60241cc49c1a47554718ccfebeb&amp;source=Advertiser_Kol</t>
        </is>
      </c>
      <c r="H436" s="122" t="inlineStr">
        <is>
          <t>https://www.xiaohongshu.com/user/profile/66fa1f36000000001d033cb7</t>
        </is>
      </c>
      <c r="I436" s="18" t="inlineStr">
        <is>
          <t>miao202503</t>
        </is>
      </c>
      <c r="J436" s="18" t="n"/>
      <c r="K436" s="18" t="inlineStr">
        <is>
          <t>家居家装</t>
        </is>
      </c>
      <c r="L436" s="18" t="inlineStr">
        <is>
          <t>koc</t>
        </is>
      </c>
      <c r="M436" s="18" t="n">
        <v>2</v>
      </c>
      <c r="N436" s="18" t="n">
        <v>25.1</v>
      </c>
      <c r="O436" s="18" t="inlineStr">
        <is>
          <t>图文</t>
        </is>
      </c>
      <c r="P436" s="21" t="n">
        <v>0.8100000000000001</v>
      </c>
      <c r="Q436" s="21" t="n">
        <v>0.32</v>
      </c>
      <c r="R436" s="21" t="n">
        <v>0.31</v>
      </c>
      <c r="S436" s="21" t="n">
        <v>0.16</v>
      </c>
      <c r="T436" s="21" t="n">
        <v>0.4</v>
      </c>
      <c r="U436" s="21" t="n">
        <v>0.17</v>
      </c>
      <c r="V436" s="22" t="n">
        <v>11091</v>
      </c>
      <c r="W436" s="18" t="n">
        <v>405</v>
      </c>
      <c r="X436" s="18" t="n">
        <v>2500</v>
      </c>
      <c r="Y436" s="18">
        <f>X436*1.1</f>
        <v/>
      </c>
      <c r="Z436" s="20">
        <f>Y436/V436</f>
        <v/>
      </c>
      <c r="AA436" s="20">
        <f>Y436/W436</f>
        <v/>
      </c>
      <c r="AB436" s="18" t="n"/>
      <c r="AC436" s="18" t="n"/>
      <c r="AD436" s="18" t="n"/>
      <c r="AE436" s="18" t="n"/>
    </row>
    <row r="437">
      <c r="A437" s="18" t="n"/>
      <c r="B437" s="18" t="n"/>
      <c r="C437" s="17" t="n">
        <v>46101</v>
      </c>
      <c r="D437" s="18" t="inlineStr">
        <is>
          <t>品牌</t>
        </is>
      </c>
      <c r="E437" s="18" t="inlineStr">
        <is>
          <t>抹茶pp的家（测评版）</t>
        </is>
      </c>
      <c r="F437" s="122" t="n"/>
      <c r="G437" s="122" t="inlineStr">
        <is>
          <t>https://pgy.xiaohongshu.com/solar/pre-trade/blogger-detail/5b1e46c94eacab13d1c8b97c?track_id=kolSimilar_1db6f42425f0414ca2d9cd4356be6036&amp;source=Advertiser_Kol</t>
        </is>
      </c>
      <c r="H437" s="122" t="inlineStr">
        <is>
          <t>https://www.xiaohongshu.com/user/profile/5b1e46c94eacab13d1c8b97c</t>
        </is>
      </c>
      <c r="I437" s="18" t="n">
        <v>425542946</v>
      </c>
      <c r="J437" s="18" t="n"/>
      <c r="K437" s="18" t="inlineStr">
        <is>
          <t>家居家装</t>
        </is>
      </c>
      <c r="L437" s="18" t="inlineStr">
        <is>
          <t>koc</t>
        </is>
      </c>
      <c r="M437" s="18" t="n">
        <v>1.6</v>
      </c>
      <c r="N437" s="18" t="n">
        <v>5.8</v>
      </c>
      <c r="O437" s="18" t="inlineStr">
        <is>
          <t>图文</t>
        </is>
      </c>
      <c r="P437" s="21" t="n">
        <v>0.83</v>
      </c>
      <c r="Q437" s="21" t="n">
        <v>0.11</v>
      </c>
      <c r="R437" s="21" t="n">
        <v>0.53</v>
      </c>
      <c r="S437" s="21" t="n">
        <v>0.1</v>
      </c>
      <c r="T437" s="21" t="n">
        <v>0.19</v>
      </c>
      <c r="U437" s="21" t="n">
        <v>0.4</v>
      </c>
      <c r="V437" s="22" t="n">
        <v>9116</v>
      </c>
      <c r="W437" s="22" t="n">
        <v>1154</v>
      </c>
      <c r="X437" s="18" t="n">
        <v>2000</v>
      </c>
      <c r="Y437" s="18">
        <f>X437*1.1</f>
        <v/>
      </c>
      <c r="Z437" s="20">
        <f>Y437/V437</f>
        <v/>
      </c>
      <c r="AA437" s="20">
        <f>Y437/W437</f>
        <v/>
      </c>
      <c r="AB437" s="18" t="n"/>
      <c r="AC437" s="18" t="n"/>
      <c r="AD437" s="18" t="n"/>
      <c r="AE437" s="18" t="n"/>
    </row>
    <row r="438">
      <c r="A438" s="18" t="n"/>
      <c r="B438" s="18" t="n"/>
      <c r="C438" s="17" t="n">
        <v>46101</v>
      </c>
      <c r="D438" s="18" t="inlineStr">
        <is>
          <t>品牌</t>
        </is>
      </c>
      <c r="E438" s="18" t="inlineStr">
        <is>
          <t>千予no千与千寻</t>
        </is>
      </c>
      <c r="F438" s="122" t="n"/>
      <c r="G438" s="122" t="inlineStr">
        <is>
          <t>https://pgy.xiaohongshu.com/solar/pre-trade/blogger-detail/59c0a26751783a0278e8c59c?track_id=kolSimilar_34a6216e46894f14811db04c0cc239de&amp;source=Advertiser_Kol</t>
        </is>
      </c>
      <c r="H438" s="122" t="inlineStr">
        <is>
          <t>https://www.xiaohongshu.com/user/profile/59c0a26751783a0278e8c59c</t>
        </is>
      </c>
      <c r="I438" s="18" t="n">
        <v>429162429</v>
      </c>
      <c r="J438" s="18" t="n"/>
      <c r="K438" s="18" t="inlineStr">
        <is>
          <t>家居家装</t>
        </is>
      </c>
      <c r="L438" s="18" t="inlineStr">
        <is>
          <t>koc</t>
        </is>
      </c>
      <c r="M438" s="18" t="n">
        <v>0.2</v>
      </c>
      <c r="N438" s="18" t="n">
        <v>3.5</v>
      </c>
      <c r="O438" s="18" t="inlineStr">
        <is>
          <t>图文</t>
        </is>
      </c>
      <c r="P438" s="21" t="n">
        <v>0.7</v>
      </c>
      <c r="Q438" s="21" t="n">
        <v>0.11</v>
      </c>
      <c r="R438" s="21" t="n">
        <v>0.57</v>
      </c>
      <c r="S438" s="21" t="n">
        <v>0.19</v>
      </c>
      <c r="T438" s="21" t="n">
        <v>0.58</v>
      </c>
      <c r="U438" s="21" t="n">
        <v>0.13</v>
      </c>
      <c r="V438" s="22" t="n">
        <v>1860</v>
      </c>
      <c r="W438" s="18" t="n">
        <v>149</v>
      </c>
      <c r="X438" s="18" t="n">
        <v>480</v>
      </c>
      <c r="Y438" s="18">
        <f>X438*1.1</f>
        <v/>
      </c>
      <c r="Z438" s="20">
        <f>Y438/V438</f>
        <v/>
      </c>
      <c r="AA438" s="20">
        <f>Y438/W438</f>
        <v/>
      </c>
      <c r="AB438" s="18" t="n"/>
      <c r="AC438" s="18" t="n"/>
      <c r="AD438" s="18" t="n"/>
      <c r="AE438" s="18" t="n"/>
    </row>
    <row r="439">
      <c r="A439" s="18" t="n"/>
      <c r="B439" s="18" t="n"/>
      <c r="C439" s="17" t="n">
        <v>46101</v>
      </c>
      <c r="D439" s="18" t="inlineStr">
        <is>
          <t>品牌</t>
        </is>
      </c>
      <c r="E439" s="18" t="inlineStr">
        <is>
          <t>跳跳糖。🍭</t>
        </is>
      </c>
      <c r="F439" s="122" t="n"/>
      <c r="G439" s="122" t="inlineStr">
        <is>
          <t>https://pgy.xiaohongshu.com/solar/pre-trade/blogger-detail/65337fca000000002a029291?track_id=kolSimilar_bbee699d9f614db89ed0fac7f4b60ed3&amp;source=Advertiser_Kol</t>
        </is>
      </c>
      <c r="H439" s="122" t="inlineStr">
        <is>
          <t>https://www.xiaohongshu.com/user/profile/65337fca000000002a029291</t>
        </is>
      </c>
      <c r="I439" s="18" t="inlineStr">
        <is>
          <t>Liwen91886</t>
        </is>
      </c>
      <c r="J439" s="18" t="n"/>
      <c r="K439" s="18" t="inlineStr">
        <is>
          <t>家居家装</t>
        </is>
      </c>
      <c r="L439" s="18" t="inlineStr">
        <is>
          <t>koc</t>
        </is>
      </c>
      <c r="M439" s="18" t="n">
        <v>0.7</v>
      </c>
      <c r="N439" s="18" t="n">
        <v>18.9</v>
      </c>
      <c r="O439" s="18" t="inlineStr">
        <is>
          <t>图文</t>
        </is>
      </c>
      <c r="P439" s="21" t="n">
        <v>0.72</v>
      </c>
      <c r="Q439" s="21" t="n">
        <v>0.07000000000000001</v>
      </c>
      <c r="R439" s="21" t="n">
        <v>0.46</v>
      </c>
      <c r="S439" s="21" t="n">
        <v>0.29</v>
      </c>
      <c r="T439" s="21" t="n">
        <v>0.39</v>
      </c>
      <c r="U439" s="21" t="n">
        <v>0.21</v>
      </c>
      <c r="V439" s="22" t="n">
        <v>5634</v>
      </c>
      <c r="W439" s="18" t="n">
        <v>319</v>
      </c>
      <c r="X439" s="18" t="n">
        <v>1800</v>
      </c>
      <c r="Y439" s="18">
        <f>X439*1.1</f>
        <v/>
      </c>
      <c r="Z439" s="20">
        <f>Y439/V439</f>
        <v/>
      </c>
      <c r="AA439" s="20">
        <f>Y439/W439</f>
        <v/>
      </c>
      <c r="AB439" s="18" t="n"/>
      <c r="AC439" s="18" t="n"/>
      <c r="AD439" s="18" t="n"/>
      <c r="AE439" s="18" t="n"/>
    </row>
    <row r="440">
      <c r="A440" s="18" t="n"/>
      <c r="B440" s="18" t="n"/>
      <c r="C440" s="17" t="n">
        <v>46101</v>
      </c>
      <c r="D440" s="18" t="inlineStr">
        <is>
          <t>品牌</t>
        </is>
      </c>
      <c r="E440" s="18" t="inlineStr">
        <is>
          <t>香香.的家</t>
        </is>
      </c>
      <c r="F440" s="122" t="n"/>
      <c r="G440" s="122" t="inlineStr">
        <is>
          <t>https://pgy.xiaohongshu.com/solar/pre-trade/blogger-detail/680a38f5000000000e01242f?track_id=kolSimilar_6c3a91249c7c403395e6867fdcd975a7&amp;source=Advertiser_Kol</t>
        </is>
      </c>
      <c r="H440" s="122" t="inlineStr">
        <is>
          <t>https://www.xiaohongshu.com/user/profile/680a38f5000000000e01242f</t>
        </is>
      </c>
      <c r="I440" s="18" t="n">
        <v>95373729744</v>
      </c>
      <c r="J440" s="18" t="n"/>
      <c r="K440" s="18" t="inlineStr">
        <is>
          <t>家居家装</t>
        </is>
      </c>
      <c r="L440" s="18" t="inlineStr">
        <is>
          <t>koc</t>
        </is>
      </c>
      <c r="M440" s="18" t="n">
        <v>0.1</v>
      </c>
      <c r="N440" s="18" t="n">
        <v>1.9</v>
      </c>
      <c r="O440" s="18" t="inlineStr">
        <is>
          <t>图文</t>
        </is>
      </c>
      <c r="P440" s="21" t="n">
        <v>0.84</v>
      </c>
      <c r="Q440" s="21" t="n">
        <v>0.16</v>
      </c>
      <c r="R440" s="21" t="n">
        <v>0.59</v>
      </c>
      <c r="S440" s="21" t="n">
        <v>0.16</v>
      </c>
      <c r="T440" s="21" t="n">
        <v>0.74</v>
      </c>
      <c r="U440" s="21" t="n">
        <v>0.08</v>
      </c>
      <c r="V440" s="22" t="n">
        <v>1201</v>
      </c>
      <c r="W440" s="18" t="n">
        <v>83</v>
      </c>
      <c r="X440" s="18" t="n">
        <v>500</v>
      </c>
      <c r="Y440" s="18">
        <f>X440*1.1</f>
        <v/>
      </c>
      <c r="Z440" s="20">
        <f>Y440/V440</f>
        <v/>
      </c>
      <c r="AA440" s="20">
        <f>Y440/W440</f>
        <v/>
      </c>
      <c r="AB440" s="18" t="n"/>
      <c r="AC440" s="18" t="n"/>
      <c r="AD440" s="18" t="n"/>
      <c r="AE440" s="18" t="n"/>
    </row>
    <row r="441">
      <c r="A441" s="18" t="n"/>
      <c r="B441" s="18" t="n"/>
      <c r="C441" s="17" t="n">
        <v>46101</v>
      </c>
      <c r="D441" s="18" t="inlineStr">
        <is>
          <t>品牌</t>
        </is>
      </c>
      <c r="E441" s="18" t="inlineStr">
        <is>
          <t>蓝飞丹</t>
        </is>
      </c>
      <c r="F441" s="122" t="n"/>
      <c r="G441" s="122" t="inlineStr">
        <is>
          <t>https://pgy.xiaohongshu.com/solar/pre-trade/blogger-detail/6379b31d000000001f01df33?track_id=kolSimilar_fbfeb5b558ec4f4ea68598399869bf26&amp;source=Advertiser_Kol</t>
        </is>
      </c>
      <c r="H441" s="122" t="inlineStr">
        <is>
          <t>https://www.xiaohongshu.com/user/profile/6379b31d000000001f01df33</t>
        </is>
      </c>
      <c r="I441" s="18" t="n">
        <v>5310306603</v>
      </c>
      <c r="J441" s="18" t="n"/>
      <c r="K441" s="18" t="inlineStr">
        <is>
          <t>家居家装</t>
        </is>
      </c>
      <c r="L441" s="18" t="inlineStr">
        <is>
          <t>koc</t>
        </is>
      </c>
      <c r="M441" s="18" t="n">
        <v>1.5</v>
      </c>
      <c r="N441" s="18" t="n">
        <v>8.9</v>
      </c>
      <c r="O441" s="18" t="inlineStr">
        <is>
          <t>图文</t>
        </is>
      </c>
      <c r="P441" s="21" t="n">
        <v>0.77</v>
      </c>
      <c r="Q441" s="21" t="n">
        <v>0.14</v>
      </c>
      <c r="R441" s="21" t="n">
        <v>0.22</v>
      </c>
      <c r="S441" s="21" t="n">
        <v>0.27</v>
      </c>
      <c r="T441" s="21" t="n">
        <v>0.2</v>
      </c>
      <c r="U441" s="21" t="n">
        <v>0.24</v>
      </c>
      <c r="V441" s="22" t="n">
        <v>1598</v>
      </c>
      <c r="W441" s="18" t="n">
        <v>19</v>
      </c>
      <c r="X441" s="18" t="n">
        <v>310</v>
      </c>
      <c r="Y441" s="18">
        <f>X441*1.1</f>
        <v/>
      </c>
      <c r="Z441" s="20">
        <f>Y441/V441</f>
        <v/>
      </c>
      <c r="AA441" s="20">
        <f>Y441/W441</f>
        <v/>
      </c>
      <c r="AB441" s="18" t="n"/>
      <c r="AC441" s="18" t="n"/>
      <c r="AD441" s="18" t="n"/>
      <c r="AE441" s="18" t="n"/>
    </row>
    <row r="442">
      <c r="A442" s="18" t="n"/>
      <c r="B442" s="18" t="n"/>
      <c r="C442" s="17" t="n">
        <v>46101</v>
      </c>
      <c r="D442" s="18" t="inlineStr">
        <is>
          <t>品牌</t>
        </is>
      </c>
      <c r="E442" s="18" t="inlineStr">
        <is>
          <t>你你你真太可爱了</t>
        </is>
      </c>
      <c r="F442" s="122" t="n"/>
      <c r="G442" s="122" t="inlineStr">
        <is>
          <t>https://pgy.xiaohongshu.com/solar/pre-trade/blogger-detail/60a74513000000000101ee4c?track_id=kolSimilar_0757f9a7d1394d319300407b55016ae9&amp;source=Advertiser_Kol</t>
        </is>
      </c>
      <c r="H442" s="122" t="inlineStr">
        <is>
          <t>https://www.xiaohongshu.com/user/profile/60a74513000000000101ee4c</t>
        </is>
      </c>
      <c r="I442" s="18" t="n">
        <v>2601635844</v>
      </c>
      <c r="J442" s="18" t="n"/>
      <c r="K442" s="18" t="inlineStr">
        <is>
          <t>家居家装</t>
        </is>
      </c>
      <c r="L442" s="18" t="inlineStr">
        <is>
          <t>koc</t>
        </is>
      </c>
      <c r="M442" s="18" t="n">
        <v>0.9</v>
      </c>
      <c r="N442" s="18" t="n">
        <v>4.8</v>
      </c>
      <c r="O442" s="18" t="inlineStr">
        <is>
          <t>图文</t>
        </is>
      </c>
      <c r="P442" s="21" t="n">
        <v>0.77</v>
      </c>
      <c r="Q442" s="21" t="n">
        <v>0.15</v>
      </c>
      <c r="R442" s="21" t="n">
        <v>0.2</v>
      </c>
      <c r="S442" s="21" t="n">
        <v>0.27</v>
      </c>
      <c r="T442" s="21" t="n">
        <v>0.2</v>
      </c>
      <c r="U442" s="21" t="n">
        <v>0.25</v>
      </c>
      <c r="V442" s="18" t="n">
        <v>789</v>
      </c>
      <c r="W442" s="18" t="n">
        <v>30</v>
      </c>
      <c r="X442" s="18" t="n">
        <v>300</v>
      </c>
      <c r="Y442" s="18">
        <f>X442*1.1</f>
        <v/>
      </c>
      <c r="Z442" s="20">
        <f>Y442/V442</f>
        <v/>
      </c>
      <c r="AA442" s="20">
        <f>Y442/W442</f>
        <v/>
      </c>
      <c r="AB442" s="18" t="n"/>
      <c r="AC442" s="18" t="n"/>
      <c r="AD442" s="18" t="n"/>
      <c r="AE442" s="18" t="n"/>
    </row>
    <row r="443">
      <c r="A443" s="18" t="n"/>
      <c r="B443" s="18" t="n"/>
      <c r="C443" s="17" t="n">
        <v>46101</v>
      </c>
      <c r="D443" s="18" t="inlineStr">
        <is>
          <t>品牌</t>
        </is>
      </c>
      <c r="E443" s="18" t="inlineStr">
        <is>
          <t>Yoyo不想撞名字</t>
        </is>
      </c>
      <c r="F443" s="122" t="n"/>
      <c r="G443" s="122" t="inlineStr">
        <is>
          <t>https://pgy.xiaohongshu.com/solar/pre-trade/blogger-detail/680d726f000000000a03f4d1?track_id=kolMatch_d799ae91abf847af8603caa9fff592b0&amp;source=Advertiser_Kol</t>
        </is>
      </c>
      <c r="H443" s="122" t="inlineStr">
        <is>
          <t>https://www.xiaohongshu.com/user/profile/680d726f000000000a03f4d1</t>
        </is>
      </c>
      <c r="I443" s="18" t="n">
        <v>95002424466</v>
      </c>
      <c r="J443" s="18" t="n"/>
      <c r="K443" s="18" t="inlineStr">
        <is>
          <t>家居家装</t>
        </is>
      </c>
      <c r="L443" s="18" t="inlineStr">
        <is>
          <t>koc</t>
        </is>
      </c>
      <c r="M443" s="18" t="n">
        <v>0.6</v>
      </c>
      <c r="N443" s="18" t="n">
        <v>3.1</v>
      </c>
      <c r="O443" s="18" t="inlineStr">
        <is>
          <t>图文</t>
        </is>
      </c>
      <c r="P443" s="21" t="n">
        <v>0.8</v>
      </c>
      <c r="Q443" s="21" t="n">
        <v>0.16</v>
      </c>
      <c r="R443" s="21" t="n">
        <v>0.19</v>
      </c>
      <c r="S443" s="21" t="n">
        <v>0.24</v>
      </c>
      <c r="T443" s="21" t="n">
        <v>0.15</v>
      </c>
      <c r="U443" s="21" t="n">
        <v>0.25</v>
      </c>
      <c r="V443" s="18" t="n">
        <v>604</v>
      </c>
      <c r="W443" s="18" t="n">
        <v>28</v>
      </c>
      <c r="X443" s="18" t="n">
        <v>300</v>
      </c>
      <c r="Y443" s="18">
        <f>X443*1.1</f>
        <v/>
      </c>
      <c r="Z443" s="20">
        <f>Y443/V443</f>
        <v/>
      </c>
      <c r="AA443" s="20">
        <f>Y443/W443</f>
        <v/>
      </c>
      <c r="AB443" s="18" t="n"/>
      <c r="AC443" s="18" t="n"/>
      <c r="AD443" s="18" t="n"/>
      <c r="AE443" s="18" t="n"/>
    </row>
    <row r="444">
      <c r="A444" s="18" t="n"/>
      <c r="B444" s="18" t="n"/>
      <c r="C444" s="17" t="n">
        <v>46101</v>
      </c>
      <c r="D444" s="18" t="inlineStr">
        <is>
          <t>品牌</t>
        </is>
      </c>
      <c r="E444" s="32" t="inlineStr">
        <is>
          <t>晓晓的装修日记</t>
        </is>
      </c>
      <c r="F444" s="122" t="n"/>
      <c r="G444" s="122" t="inlineStr">
        <is>
          <t>https://pgy.xiaohongshu.com/solar/pre-trade/blogger-detail/66781e1d000000000b030323?track_id=kolSimilar_1eb8a6e33812485da7d688d5368bb0ed&amp;source=Advertiser_Kol</t>
        </is>
      </c>
      <c r="H444" s="122" t="inlineStr">
        <is>
          <t>https://www.xiaohongshu.com/user/profile/66781e1d000000000b030323</t>
        </is>
      </c>
      <c r="I444" s="18" t="n">
        <v>26962690685</v>
      </c>
      <c r="J444" s="18" t="n"/>
      <c r="K444" s="18" t="inlineStr">
        <is>
          <t>家居家装</t>
        </is>
      </c>
      <c r="L444" s="18" t="inlineStr">
        <is>
          <t>koc</t>
        </is>
      </c>
      <c r="M444" s="18" t="n">
        <v>0.2</v>
      </c>
      <c r="N444" s="18" t="n">
        <v>2.4</v>
      </c>
      <c r="O444" s="18" t="inlineStr">
        <is>
          <t>图文</t>
        </is>
      </c>
      <c r="P444" s="21" t="n">
        <v>0.88</v>
      </c>
      <c r="Q444" s="21" t="n">
        <v>0.05</v>
      </c>
      <c r="R444" s="21" t="n">
        <v>0.79</v>
      </c>
      <c r="S444" s="21" t="n">
        <v>0.07000000000000001</v>
      </c>
      <c r="T444" s="21" t="n">
        <v>0.16</v>
      </c>
      <c r="U444" s="21" t="n">
        <v>0.44</v>
      </c>
      <c r="V444" s="22" t="n">
        <v>1315</v>
      </c>
      <c r="W444" s="18" t="n">
        <v>256</v>
      </c>
      <c r="X444" s="18" t="n">
        <v>300</v>
      </c>
      <c r="Y444" s="18">
        <f>X444*1.1</f>
        <v/>
      </c>
      <c r="Z444" s="20">
        <f>Y444/V444</f>
        <v/>
      </c>
      <c r="AA444" s="20">
        <f>Y444/W444</f>
        <v/>
      </c>
      <c r="AB444" s="18" t="n"/>
      <c r="AC444" s="18" t="n"/>
      <c r="AD444" s="18" t="n"/>
      <c r="AE444" s="18" t="n"/>
    </row>
    <row r="445">
      <c r="A445" s="18" t="n"/>
      <c r="B445" s="18" t="n"/>
      <c r="C445" s="17" t="n">
        <v>46101</v>
      </c>
      <c r="D445" s="18" t="inlineStr">
        <is>
          <t>品牌</t>
        </is>
      </c>
      <c r="E445" s="18" t="inlineStr">
        <is>
          <t>居家小欢喜</t>
        </is>
      </c>
      <c r="F445" s="122" t="n"/>
      <c r="G445" s="122" t="inlineStr">
        <is>
          <t>https://pgy.xiaohongshu.com/solar/pre-trade/blogger-detail/686cb593000000001d0098c8?track_id=kolSimilar_1eb8a6e33812485da7d688d5368bb0ed&amp;source=Advertiser_Kol</t>
        </is>
      </c>
      <c r="H445" s="122" t="inlineStr">
        <is>
          <t>https://www.xiaohongshu.com/user/profile/686cb593000000001d0098c8</t>
        </is>
      </c>
      <c r="I445" s="18" t="n">
        <v>95535362477</v>
      </c>
      <c r="J445" s="18" t="n"/>
      <c r="K445" s="18" t="inlineStr">
        <is>
          <t>家居家装</t>
        </is>
      </c>
      <c r="L445" s="18" t="inlineStr">
        <is>
          <t>koc</t>
        </is>
      </c>
      <c r="M445" s="18" t="n">
        <v>0.1</v>
      </c>
      <c r="N445" s="18" t="n">
        <v>1.2</v>
      </c>
      <c r="O445" s="18" t="inlineStr">
        <is>
          <t>图文</t>
        </is>
      </c>
      <c r="P445" s="21" t="n">
        <v>0.91</v>
      </c>
      <c r="Q445" s="21" t="n">
        <v>0.03</v>
      </c>
      <c r="R445" s="21" t="n">
        <v>0.92</v>
      </c>
      <c r="S445" s="21" t="n">
        <v>0.02</v>
      </c>
      <c r="T445" s="21" t="n">
        <v>0.09</v>
      </c>
      <c r="U445" s="21" t="n">
        <v>0.62</v>
      </c>
      <c r="V445" s="22" t="n">
        <v>1598</v>
      </c>
      <c r="W445" s="18" t="n">
        <v>93</v>
      </c>
      <c r="X445" s="18" t="n">
        <v>300</v>
      </c>
      <c r="Y445" s="18">
        <f>X445*1.1</f>
        <v/>
      </c>
      <c r="Z445" s="20">
        <f>Y445/V445</f>
        <v/>
      </c>
      <c r="AA445" s="20">
        <f>Y445/W445</f>
        <v/>
      </c>
      <c r="AB445" s="18" t="n"/>
      <c r="AC445" s="18" t="n"/>
      <c r="AD445" s="18" t="n"/>
      <c r="AE445" s="18" t="n"/>
    </row>
    <row r="446">
      <c r="A446" s="18" t="n"/>
      <c r="B446" s="18" t="n"/>
      <c r="C446" s="17" t="n">
        <v>46101</v>
      </c>
      <c r="D446" s="18" t="inlineStr">
        <is>
          <t>品牌</t>
        </is>
      </c>
      <c r="E446" s="18" t="inlineStr">
        <is>
          <t>是粥粥呀_</t>
        </is>
      </c>
      <c r="F446" s="122" t="n"/>
      <c r="G446" s="122" t="inlineStr">
        <is>
          <t>https://pgy.xiaohongshu.com/solar/pre-trade/blogger-detail/6579cc4200000000190104fb?track_id=kolSimilar_f2b7c64459d740b4a9c92ad26077597e&amp;source=Advertiser_Kol</t>
        </is>
      </c>
      <c r="H446" s="122" t="inlineStr">
        <is>
          <t>https://www.xiaohongshu.com/user/profile/6579cc4200000000190104fb</t>
        </is>
      </c>
      <c r="I446" s="18" t="n">
        <v>7922513282</v>
      </c>
      <c r="J446" s="18" t="n"/>
      <c r="K446" s="18" t="inlineStr">
        <is>
          <t>家居家装</t>
        </is>
      </c>
      <c r="L446" s="18" t="inlineStr">
        <is>
          <t>koc</t>
        </is>
      </c>
      <c r="M446" s="18" t="n">
        <v>0.3</v>
      </c>
      <c r="N446" s="18" t="n">
        <v>4.9</v>
      </c>
      <c r="O446" s="18" t="inlineStr">
        <is>
          <t>图文</t>
        </is>
      </c>
      <c r="P446" s="21" t="n">
        <v>0.85</v>
      </c>
      <c r="Q446" s="21" t="n">
        <v>0.06</v>
      </c>
      <c r="R446" s="21" t="n">
        <v>0.68</v>
      </c>
      <c r="S446" s="21" t="n">
        <v>0.19</v>
      </c>
      <c r="T446" s="21" t="n">
        <v>0.54</v>
      </c>
      <c r="U446" s="21" t="n">
        <v>0.24</v>
      </c>
      <c r="V446" s="22" t="n">
        <v>3556</v>
      </c>
      <c r="W446" s="18" t="n">
        <v>140</v>
      </c>
      <c r="X446" s="18" t="n">
        <v>999</v>
      </c>
      <c r="Y446" s="18">
        <f>X446*1.1</f>
        <v/>
      </c>
      <c r="Z446" s="20">
        <f>Y446/V446</f>
        <v/>
      </c>
      <c r="AA446" s="20">
        <f>Y446/W446</f>
        <v/>
      </c>
      <c r="AB446" s="18" t="n"/>
      <c r="AC446" s="18" t="n"/>
      <c r="AD446" s="18" t="n"/>
      <c r="AE446" s="18" t="n"/>
    </row>
    <row r="447">
      <c r="A447" s="18" t="n"/>
      <c r="B447" s="18" t="n"/>
      <c r="C447" s="17" t="n">
        <v>46101</v>
      </c>
      <c r="D447" s="18" t="inlineStr">
        <is>
          <t>品牌</t>
        </is>
      </c>
      <c r="E447" s="18" t="inlineStr">
        <is>
          <t>智选达人阿杰</t>
        </is>
      </c>
      <c r="F447" s="122" t="n"/>
      <c r="G447" s="122" t="inlineStr">
        <is>
          <t>https://pgy.xiaohongshu.com/solar/pre-trade/blogger-detail/6704d0e4000000001e00dbdf?track_id=kolSimilar_f2b7c64459d740b4a9c92ad26077597e&amp;source=Advertiser_Kol</t>
        </is>
      </c>
      <c r="H447" s="122" t="inlineStr">
        <is>
          <t>https://www.xiaohongshu.com/user/profile/6704d0e4000000001e00dbdf</t>
        </is>
      </c>
      <c r="I447" s="18" t="n">
        <v>11521700322</v>
      </c>
      <c r="J447" s="18" t="n"/>
      <c r="K447" s="18" t="inlineStr">
        <is>
          <t>家居家装</t>
        </is>
      </c>
      <c r="L447" s="18" t="inlineStr">
        <is>
          <t>koc</t>
        </is>
      </c>
      <c r="M447" s="18" t="n">
        <v>1.8</v>
      </c>
      <c r="N447" s="18" t="n">
        <v>4.9</v>
      </c>
      <c r="O447" s="18" t="inlineStr">
        <is>
          <t>图文</t>
        </is>
      </c>
      <c r="P447" s="21" t="n">
        <v>0.8</v>
      </c>
      <c r="Q447" s="21" t="n">
        <v>0.1</v>
      </c>
      <c r="R447" s="21" t="n">
        <v>0.3</v>
      </c>
      <c r="S447" s="21" t="n">
        <v>0.37</v>
      </c>
      <c r="T447" s="21" t="n">
        <v>0.25</v>
      </c>
      <c r="U447" s="21" t="n">
        <v>0.23</v>
      </c>
      <c r="V447" s="22" t="n">
        <v>12491</v>
      </c>
      <c r="W447" s="18" t="n">
        <v>493</v>
      </c>
      <c r="X447" s="18" t="n">
        <v>2500</v>
      </c>
      <c r="Y447" s="18">
        <f>X447*1.1</f>
        <v/>
      </c>
      <c r="Z447" s="20">
        <f>Y447/V447</f>
        <v/>
      </c>
      <c r="AA447" s="20">
        <f>Y447/W447</f>
        <v/>
      </c>
      <c r="AB447" s="18" t="n"/>
      <c r="AC447" s="18" t="n"/>
      <c r="AD447" s="18" t="n"/>
      <c r="AE447" s="18" t="n"/>
    </row>
    <row r="448">
      <c r="A448" s="18" t="n"/>
      <c r="B448" s="18" t="n"/>
      <c r="C448" s="17" t="n">
        <v>46101</v>
      </c>
      <c r="D448" s="18" t="inlineStr">
        <is>
          <t>品牌</t>
        </is>
      </c>
      <c r="E448" s="18" t="inlineStr">
        <is>
          <t>阿丹姐的家(装修中)</t>
        </is>
      </c>
      <c r="F448" s="122" t="n"/>
      <c r="G448" s="122" t="inlineStr">
        <is>
          <t>https://pgy.xiaohongshu.com/solar/pre-trade/blogger-detail/6857c3d2000000001e00bb6b?track_id=kolSimilar_2bc09894548e4108b55c4233fa35c94e&amp;source=Advertiser_Kol</t>
        </is>
      </c>
      <c r="H448" s="122" t="inlineStr">
        <is>
          <t>https://www.xiaohongshu.com/user/profile/6857c3d2000000001e00bb6b</t>
        </is>
      </c>
      <c r="I448" s="18" t="n">
        <v>42287795173</v>
      </c>
      <c r="J448" s="18" t="n"/>
      <c r="K448" s="18" t="inlineStr">
        <is>
          <t>家居家装</t>
        </is>
      </c>
      <c r="L448" s="18" t="inlineStr">
        <is>
          <t>koc</t>
        </is>
      </c>
      <c r="M448" s="18" t="n">
        <v>0.5</v>
      </c>
      <c r="N448" s="18" t="n">
        <v>4.8</v>
      </c>
      <c r="O448" s="18" t="inlineStr">
        <is>
          <t>图文</t>
        </is>
      </c>
      <c r="P448" s="21" t="n">
        <v>0.91</v>
      </c>
      <c r="Q448" s="21" t="n">
        <v>0.04</v>
      </c>
      <c r="R448" s="21" t="n">
        <v>0.45</v>
      </c>
      <c r="S448" s="21" t="n">
        <v>0.21</v>
      </c>
      <c r="T448" s="21" t="n">
        <v>0.21</v>
      </c>
      <c r="U448" s="21" t="n">
        <v>0.35</v>
      </c>
      <c r="V448" s="22" t="n">
        <v>2437</v>
      </c>
      <c r="W448" s="18" t="n">
        <v>164</v>
      </c>
      <c r="X448" s="18" t="n">
        <v>300</v>
      </c>
      <c r="Y448" s="18">
        <f>X448*1.1</f>
        <v/>
      </c>
      <c r="Z448" s="20">
        <f>Y448/V448</f>
        <v/>
      </c>
      <c r="AA448" s="20">
        <f>Y448/W448</f>
        <v/>
      </c>
      <c r="AB448" s="18" t="n"/>
      <c r="AC448" s="18" t="n"/>
      <c r="AD448" s="18" t="n"/>
      <c r="AE448" s="18" t="n"/>
    </row>
    <row r="449">
      <c r="A449" s="18" t="n"/>
      <c r="B449" s="18" t="n"/>
      <c r="C449" s="17" t="n">
        <v>46101</v>
      </c>
      <c r="D449" s="18" t="inlineStr">
        <is>
          <t>品牌</t>
        </is>
      </c>
      <c r="E449" s="18" t="inlineStr">
        <is>
          <t>苜蓿儿（硬装中）</t>
        </is>
      </c>
      <c r="F449" s="122" t="n"/>
      <c r="G449" s="122" t="inlineStr">
        <is>
          <t>https://pgy.xiaohongshu.com/solar/pre-trade/blogger-detail/5acac214e8ac2b505416be43?track_id=kolSimilar_2bc09894548e4108b55c4233fa35c94e&amp;source=Advertiser_Kol</t>
        </is>
      </c>
      <c r="H449" s="122" t="inlineStr">
        <is>
          <t>https://www.xiaohongshu.com/user/profile/5acac214e8ac2b505416be43</t>
        </is>
      </c>
      <c r="I449" s="18" t="inlineStr">
        <is>
          <t>L305987417</t>
        </is>
      </c>
      <c r="J449" s="18" t="n"/>
      <c r="K449" s="18" t="inlineStr">
        <is>
          <t>家居家装</t>
        </is>
      </c>
      <c r="L449" s="18" t="inlineStr">
        <is>
          <t>koc</t>
        </is>
      </c>
      <c r="M449" s="18" t="n">
        <v>0.3</v>
      </c>
      <c r="N449" s="18" t="n">
        <v>1.6</v>
      </c>
      <c r="O449" s="18" t="inlineStr">
        <is>
          <t>图文</t>
        </is>
      </c>
      <c r="P449" s="21" t="n">
        <v>0.86</v>
      </c>
      <c r="Q449" s="21" t="n">
        <v>0.08</v>
      </c>
      <c r="R449" s="21" t="n">
        <v>0.64</v>
      </c>
      <c r="S449" s="21" t="n">
        <v>0.1</v>
      </c>
      <c r="T449" s="21" t="n">
        <v>0.21</v>
      </c>
      <c r="U449" s="21" t="n">
        <v>0.43</v>
      </c>
      <c r="V449" s="18" t="n">
        <v>788</v>
      </c>
      <c r="W449" s="18" t="n">
        <v>118</v>
      </c>
      <c r="X449" s="18" t="n">
        <v>300</v>
      </c>
      <c r="Y449" s="18">
        <f>X449*1.1</f>
        <v/>
      </c>
      <c r="Z449" s="20">
        <f>Y449/V449</f>
        <v/>
      </c>
      <c r="AA449" s="20">
        <f>Y449/W449</f>
        <v/>
      </c>
      <c r="AB449" s="18" t="n"/>
      <c r="AC449" s="18" t="n"/>
      <c r="AD449" s="18" t="n"/>
      <c r="AE449" s="18" t="n"/>
    </row>
    <row r="450">
      <c r="A450" s="18" t="n"/>
      <c r="B450" s="18" t="n"/>
      <c r="C450" s="17" t="n">
        <v>46101</v>
      </c>
      <c r="D450" s="18" t="inlineStr">
        <is>
          <t>品牌</t>
        </is>
      </c>
      <c r="E450" s="18" t="inlineStr">
        <is>
          <t>梦之家</t>
        </is>
      </c>
      <c r="F450" s="122" t="n"/>
      <c r="G450" s="122" t="inlineStr">
        <is>
          <t>https://pgy.xiaohongshu.com/solar/pre-trade/blogger-detail/643e530e000000000e01f780?track_id=kolSimilar_b46f6156e0ef40f78512d15c8bcc4a26&amp;source=Advertiser_Kol</t>
        </is>
      </c>
      <c r="H450" s="122" t="inlineStr">
        <is>
          <t>https://www.xiaohongshu.com/user/profile/643e530e000000000e01f780</t>
        </is>
      </c>
      <c r="I450" s="18" t="n">
        <v>6153673639</v>
      </c>
      <c r="J450" s="18" t="n"/>
      <c r="K450" s="18" t="inlineStr">
        <is>
          <t>家居家装</t>
        </is>
      </c>
      <c r="L450" s="18" t="inlineStr">
        <is>
          <t>koc</t>
        </is>
      </c>
      <c r="M450" s="18" t="n">
        <v>0.2</v>
      </c>
      <c r="N450" s="18" t="n">
        <v>1.8</v>
      </c>
      <c r="O450" s="18" t="inlineStr">
        <is>
          <t>图文</t>
        </is>
      </c>
      <c r="P450" s="21" t="n">
        <v>0.83</v>
      </c>
      <c r="Q450" s="21" t="n">
        <v>0.2</v>
      </c>
      <c r="R450" s="21" t="n">
        <v>0.11</v>
      </c>
      <c r="S450" s="21" t="n">
        <v>0.18</v>
      </c>
      <c r="T450" s="21" t="n">
        <v>0.12</v>
      </c>
      <c r="U450" s="21" t="n">
        <v>0.23</v>
      </c>
      <c r="V450" s="22" t="n">
        <v>1173</v>
      </c>
      <c r="W450" s="18" t="n">
        <v>56</v>
      </c>
      <c r="X450" s="18" t="n">
        <v>300</v>
      </c>
      <c r="Y450" s="18">
        <f>X450*1.1</f>
        <v/>
      </c>
      <c r="Z450" s="20">
        <f>Y450/V450</f>
        <v/>
      </c>
      <c r="AA450" s="20">
        <f>Y450/W450</f>
        <v/>
      </c>
      <c r="AB450" s="18" t="n"/>
      <c r="AC450" s="18" t="n"/>
      <c r="AD450" s="18" t="n"/>
      <c r="AE450" s="18" t="n"/>
    </row>
    <row r="451">
      <c r="A451" s="18" t="n"/>
      <c r="B451" s="18" t="n"/>
      <c r="C451" s="17" t="n">
        <v>46101</v>
      </c>
      <c r="D451" s="18" t="inlineStr">
        <is>
          <t>品牌</t>
        </is>
      </c>
      <c r="E451" s="18" t="inlineStr">
        <is>
          <t>北北聊家居</t>
        </is>
      </c>
      <c r="F451" s="122" t="n"/>
      <c r="G451" s="122" t="inlineStr">
        <is>
          <t>https://pgy.xiaohongshu.com/solar/pre-trade/blogger-detail/66b17f28000000001d0228c8?track_id=kolSimilar_b46f6156e0ef40f78512d15c8bcc4a26&amp;source=Advertiser_Kol</t>
        </is>
      </c>
      <c r="H451" s="122" t="inlineStr">
        <is>
          <t>https://www.xiaohongshu.com/user/profile/66b17f28000000001d0228c8</t>
        </is>
      </c>
      <c r="I451" s="18" t="n">
        <v>94180227250</v>
      </c>
      <c r="J451" s="18" t="n"/>
      <c r="K451" s="18" t="inlineStr">
        <is>
          <t>家居家装</t>
        </is>
      </c>
      <c r="L451" s="18" t="inlineStr">
        <is>
          <t>koc</t>
        </is>
      </c>
      <c r="M451" s="18" t="n">
        <v>1.5</v>
      </c>
      <c r="N451" s="18" t="n">
        <v>5.9</v>
      </c>
      <c r="O451" s="18" t="inlineStr">
        <is>
          <t>图文</t>
        </is>
      </c>
      <c r="P451" s="21" t="n">
        <v>0.59</v>
      </c>
      <c r="Q451" s="21" t="n">
        <v>0.08</v>
      </c>
      <c r="R451" s="21" t="n">
        <v>0.27</v>
      </c>
      <c r="S451" s="21" t="n">
        <v>0.35</v>
      </c>
      <c r="T451" s="21" t="n">
        <v>0.18</v>
      </c>
      <c r="U451" s="21" t="n">
        <v>0.22</v>
      </c>
      <c r="V451" s="22" t="n">
        <v>8251</v>
      </c>
      <c r="W451" s="18" t="n">
        <v>247</v>
      </c>
      <c r="X451" s="18" t="n">
        <v>2500</v>
      </c>
      <c r="Y451" s="18">
        <f>X451*1.1</f>
        <v/>
      </c>
      <c r="Z451" s="20">
        <f>Y451/V451</f>
        <v/>
      </c>
      <c r="AA451" s="20">
        <f>Y451/W451</f>
        <v/>
      </c>
      <c r="AB451" s="18" t="n"/>
      <c r="AC451" s="18" t="n"/>
      <c r="AD451" s="18" t="n"/>
      <c r="AE451" s="18" t="n"/>
    </row>
    <row r="452">
      <c r="A452" s="18" t="n"/>
      <c r="B452" s="18" t="n"/>
      <c r="C452" s="17" t="n">
        <v>46101</v>
      </c>
      <c r="D452" s="18" t="inlineStr">
        <is>
          <t>品牌</t>
        </is>
      </c>
      <c r="E452" s="18" t="inlineStr">
        <is>
          <t>小迷鹿</t>
        </is>
      </c>
      <c r="F452" s="122" t="n"/>
      <c r="G452" s="122" t="inlineStr">
        <is>
          <t>https://pgy.xiaohongshu.com/solar/pre-trade/blogger-detail/65d464f0000000000401cb90?track_id=kolSimilar_b46f6156e0ef40f78512d15c8bcc4a26&amp;source=Advertiser_Kol</t>
        </is>
      </c>
      <c r="H452" s="122" t="inlineStr">
        <is>
          <t>https://www.xiaohongshu.com/user/profile/65d464f0000000000401cb90</t>
        </is>
      </c>
      <c r="I452" s="18" t="n">
        <v>10240192820</v>
      </c>
      <c r="J452" s="18" t="n"/>
      <c r="K452" s="18" t="inlineStr">
        <is>
          <t>家居家装</t>
        </is>
      </c>
      <c r="L452" s="18" t="inlineStr">
        <is>
          <t>koc</t>
        </is>
      </c>
      <c r="M452" s="18" t="n">
        <v>0.1</v>
      </c>
      <c r="N452" s="18" t="n">
        <v>5.2</v>
      </c>
      <c r="O452" s="18" t="inlineStr">
        <is>
          <t>图文</t>
        </is>
      </c>
      <c r="P452" s="21" t="n">
        <v>0.82</v>
      </c>
      <c r="Q452" s="21" t="n">
        <v>0.11</v>
      </c>
      <c r="R452" s="21" t="n">
        <v>0.62</v>
      </c>
      <c r="S452" s="21" t="n">
        <v>0.15</v>
      </c>
      <c r="T452" s="21" t="n">
        <v>0.39</v>
      </c>
      <c r="U452" s="21" t="n">
        <v>0.26</v>
      </c>
      <c r="V452" s="22" t="n">
        <v>1146</v>
      </c>
      <c r="W452" s="18" t="n">
        <v>48</v>
      </c>
      <c r="X452" s="18" t="n">
        <v>300</v>
      </c>
      <c r="Y452" s="18">
        <f>X452*1.1</f>
        <v/>
      </c>
      <c r="Z452" s="20">
        <f>Y452/V452</f>
        <v/>
      </c>
      <c r="AA452" s="20">
        <f>Y452/W452</f>
        <v/>
      </c>
      <c r="AB452" s="18" t="n"/>
      <c r="AC452" s="18" t="n"/>
      <c r="AD452" s="18" t="n"/>
      <c r="AE452" s="18" t="n"/>
    </row>
    <row r="453">
      <c r="A453" s="18" t="n"/>
      <c r="B453" s="18" t="n"/>
      <c r="C453" s="17" t="n">
        <v>46101</v>
      </c>
      <c r="D453" s="18" t="inlineStr">
        <is>
          <t>品牌</t>
        </is>
      </c>
      <c r="E453" s="18" t="inlineStr">
        <is>
          <t>苏打家居日记</t>
        </is>
      </c>
      <c r="F453" s="122" t="n"/>
      <c r="G453" s="122" t="inlineStr">
        <is>
          <t>https://pgy.xiaohongshu.com/solar/pre-trade/blogger-detail/5e43f1f500000000010082f0?track_id=kolSimilar_609d8fd2380e422dbeaf63ebfb5e67e9&amp;source=Advertiser_Kol</t>
        </is>
      </c>
      <c r="H453" s="122" t="inlineStr">
        <is>
          <t>https://www.xiaohongshu.com/user/profile/5e43f1f500000000010082f0</t>
        </is>
      </c>
      <c r="I453" s="18" t="inlineStr">
        <is>
          <t>cy02982950</t>
        </is>
      </c>
      <c r="J453" s="18" t="n"/>
      <c r="K453" s="18" t="inlineStr">
        <is>
          <t>家居家装</t>
        </is>
      </c>
      <c r="L453" s="18" t="inlineStr">
        <is>
          <t>koc</t>
        </is>
      </c>
      <c r="M453" s="18" t="n">
        <v>1.6</v>
      </c>
      <c r="N453" s="18" t="n">
        <v>10.4</v>
      </c>
      <c r="O453" s="18" t="inlineStr">
        <is>
          <t>图文</t>
        </is>
      </c>
      <c r="P453" s="21" t="n">
        <v>0.8</v>
      </c>
      <c r="Q453" s="21" t="n">
        <v>0.06</v>
      </c>
      <c r="R453" s="21" t="n">
        <v>0.27</v>
      </c>
      <c r="S453" s="21" t="n">
        <v>0.39</v>
      </c>
      <c r="T453" s="21" t="n">
        <v>0.26</v>
      </c>
      <c r="U453" s="21" t="n">
        <v>0.21</v>
      </c>
      <c r="V453" s="22" t="n">
        <v>13396</v>
      </c>
      <c r="W453" s="18" t="n">
        <v>462</v>
      </c>
      <c r="X453" s="18" t="n">
        <v>2500</v>
      </c>
      <c r="Y453" s="18">
        <f>X453*1.1</f>
        <v/>
      </c>
      <c r="Z453" s="20">
        <f>Y453/V453</f>
        <v/>
      </c>
      <c r="AA453" s="20">
        <f>Y453/W453</f>
        <v/>
      </c>
      <c r="AB453" s="18" t="n"/>
      <c r="AC453" s="18" t="n"/>
      <c r="AD453" s="18" t="n"/>
      <c r="AE453" s="18" t="n"/>
    </row>
    <row r="454">
      <c r="A454" s="18" t="n"/>
      <c r="B454" s="18" t="n"/>
      <c r="C454" s="17" t="n">
        <v>46101</v>
      </c>
      <c r="D454" s="18" t="inlineStr">
        <is>
          <t>品牌</t>
        </is>
      </c>
      <c r="E454" s="18" t="inlineStr">
        <is>
          <t>嘎嘣脆LCC</t>
        </is>
      </c>
      <c r="F454" s="122" t="n"/>
      <c r="G454" s="122" t="inlineStr">
        <is>
          <t>https://pgy.xiaohongshu.com/solar/pre-trade/blogger-detail/5cf3851d000000001701b655?track_id=kolSimilar_7ef226c14d4c45d2bf642e13fda08e87&amp;source=Advertiser_Kol</t>
        </is>
      </c>
      <c r="H454" s="122" t="inlineStr">
        <is>
          <t>https://www.xiaohongshu.com/user/profile/5cf3851d000000001701b655</t>
        </is>
      </c>
      <c r="I454" s="18" t="n">
        <v>997224600</v>
      </c>
      <c r="J454" s="18" t="n"/>
      <c r="K454" s="18" t="inlineStr">
        <is>
          <t>家居家装</t>
        </is>
      </c>
      <c r="L454" s="18" t="inlineStr">
        <is>
          <t>koc</t>
        </is>
      </c>
      <c r="M454" s="18" t="n">
        <v>0.4</v>
      </c>
      <c r="N454" s="18" t="n">
        <v>3.2</v>
      </c>
      <c r="O454" s="18" t="inlineStr">
        <is>
          <t>图文</t>
        </is>
      </c>
      <c r="P454" s="21" t="n">
        <v>0.74</v>
      </c>
      <c r="Q454" s="21" t="n">
        <v>0.11</v>
      </c>
      <c r="R454" s="21" t="n">
        <v>0.51</v>
      </c>
      <c r="S454" s="21" t="n">
        <v>0.23</v>
      </c>
      <c r="T454" s="21" t="n">
        <v>0.62</v>
      </c>
      <c r="U454" s="21" t="n">
        <v>0.12</v>
      </c>
      <c r="V454" s="18" t="n">
        <v>324</v>
      </c>
      <c r="W454" s="18" t="n">
        <v>101</v>
      </c>
      <c r="X454" s="18" t="n">
        <v>300</v>
      </c>
      <c r="Y454" s="18">
        <f>X454*1.1</f>
        <v/>
      </c>
      <c r="Z454" s="20">
        <f>Y454/V454</f>
        <v/>
      </c>
      <c r="AA454" s="20">
        <f>Y454/W454</f>
        <v/>
      </c>
      <c r="AB454" s="18" t="n"/>
      <c r="AC454" s="18" t="n"/>
      <c r="AD454" s="18" t="n"/>
      <c r="AE454" s="18" t="n"/>
    </row>
    <row r="455">
      <c r="A455" s="18" t="n"/>
      <c r="B455" s="18" t="n"/>
      <c r="C455" s="17" t="n">
        <v>46101</v>
      </c>
      <c r="D455" s="18" t="inlineStr">
        <is>
          <t>品牌</t>
        </is>
      </c>
      <c r="E455" s="18" t="inlineStr">
        <is>
          <t>🍎青禾之家🍎</t>
        </is>
      </c>
      <c r="F455" s="122" t="n"/>
      <c r="G455" s="122" t="inlineStr">
        <is>
          <t>https://pgy.xiaohongshu.com/solar/pre-trade/blogger-detail/67bde509000000000601ce3b?track_id=kolSimilar_7ef226c14d4c45d2bf642e13fda08e87&amp;source=Advertiser_Kol</t>
        </is>
      </c>
      <c r="H455" s="122" t="inlineStr">
        <is>
          <t>https://www.xiaohongshu.com/user/profile/67bde509000000000601ce3b</t>
        </is>
      </c>
      <c r="I455" s="18" t="n">
        <v>26700578563</v>
      </c>
      <c r="J455" s="18" t="n"/>
      <c r="K455" s="18" t="inlineStr">
        <is>
          <t>家居家装</t>
        </is>
      </c>
      <c r="L455" s="18" t="inlineStr">
        <is>
          <t>koc</t>
        </is>
      </c>
      <c r="M455" s="18" t="n">
        <v>0.1</v>
      </c>
      <c r="N455" s="18" t="n">
        <v>2.2</v>
      </c>
      <c r="O455" s="18" t="inlineStr">
        <is>
          <t>图文</t>
        </is>
      </c>
      <c r="P455" s="21" t="n">
        <v>0.8100000000000001</v>
      </c>
      <c r="Q455" s="21" t="n">
        <v>0.05</v>
      </c>
      <c r="R455" s="21" t="n">
        <v>0.64</v>
      </c>
      <c r="S455" s="21" t="n">
        <v>0.14</v>
      </c>
      <c r="T455" s="21" t="n">
        <v>0.18</v>
      </c>
      <c r="U455" s="21" t="n">
        <v>0.37</v>
      </c>
      <c r="V455" s="22" t="n">
        <v>1057</v>
      </c>
      <c r="W455" s="18" t="n">
        <v>146</v>
      </c>
      <c r="X455" s="18" t="n">
        <v>300</v>
      </c>
      <c r="Y455" s="18">
        <f>X455*1.1</f>
        <v/>
      </c>
      <c r="Z455" s="20">
        <f>Y455/V455</f>
        <v/>
      </c>
      <c r="AA455" s="20">
        <f>Y455/W455</f>
        <v/>
      </c>
      <c r="AB455" s="18" t="n"/>
      <c r="AC455" s="18" t="n"/>
      <c r="AD455" s="18" t="n"/>
      <c r="AE455" s="18" t="n"/>
    </row>
    <row r="456">
      <c r="A456" s="37" t="inlineStr">
        <is>
          <t>以下为3月23日新提报</t>
        </is>
      </c>
      <c r="B456" s="18" t="n"/>
      <c r="C456" s="18" t="n"/>
      <c r="D456" s="18" t="n"/>
      <c r="E456" s="18" t="n"/>
      <c r="F456" s="122" t="n"/>
      <c r="G456" s="122" t="n"/>
      <c r="H456" s="122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20" t="n"/>
      <c r="AA456" s="20" t="n"/>
      <c r="AB456" s="18" t="n"/>
      <c r="AC456" s="18" t="n"/>
      <c r="AD456" s="18" t="n"/>
      <c r="AE456" s="18" t="n"/>
    </row>
    <row r="457" ht="87.5" customHeight="1" s="151">
      <c r="A457" s="18" t="n"/>
      <c r="B457" s="18" t="n"/>
      <c r="C457" s="17" t="n">
        <v>46104</v>
      </c>
      <c r="D457" s="18" t="inlineStr">
        <is>
          <t>电商</t>
        </is>
      </c>
      <c r="E457" s="18" t="inlineStr">
        <is>
          <t>一只小凉宝</t>
        </is>
      </c>
      <c r="F457" s="122" t="n"/>
      <c r="G457" s="122" t="inlineStr">
        <is>
          <t>https://pgy.xiaohongshu.com/solar/pre-trade/blogger-detail/655c800a0000000002028ae1?track_id=kolSearch_e5114f43139e4c9b88ac15d6e14cd0b2&amp;source=Advertiser_Kol</t>
        </is>
      </c>
      <c r="H457" s="122" t="inlineStr">
        <is>
          <t>https://www.xiaohongshu.com/user/profile/655c800a0000000002028ae1</t>
        </is>
      </c>
      <c r="I457" s="18" t="n">
        <v>4497838336</v>
      </c>
      <c r="J457" s="18" t="n"/>
      <c r="K457" s="18" t="inlineStr">
        <is>
          <t>家居家装</t>
        </is>
      </c>
      <c r="L457" s="18" t="inlineStr">
        <is>
          <t>koc</t>
        </is>
      </c>
      <c r="M457" s="18" t="n">
        <v>0.3</v>
      </c>
      <c r="N457" s="18" t="n">
        <v>13.2</v>
      </c>
      <c r="O457" s="18" t="inlineStr">
        <is>
          <t>图文</t>
        </is>
      </c>
      <c r="P457" s="21" t="n">
        <v>0.82</v>
      </c>
      <c r="Q457" s="18" t="n"/>
      <c r="R457" s="18" t="n"/>
      <c r="S457" s="18" t="n"/>
      <c r="T457" s="21" t="n">
        <v>0.35</v>
      </c>
      <c r="U457" s="21" t="n">
        <v>0.24</v>
      </c>
      <c r="V457" s="22" t="n">
        <v>1508</v>
      </c>
      <c r="W457" s="18" t="n">
        <v>248</v>
      </c>
      <c r="X457" s="18" t="n">
        <v>280</v>
      </c>
      <c r="Y457" s="18">
        <f>X457*1.1</f>
        <v/>
      </c>
      <c r="Z457" s="20">
        <f>Y457/V457</f>
        <v/>
      </c>
      <c r="AA457" s="20">
        <f>Y457/W457</f>
        <v/>
      </c>
      <c r="AB457" s="18" t="n"/>
      <c r="AC457" s="18" t="n"/>
      <c r="AD457" s="18" t="n"/>
      <c r="AE457" s="18" t="n"/>
    </row>
    <row r="458" ht="92.55" customHeight="1" s="151">
      <c r="A458" s="18" t="n"/>
      <c r="B458" s="18" t="n"/>
      <c r="C458" s="17" t="n">
        <v>46104</v>
      </c>
      <c r="D458" s="18" t="inlineStr">
        <is>
          <t>电商</t>
        </is>
      </c>
      <c r="E458" s="18" t="inlineStr">
        <is>
          <t>奕奕宝</t>
        </is>
      </c>
      <c r="F458" s="122" t="n"/>
      <c r="G458" s="122" t="inlineStr">
        <is>
          <t>https://pgy.xiaohongshu.com/solar/pre-trade/blogger-detail/5e500318000000000100baac?track_id=kolSearch_19d1f77fc703487c9b1cefe7dc5ff4dc&amp;source=Advertiser_Kol</t>
        </is>
      </c>
      <c r="H458" s="122" t="inlineStr">
        <is>
          <t>https://www.xiaohongshu.com/user/profile/5e500318000000000100baac</t>
        </is>
      </c>
      <c r="I458" s="18" t="inlineStr">
        <is>
          <t xml:space="preserve">
125653024
￼</t>
        </is>
      </c>
      <c r="J458" s="18" t="n"/>
      <c r="K458" s="18" t="inlineStr">
        <is>
          <t>家居家装</t>
        </is>
      </c>
      <c r="L458" s="18" t="inlineStr">
        <is>
          <t>koc</t>
        </is>
      </c>
      <c r="M458" s="18" t="n">
        <v>0.2</v>
      </c>
      <c r="N458" s="18" t="inlineStr">
        <is>
          <t>6,。4</t>
        </is>
      </c>
      <c r="O458" s="18" t="inlineStr">
        <is>
          <t>图文</t>
        </is>
      </c>
      <c r="P458" s="21" t="n">
        <v>0.82</v>
      </c>
      <c r="Q458" s="18" t="n"/>
      <c r="R458" s="18" t="n"/>
      <c r="S458" s="18" t="n"/>
      <c r="T458" s="21" t="n">
        <v>0.3</v>
      </c>
      <c r="U458" s="21" t="n">
        <v>0.22</v>
      </c>
      <c r="V458" s="22" t="n">
        <v>1189</v>
      </c>
      <c r="W458" s="18" t="n">
        <v>214</v>
      </c>
      <c r="X458" s="18" t="n">
        <v>280</v>
      </c>
      <c r="Y458" s="18">
        <f>X458*1.1</f>
        <v/>
      </c>
      <c r="Z458" s="20">
        <f>Y458/V458</f>
        <v/>
      </c>
      <c r="AA458" s="20">
        <f>Y458/W458</f>
        <v/>
      </c>
      <c r="AB458" s="18" t="n"/>
      <c r="AC458" s="18" t="n"/>
      <c r="AD458" s="18" t="n"/>
      <c r="AE458" s="18" t="n"/>
    </row>
    <row r="459" ht="95.40000000000001" customHeight="1" s="151">
      <c r="A459" s="18" t="n"/>
      <c r="B459" s="18" t="n"/>
      <c r="C459" s="17" t="n">
        <v>46104</v>
      </c>
      <c r="D459" s="18" t="inlineStr">
        <is>
          <t>电商</t>
        </is>
      </c>
      <c r="E459" s="18" t="inlineStr">
        <is>
          <t>家有小燊燊</t>
        </is>
      </c>
      <c r="F459" s="122" t="n"/>
      <c r="G459" s="122" t="inlineStr">
        <is>
          <t>https://pgy.xiaohongshu.com/solar/pre-trade/blogger-detail/66cec1e0000000001d0237cc?track_id=kolSearch_0be61ce7ad5a465693045c326dd0a215&amp;source=Advertiser_Kol</t>
        </is>
      </c>
      <c r="H459" s="122" t="inlineStr">
        <is>
          <t>https://www.xiaohongshu.com/user/profile/66cec1e0000000001d0237cc</t>
        </is>
      </c>
      <c r="I459" s="18" t="n">
        <v>94154581750</v>
      </c>
      <c r="J459" s="18" t="n"/>
      <c r="K459" s="18" t="inlineStr">
        <is>
          <t>家居家装</t>
        </is>
      </c>
      <c r="L459" s="18" t="inlineStr">
        <is>
          <t>koc</t>
        </is>
      </c>
      <c r="M459" s="18" t="n">
        <v>0.2</v>
      </c>
      <c r="N459" s="18" t="n">
        <v>3.9</v>
      </c>
      <c r="O459" s="18" t="inlineStr">
        <is>
          <t>图文</t>
        </is>
      </c>
      <c r="P459" s="21" t="n">
        <v>0.78</v>
      </c>
      <c r="Q459" s="18" t="n"/>
      <c r="R459" s="18" t="n"/>
      <c r="S459" s="18" t="n"/>
      <c r="T459" s="21" t="n">
        <v>0.23</v>
      </c>
      <c r="U459" s="21" t="n">
        <v>0.27</v>
      </c>
      <c r="V459" s="22" t="n">
        <v>1449</v>
      </c>
      <c r="W459" s="18" t="n">
        <v>273</v>
      </c>
      <c r="X459" s="18" t="n">
        <v>240</v>
      </c>
      <c r="Y459" s="18">
        <f>X459*1.1</f>
        <v/>
      </c>
      <c r="Z459" s="20">
        <f>Y459/V459</f>
        <v/>
      </c>
      <c r="AA459" s="20">
        <f>Y459/W459</f>
        <v/>
      </c>
      <c r="AB459" s="18" t="n"/>
      <c r="AC459" s="18" t="n"/>
      <c r="AD459" s="18" t="n"/>
      <c r="AE459" s="18" t="n"/>
    </row>
    <row r="460" ht="85.40000000000001" customHeight="1" s="151">
      <c r="A460" s="18" t="n"/>
      <c r="B460" s="18" t="n"/>
      <c r="C460" s="17" t="n">
        <v>46104</v>
      </c>
      <c r="D460" s="18" t="inlineStr">
        <is>
          <t>电商</t>
        </is>
      </c>
      <c r="E460" s="18" t="inlineStr">
        <is>
          <t>顿顿的家</t>
        </is>
      </c>
      <c r="F460" s="122" t="n"/>
      <c r="G460" s="122" t="inlineStr">
        <is>
          <t>https://pgy.xiaohongshu.com/solar/pre-trade/blogger-detail/676555c20000000014032476?track_id=kolSearch_dd819fab0481445b99fa28fadfbaec95&amp;source=Advertiser_Kol</t>
        </is>
      </c>
      <c r="H460" s="122" t="inlineStr">
        <is>
          <t>https://www.xiaohongshu.com/user/profile/676555c20000000014032476</t>
        </is>
      </c>
      <c r="I460" s="18" t="n">
        <v>11544925258</v>
      </c>
      <c r="J460" s="18" t="n"/>
      <c r="K460" s="18" t="inlineStr">
        <is>
          <t>家居家装</t>
        </is>
      </c>
      <c r="L460" s="18" t="inlineStr">
        <is>
          <t>koc</t>
        </is>
      </c>
      <c r="M460" s="18" t="n">
        <v>0.4</v>
      </c>
      <c r="N460" s="18" t="n">
        <v>3.3</v>
      </c>
      <c r="O460" s="18" t="inlineStr">
        <is>
          <t>图文</t>
        </is>
      </c>
      <c r="P460" s="21" t="n">
        <v>0.82</v>
      </c>
      <c r="Q460" s="18" t="n"/>
      <c r="R460" s="18" t="n"/>
      <c r="S460" s="18" t="n"/>
      <c r="T460" s="21" t="n">
        <v>0.22</v>
      </c>
      <c r="U460" s="21" t="n">
        <v>0.33</v>
      </c>
      <c r="V460" s="22" t="n">
        <v>1593</v>
      </c>
      <c r="W460" s="18" t="n">
        <v>66</v>
      </c>
      <c r="X460" s="18" t="n">
        <v>300</v>
      </c>
      <c r="Y460" s="18">
        <f>X460*1.1</f>
        <v/>
      </c>
      <c r="Z460" s="20">
        <f>Y460/V460</f>
        <v/>
      </c>
      <c r="AA460" s="20">
        <f>Y460/W460</f>
        <v/>
      </c>
      <c r="AB460" s="18" t="n"/>
      <c r="AC460" s="18" t="n"/>
      <c r="AD460" s="18" t="n"/>
      <c r="AE460" s="18" t="n"/>
    </row>
    <row r="461" ht="87.8" customHeight="1" s="151">
      <c r="A461" s="18" t="n"/>
      <c r="B461" s="18" t="n"/>
      <c r="C461" s="17" t="n">
        <v>46104</v>
      </c>
      <c r="D461" s="18" t="inlineStr">
        <is>
          <t>电商</t>
        </is>
      </c>
      <c r="E461" s="18" t="inlineStr">
        <is>
          <t>Z温居小舍</t>
        </is>
      </c>
      <c r="F461" s="122" t="n"/>
      <c r="G461" s="122" t="inlineStr">
        <is>
          <t>https://pgy.xiaohongshu.com/solar/pre-trade/blogger-detail/6729e07a000000001c01b2ea?track_id=kolSearch_3d1dbedceaba4821aadb0eb9bc96a0a6&amp;source=Advertiser_Kol</t>
        </is>
      </c>
      <c r="H461" s="122" t="inlineStr">
        <is>
          <t>https://www.xiaohongshu.com/user/profile/6729e07a000000001c01b2ea</t>
        </is>
      </c>
      <c r="I461" s="18" t="n">
        <v>94144714827</v>
      </c>
      <c r="J461" s="18" t="n"/>
      <c r="K461" s="18" t="inlineStr">
        <is>
          <t>家居家装</t>
        </is>
      </c>
      <c r="L461" s="18" t="inlineStr">
        <is>
          <t>koc</t>
        </is>
      </c>
      <c r="M461" s="18" t="n">
        <v>0.4</v>
      </c>
      <c r="N461" s="18" t="n">
        <v>1.3</v>
      </c>
      <c r="O461" s="18" t="inlineStr">
        <is>
          <t>图文</t>
        </is>
      </c>
      <c r="P461" s="21" t="n">
        <v>0.83</v>
      </c>
      <c r="Q461" s="18" t="n"/>
      <c r="R461" s="18" t="n"/>
      <c r="S461" s="18" t="n"/>
      <c r="T461" s="21" t="n">
        <v>0.2</v>
      </c>
      <c r="U461" s="21" t="n">
        <v>0.35</v>
      </c>
      <c r="V461" s="22" t="n">
        <v>1366</v>
      </c>
      <c r="W461" s="18" t="n">
        <v>54</v>
      </c>
      <c r="X461" s="18" t="n">
        <v>300</v>
      </c>
      <c r="Y461" s="18">
        <f>X461*1.1</f>
        <v/>
      </c>
      <c r="Z461" s="20">
        <f>Y461/V461</f>
        <v/>
      </c>
      <c r="AA461" s="20">
        <f>Y461/W461</f>
        <v/>
      </c>
      <c r="AB461" s="18" t="n"/>
      <c r="AC461" s="18" t="n"/>
      <c r="AD461" s="18" t="n"/>
      <c r="AE461" s="18" t="n"/>
    </row>
    <row r="462" ht="92.45" customHeight="1" s="151">
      <c r="A462" s="18" t="n"/>
      <c r="B462" s="18" t="n"/>
      <c r="C462" s="17" t="n">
        <v>46104</v>
      </c>
      <c r="D462" s="18" t="inlineStr">
        <is>
          <t>电商</t>
        </is>
      </c>
      <c r="E462" s="18" t="inlineStr">
        <is>
          <t>Ttim</t>
        </is>
      </c>
      <c r="F462" s="122" t="n"/>
      <c r="G462" s="122" t="inlineStr">
        <is>
          <t>https://pgy.xiaohongshu.com/solar/pre-trade/blogger-detail/67342146000000001c01a209?track_id=kolSearch_d773aaa8e5154e869bc06cec876091c5&amp;source=Advertiser_Kol</t>
        </is>
      </c>
      <c r="H462" s="122" t="inlineStr">
        <is>
          <t>https://www.xiaohongshu.com/user/profile/67342146000000001c01a209</t>
        </is>
      </c>
      <c r="I462" s="18" t="n">
        <v>26285429370</v>
      </c>
      <c r="J462" s="18" t="n"/>
      <c r="K462" s="18" t="inlineStr">
        <is>
          <t>家居家装</t>
        </is>
      </c>
      <c r="L462" s="18" t="inlineStr">
        <is>
          <t>koc</t>
        </is>
      </c>
      <c r="M462" s="18" t="n">
        <v>0.3</v>
      </c>
      <c r="N462" s="18" t="n">
        <v>1.3</v>
      </c>
      <c r="O462" s="18" t="inlineStr">
        <is>
          <t>图文</t>
        </is>
      </c>
      <c r="P462" s="21" t="n">
        <v>0.8100000000000001</v>
      </c>
      <c r="Q462" s="18" t="n"/>
      <c r="R462" s="18" t="n"/>
      <c r="S462" s="18" t="n"/>
      <c r="T462" s="21" t="n">
        <v>0.22</v>
      </c>
      <c r="U462" s="21" t="n">
        <v>0.35</v>
      </c>
      <c r="V462" s="22" t="n">
        <v>1227</v>
      </c>
      <c r="W462" s="18" t="n">
        <v>61</v>
      </c>
      <c r="X462" s="18" t="n">
        <v>300</v>
      </c>
      <c r="Y462" s="18">
        <f>X462*1.1</f>
        <v/>
      </c>
      <c r="Z462" s="20">
        <f>Y462/V462</f>
        <v/>
      </c>
      <c r="AA462" s="20">
        <f>Y462/W462</f>
        <v/>
      </c>
      <c r="AB462" s="18" t="n"/>
      <c r="AC462" s="18" t="n"/>
      <c r="AD462" s="18" t="n"/>
      <c r="AE462" s="18" t="n"/>
    </row>
    <row r="463" ht="62" customHeight="1" s="151">
      <c r="A463" s="18" t="n"/>
      <c r="B463" s="18" t="n"/>
      <c r="C463" s="17" t="n">
        <v>46104</v>
      </c>
      <c r="D463" s="18" t="inlineStr">
        <is>
          <t>电商</t>
        </is>
      </c>
      <c r="E463" s="18" t="inlineStr">
        <is>
          <t>seems</t>
        </is>
      </c>
      <c r="F463" s="122" t="n"/>
      <c r="G463" s="122" t="inlineStr">
        <is>
          <t>https://pgy.xiaohongshu.com/solar/pre-trade/blogger-detail/66f642cd000000001d022522?track_id=kolSearch_08a648d9ac84453f8acd8023a960dcdd&amp;source=Advertiser_Kol</t>
        </is>
      </c>
      <c r="H463" s="122" t="inlineStr">
        <is>
          <t>https://www.xiaohongshu.com/user/profile/66f642cd000000001d022522</t>
        </is>
      </c>
      <c r="I463" s="18" t="n">
        <v>63807937965</v>
      </c>
      <c r="J463" s="18" t="n"/>
      <c r="K463" s="18" t="inlineStr">
        <is>
          <t>家居家装</t>
        </is>
      </c>
      <c r="L463" s="18" t="inlineStr">
        <is>
          <t>koc</t>
        </is>
      </c>
      <c r="M463" s="18" t="n">
        <v>0.4</v>
      </c>
      <c r="N463" s="18" t="n">
        <v>1.4</v>
      </c>
      <c r="O463" s="18" t="inlineStr">
        <is>
          <t>图文</t>
        </is>
      </c>
      <c r="P463" s="21" t="n">
        <v>0.82</v>
      </c>
      <c r="Q463" s="18" t="n"/>
      <c r="R463" s="18" t="n"/>
      <c r="S463" s="18" t="n"/>
      <c r="T463" s="21" t="n">
        <v>0.2</v>
      </c>
      <c r="U463" s="21" t="n">
        <v>0.36</v>
      </c>
      <c r="V463" s="22" t="n">
        <v>1223</v>
      </c>
      <c r="W463" s="18" t="n">
        <v>67</v>
      </c>
      <c r="X463" s="18" t="n">
        <v>300</v>
      </c>
      <c r="Y463" s="18">
        <f>X463*1.1</f>
        <v/>
      </c>
      <c r="Z463" s="20">
        <f>Y463/V463</f>
        <v/>
      </c>
      <c r="AA463" s="20">
        <f>Y463/W463</f>
        <v/>
      </c>
      <c r="AB463" s="18" t="n"/>
      <c r="AC463" s="18" t="n"/>
      <c r="AD463" s="18" t="n"/>
      <c r="AE463" s="18" t="n"/>
    </row>
    <row r="464">
      <c r="A464" s="18" t="n"/>
      <c r="B464" s="18" t="n"/>
      <c r="C464" s="17" t="n">
        <v>46104</v>
      </c>
      <c r="D464" s="18" t="inlineStr">
        <is>
          <t>品牌</t>
        </is>
      </c>
      <c r="E464" s="18" t="inlineStr">
        <is>
          <t>恩宝的小窝。</t>
        </is>
      </c>
      <c r="F464" s="122" t="n"/>
      <c r="G464" s="122" t="inlineStr">
        <is>
          <t>https://pgy.xiaohongshu.com/solar/pre-trade/blogger-detail/6373890a000000001f01c80e?track_id=kolMatch_beb46a50baae4dc79ef0cc38a11e9a63&amp;source=Advertiser_Kol</t>
        </is>
      </c>
      <c r="H464" s="122" t="inlineStr">
        <is>
          <t>https://www.xiaohongshu.com/user/profile/6373890a000000001f01c80e</t>
        </is>
      </c>
      <c r="I464" s="125" t="inlineStr">
        <is>
          <t>A1131959547</t>
        </is>
      </c>
      <c r="J464" s="18" t="n"/>
      <c r="K464" s="18" t="inlineStr">
        <is>
          <t>家居家装</t>
        </is>
      </c>
      <c r="L464" s="18" t="inlineStr">
        <is>
          <t>koc</t>
        </is>
      </c>
      <c r="M464" s="18" t="n">
        <v>0.1</v>
      </c>
      <c r="N464" s="18" t="n">
        <v>1.3</v>
      </c>
      <c r="O464" s="18" t="inlineStr">
        <is>
          <t>图文</t>
        </is>
      </c>
      <c r="P464" s="21" t="n">
        <v>0.85</v>
      </c>
      <c r="Q464" s="21" t="n">
        <v>0.1</v>
      </c>
      <c r="R464" s="21" t="n">
        <v>0.68</v>
      </c>
      <c r="S464" s="21" t="n">
        <v>0.12</v>
      </c>
      <c r="T464" s="21" t="n">
        <v>0.25</v>
      </c>
      <c r="U464" s="21" t="n">
        <v>0.29</v>
      </c>
      <c r="V464" s="126" t="n">
        <v>1573</v>
      </c>
      <c r="W464" s="18" t="n">
        <v>144</v>
      </c>
      <c r="X464" s="18" t="n">
        <v>500</v>
      </c>
      <c r="Y464" s="18">
        <f>X464*1.1</f>
        <v/>
      </c>
      <c r="Z464" s="20">
        <f>Y464/V464</f>
        <v/>
      </c>
      <c r="AA464" s="20">
        <f>Y464/W464</f>
        <v/>
      </c>
      <c r="AB464" s="18" t="n"/>
      <c r="AC464" s="18" t="n"/>
      <c r="AD464" s="18" t="n"/>
      <c r="AE464" s="18" t="n"/>
    </row>
    <row r="465">
      <c r="A465" s="18" t="n"/>
      <c r="B465" s="18" t="n"/>
      <c r="C465" s="17" t="n">
        <v>46104</v>
      </c>
      <c r="D465" s="18" t="inlineStr">
        <is>
          <t>品牌</t>
        </is>
      </c>
      <c r="E465" s="18" t="inlineStr">
        <is>
          <t>于火华的理想家🏠</t>
        </is>
      </c>
      <c r="F465" s="122" t="n"/>
      <c r="G465" s="122" t="inlineStr">
        <is>
          <t>https://pgy.xiaohongshu.com/solar/pre-trade/blogger-detail/67ec8250000000000e02def8?track_id=kolMatch_beb46a50baae4dc79ef0cc38a11e9a63&amp;source=Advertiser_Kol</t>
        </is>
      </c>
      <c r="H465" s="122" t="inlineStr">
        <is>
          <t>https://www.xiaohongshu.com/user/profile/67ec8250000000000e02def8</t>
        </is>
      </c>
      <c r="I465" s="125" t="inlineStr">
        <is>
          <t>8864098_S</t>
        </is>
      </c>
      <c r="J465" s="18" t="n"/>
      <c r="K465" s="18" t="inlineStr">
        <is>
          <t>家居家装</t>
        </is>
      </c>
      <c r="L465" s="18" t="inlineStr">
        <is>
          <t>koc</t>
        </is>
      </c>
      <c r="M465" s="18" t="n">
        <v>0.5</v>
      </c>
      <c r="N465" s="18" t="n">
        <v>5.6</v>
      </c>
      <c r="O465" s="18" t="inlineStr">
        <is>
          <t>图文</t>
        </is>
      </c>
      <c r="P465" s="21" t="n">
        <v>0.88</v>
      </c>
      <c r="Q465" s="21" t="n">
        <v>0.27</v>
      </c>
      <c r="R465" s="21" t="n">
        <v>0.23</v>
      </c>
      <c r="S465" s="21" t="n">
        <v>0.09</v>
      </c>
      <c r="T465" s="21" t="n">
        <v>0.29</v>
      </c>
      <c r="U465" s="21" t="n">
        <v>0.2</v>
      </c>
      <c r="V465" s="126" t="n">
        <v>1345</v>
      </c>
      <c r="W465" s="18" t="n">
        <v>136</v>
      </c>
      <c r="X465" s="18" t="n">
        <v>500</v>
      </c>
      <c r="Y465" s="18">
        <f>X465*1.1</f>
        <v/>
      </c>
      <c r="Z465" s="20">
        <f>Y465/V465</f>
        <v/>
      </c>
      <c r="AA465" s="20">
        <f>Y465/W465</f>
        <v/>
      </c>
      <c r="AB465" s="18" t="n"/>
      <c r="AC465" s="18" t="n"/>
      <c r="AD465" s="18" t="n"/>
      <c r="AE465" s="18" t="n"/>
    </row>
    <row r="466">
      <c r="A466" s="18" t="n"/>
      <c r="B466" s="18" t="n"/>
      <c r="C466" s="17" t="n">
        <v>46104</v>
      </c>
      <c r="D466" s="18" t="inlineStr">
        <is>
          <t>品牌</t>
        </is>
      </c>
      <c r="E466" s="18" t="inlineStr">
        <is>
          <t>lila（软装中）</t>
        </is>
      </c>
      <c r="F466" s="122" t="n"/>
      <c r="G466" s="122" t="inlineStr">
        <is>
          <t>https://pgy.xiaohongshu.com/solar/pre-trade/blogger-detail/59125735a9b2ed7bb6260890?track_id=kolMatch_b62cf4138cc14665b9c8390189c1174c&amp;source=Advertiser_Kol</t>
        </is>
      </c>
      <c r="H466" s="122" t="inlineStr">
        <is>
          <t>https://www.xiaohongshu.com/user/profile/59125735a9b2ed7bb6260890</t>
        </is>
      </c>
      <c r="I466" s="125" t="n">
        <v>941515630</v>
      </c>
      <c r="J466" s="18" t="n"/>
      <c r="K466" s="18" t="inlineStr">
        <is>
          <t>家居家装</t>
        </is>
      </c>
      <c r="L466" s="18" t="inlineStr">
        <is>
          <t>koc</t>
        </is>
      </c>
      <c r="M466" s="18" t="n">
        <v>0.5</v>
      </c>
      <c r="N466" s="18" t="n">
        <v>8.6</v>
      </c>
      <c r="O466" s="18" t="inlineStr">
        <is>
          <t>图文</t>
        </is>
      </c>
      <c r="P466" s="21" t="n">
        <v>0.84</v>
      </c>
      <c r="Q466" s="21" t="n">
        <v>0.17</v>
      </c>
      <c r="R466" s="21" t="n">
        <v>0.54</v>
      </c>
      <c r="S466" s="21" t="n">
        <v>0.18</v>
      </c>
      <c r="T466" s="21" t="n">
        <v>0.51</v>
      </c>
      <c r="U466" s="21" t="n">
        <v>0.14</v>
      </c>
      <c r="V466" s="125" t="n">
        <v>822</v>
      </c>
      <c r="W466" s="18" t="n">
        <v>44</v>
      </c>
      <c r="X466" s="18" t="n">
        <v>750</v>
      </c>
      <c r="Y466" s="18">
        <f>X466*1.1</f>
        <v/>
      </c>
      <c r="Z466" s="20">
        <f>Y466/V466</f>
        <v/>
      </c>
      <c r="AA466" s="20">
        <f>Y466/W466</f>
        <v/>
      </c>
      <c r="AB466" s="18" t="n"/>
      <c r="AC466" s="18" t="n"/>
      <c r="AD466" s="18" t="n"/>
      <c r="AE466" s="18" t="n"/>
    </row>
    <row r="467">
      <c r="A467" s="18" t="n"/>
      <c r="B467" s="18" t="n"/>
      <c r="C467" s="17" t="n">
        <v>46104</v>
      </c>
      <c r="D467" s="18" t="inlineStr">
        <is>
          <t>品牌</t>
        </is>
      </c>
      <c r="E467" s="18" t="inlineStr">
        <is>
          <t>阿泽的理想家</t>
        </is>
      </c>
      <c r="F467" s="122" t="n"/>
      <c r="G467" s="122" t="inlineStr">
        <is>
          <t>https://pgy.xiaohongshu.com/solar/pre-trade/blogger-detail/67e279f0000000000d0080e6?track_id=kolMatch_b62cf4138cc14665b9c8390189c1174c&amp;source=Advertiser_Kol</t>
        </is>
      </c>
      <c r="H467" s="122" t="inlineStr">
        <is>
          <t>https://www.xiaohongshu.com/user/profile/67e279f0000000000d0080e6</t>
        </is>
      </c>
      <c r="I467" s="125" t="n">
        <v>94192048953</v>
      </c>
      <c r="J467" s="18" t="n"/>
      <c r="K467" s="18" t="inlineStr">
        <is>
          <t>家居家装</t>
        </is>
      </c>
      <c r="L467" s="18" t="inlineStr">
        <is>
          <t>koc</t>
        </is>
      </c>
      <c r="M467" s="18" t="n">
        <v>1.2</v>
      </c>
      <c r="N467" s="18" t="n">
        <v>23</v>
      </c>
      <c r="O467" s="18" t="inlineStr">
        <is>
          <t>图文</t>
        </is>
      </c>
      <c r="P467" s="21" t="n">
        <v>0.72</v>
      </c>
      <c r="Q467" s="21" t="n">
        <v>0.23</v>
      </c>
      <c r="R467" s="21" t="n">
        <v>0.12</v>
      </c>
      <c r="S467" s="21" t="n">
        <v>0.16</v>
      </c>
      <c r="T467" s="21" t="n">
        <v>0.13</v>
      </c>
      <c r="U467" s="21" t="n">
        <v>0.24</v>
      </c>
      <c r="V467" s="126" t="n">
        <v>6596</v>
      </c>
      <c r="W467" s="18" t="n">
        <v>265</v>
      </c>
      <c r="X467" s="18" t="n">
        <v>1000</v>
      </c>
      <c r="Y467" s="18">
        <f>X467*1.1</f>
        <v/>
      </c>
      <c r="Z467" s="20">
        <f>Y467/V467</f>
        <v/>
      </c>
      <c r="AA467" s="20">
        <f>Y467/W467</f>
        <v/>
      </c>
      <c r="AB467" s="18" t="n"/>
      <c r="AC467" s="18" t="n"/>
      <c r="AD467" s="18" t="n"/>
      <c r="AE467" s="18" t="n"/>
    </row>
    <row r="468">
      <c r="A468" s="18" t="n"/>
      <c r="B468" s="18" t="n"/>
      <c r="C468" s="17" t="n">
        <v>46104</v>
      </c>
      <c r="D468" s="18" t="inlineStr">
        <is>
          <t>品牌</t>
        </is>
      </c>
      <c r="E468" s="18" t="inlineStr">
        <is>
          <t>Yan的小家</t>
        </is>
      </c>
      <c r="F468" s="122" t="n"/>
      <c r="G468" s="122" t="inlineStr">
        <is>
          <t>https://pgy.xiaohongshu.com/solar/pre-trade/blogger-detail/5858de6082ec3903a9fd7c99?track_id=kolMatch_b62cf4138cc14665b9c8390189c1174c&amp;source=Advertiser_Kol</t>
        </is>
      </c>
      <c r="H468" s="122" t="inlineStr">
        <is>
          <t>https://www.xiaohongshu.com/user/profile/5858de6082ec3903a9fd7c99</t>
        </is>
      </c>
      <c r="I468" s="125" t="n">
        <v>494970482</v>
      </c>
      <c r="J468" s="18" t="n"/>
      <c r="K468" s="18" t="inlineStr">
        <is>
          <t>家居家装</t>
        </is>
      </c>
      <c r="L468" s="18" t="inlineStr">
        <is>
          <t>koc</t>
        </is>
      </c>
      <c r="M468" s="18" t="n">
        <v>0.4</v>
      </c>
      <c r="N468" s="18" t="n">
        <v>3.6</v>
      </c>
      <c r="O468" s="18" t="inlineStr">
        <is>
          <t>图文</t>
        </is>
      </c>
      <c r="P468" s="21" t="n">
        <v>0.93</v>
      </c>
      <c r="Q468" s="21" t="n">
        <v>0.16</v>
      </c>
      <c r="R468" s="21" t="n">
        <v>0.7</v>
      </c>
      <c r="S468" s="21" t="n">
        <v>0.1</v>
      </c>
      <c r="T468" s="21" t="n">
        <v>0.91</v>
      </c>
      <c r="U468" s="21" t="n">
        <v>0.03</v>
      </c>
      <c r="V468" s="126" t="n">
        <v>1923</v>
      </c>
      <c r="W468" s="18" t="n">
        <v>123</v>
      </c>
      <c r="X468" s="18" t="n">
        <v>500</v>
      </c>
      <c r="Y468" s="18">
        <f>X468*1.1</f>
        <v/>
      </c>
      <c r="Z468" s="20">
        <f>Y468/V468</f>
        <v/>
      </c>
      <c r="AA468" s="20">
        <f>Y468/W468</f>
        <v/>
      </c>
      <c r="AB468" s="18" t="n"/>
      <c r="AC468" s="18" t="n"/>
      <c r="AD468" s="18" t="n"/>
      <c r="AE468" s="18" t="n"/>
    </row>
    <row r="469">
      <c r="A469" s="18" t="n"/>
      <c r="B469" s="18" t="n"/>
      <c r="C469" s="17" t="n">
        <v>46104</v>
      </c>
      <c r="D469" s="18" t="inlineStr">
        <is>
          <t>品牌</t>
        </is>
      </c>
      <c r="E469" s="18" t="inlineStr">
        <is>
          <t>小榕爱宅家🏡（带娃版）</t>
        </is>
      </c>
      <c r="F469" s="122" t="n"/>
      <c r="G469" s="122" t="inlineStr">
        <is>
          <t>https://pgy.xiaohongshu.com/solar/pre-trade/blogger-detail/657e7fe8000000001c01a5b8?track_id=kolMatch_b62cf4138cc14665b9c8390189c1174c&amp;source=Advertiser_Kol</t>
        </is>
      </c>
      <c r="H469" s="122" t="inlineStr">
        <is>
          <t>https://www.xiaohongshu.com/user/profile/657e7fe8000000001c01a5b8</t>
        </is>
      </c>
      <c r="I469" s="125" t="n">
        <v>5754814375</v>
      </c>
      <c r="J469" s="18" t="n"/>
      <c r="K469" s="18" t="inlineStr">
        <is>
          <t>家居家装</t>
        </is>
      </c>
      <c r="L469" s="18" t="inlineStr">
        <is>
          <t>koc</t>
        </is>
      </c>
      <c r="M469" s="18" t="n">
        <v>0.5</v>
      </c>
      <c r="N469" s="18" t="n">
        <v>3</v>
      </c>
      <c r="O469" s="18" t="inlineStr">
        <is>
          <t>图文</t>
        </is>
      </c>
      <c r="P469" s="21" t="n">
        <v>0.91</v>
      </c>
      <c r="Q469" s="21" t="n">
        <v>0.07000000000000001</v>
      </c>
      <c r="R469" s="21" t="n">
        <v>0.79</v>
      </c>
      <c r="S469" s="21" t="n">
        <v>0.07000000000000001</v>
      </c>
      <c r="T469" s="21" t="n">
        <v>0.17</v>
      </c>
      <c r="U469" s="21" t="n">
        <v>0.5</v>
      </c>
      <c r="V469" s="126" t="n">
        <v>2821</v>
      </c>
      <c r="W469" s="18" t="n">
        <v>257</v>
      </c>
      <c r="X469" s="18" t="n">
        <v>1800</v>
      </c>
      <c r="Y469" s="18">
        <f>X469*1.1</f>
        <v/>
      </c>
      <c r="Z469" s="20">
        <f>Y469/V469</f>
        <v/>
      </c>
      <c r="AA469" s="20">
        <f>Y469/W469</f>
        <v/>
      </c>
      <c r="AB469" s="18" t="n"/>
      <c r="AC469" s="18" t="n"/>
      <c r="AD469" s="18" t="n"/>
      <c r="AE469" s="18" t="n"/>
    </row>
    <row r="470">
      <c r="A470" s="18" t="n"/>
      <c r="B470" s="18" t="n"/>
      <c r="C470" s="17" t="n">
        <v>46104</v>
      </c>
      <c r="D470" s="18" t="inlineStr">
        <is>
          <t>品牌</t>
        </is>
      </c>
      <c r="E470" s="18" t="inlineStr">
        <is>
          <t>米可七</t>
        </is>
      </c>
      <c r="F470" s="122" t="n"/>
      <c r="G470" s="122" t="inlineStr">
        <is>
          <t>https://pgy.xiaohongshu.com/solar/pre-trade/blogger-detail/5f05e0f8000000000101de53?track_id=kolMatch_a28209deaec7483786b4ca78ca2cb24d&amp;source=Advertiser_Kol</t>
        </is>
      </c>
      <c r="H470" s="122" t="inlineStr">
        <is>
          <t>https://www.xiaohongshu.com/user/profile/5f05e0f8000000000101de53</t>
        </is>
      </c>
      <c r="I470" s="125" t="n">
        <v>337639311</v>
      </c>
      <c r="J470" s="18" t="n"/>
      <c r="K470" s="18" t="inlineStr">
        <is>
          <t>家居家装</t>
        </is>
      </c>
      <c r="L470" s="18" t="inlineStr">
        <is>
          <t>koc</t>
        </is>
      </c>
      <c r="M470" s="18" t="n">
        <v>0.8</v>
      </c>
      <c r="N470" s="18" t="n">
        <v>6.4</v>
      </c>
      <c r="O470" s="18" t="inlineStr">
        <is>
          <t>图文</t>
        </is>
      </c>
      <c r="P470" s="21" t="n">
        <v>0.91</v>
      </c>
      <c r="Q470" s="21" t="n">
        <v>0.09</v>
      </c>
      <c r="R470" s="21" t="n">
        <v>0.76</v>
      </c>
      <c r="S470" s="21" t="n">
        <v>0.06</v>
      </c>
      <c r="T470" s="21" t="n">
        <v>0.16</v>
      </c>
      <c r="U470" s="21" t="n">
        <v>0.47</v>
      </c>
      <c r="V470" s="127" t="n">
        <v>652</v>
      </c>
      <c r="W470" s="18" t="n">
        <v>70</v>
      </c>
      <c r="X470" s="18" t="n">
        <v>600</v>
      </c>
      <c r="Y470" s="18">
        <f>X470*1.1</f>
        <v/>
      </c>
      <c r="Z470" s="20">
        <f>Y470/V470</f>
        <v/>
      </c>
      <c r="AA470" s="20">
        <f>Y470/W470</f>
        <v/>
      </c>
      <c r="AB470" s="18" t="n"/>
      <c r="AC470" s="18" t="n"/>
      <c r="AD470" s="18" t="n"/>
      <c r="AE470" s="18" t="n"/>
    </row>
    <row r="471">
      <c r="A471" s="18" t="n"/>
      <c r="B471" s="18" t="n"/>
      <c r="C471" s="17" t="n">
        <v>46104</v>
      </c>
      <c r="D471" s="18" t="inlineStr">
        <is>
          <t>品牌</t>
        </is>
      </c>
      <c r="E471" s="18" t="inlineStr">
        <is>
          <t>木木秋美居</t>
        </is>
      </c>
      <c r="F471" s="122" t="n"/>
      <c r="G471" s="122" t="inlineStr">
        <is>
          <t>https://pgy.xiaohongshu.com/solar/pre-trade/blogger-detail/676e5a8a000000001900a6fe?track_id=kolMatch_a7c394937a0143cbb7503ee992f0743d&amp;source=Advertiser_Kol</t>
        </is>
      </c>
      <c r="H471" s="122" t="inlineStr">
        <is>
          <t>https://www.xiaohongshu.com/user/profile/676e5a8a000000001900a6fe</t>
        </is>
      </c>
      <c r="I471" s="125" t="n">
        <v>11546038385</v>
      </c>
      <c r="J471" s="18" t="n"/>
      <c r="K471" s="18" t="inlineStr">
        <is>
          <t>家居家装</t>
        </is>
      </c>
      <c r="L471" s="18" t="inlineStr">
        <is>
          <t>koc</t>
        </is>
      </c>
      <c r="M471" s="18" t="n">
        <v>2.4</v>
      </c>
      <c r="N471" s="18" t="n">
        <v>15</v>
      </c>
      <c r="O471" s="18" t="inlineStr">
        <is>
          <t>图文</t>
        </is>
      </c>
      <c r="P471" s="21" t="n">
        <v>0.71</v>
      </c>
      <c r="Q471" s="21" t="n">
        <v>0.04</v>
      </c>
      <c r="R471" s="21" t="n">
        <v>0.18</v>
      </c>
      <c r="S471" s="21" t="n">
        <v>0.31</v>
      </c>
      <c r="T471" s="21" t="n">
        <v>0.2</v>
      </c>
      <c r="U471" s="21" t="n">
        <v>0.25</v>
      </c>
      <c r="V471" s="126" t="n">
        <v>6505</v>
      </c>
      <c r="W471" s="18" t="n">
        <v>228</v>
      </c>
      <c r="X471" s="18" t="n">
        <v>1500</v>
      </c>
      <c r="Y471" s="18">
        <f>X471*1.1</f>
        <v/>
      </c>
      <c r="Z471" s="20">
        <f>Y471/V471</f>
        <v/>
      </c>
      <c r="AA471" s="20">
        <f>Y471/W471</f>
        <v/>
      </c>
      <c r="AB471" s="18" t="n"/>
      <c r="AC471" s="18" t="n"/>
      <c r="AD471" s="18" t="n"/>
      <c r="AE471" s="18" t="n"/>
    </row>
    <row r="472">
      <c r="A472" s="18" t="n"/>
      <c r="B472" s="18" t="n"/>
      <c r="C472" s="17" t="n">
        <v>46104</v>
      </c>
      <c r="D472" s="18" t="inlineStr">
        <is>
          <t>品牌</t>
        </is>
      </c>
      <c r="E472" s="18" t="inlineStr">
        <is>
          <t>朱小姐</t>
        </is>
      </c>
      <c r="F472" s="122" t="n"/>
      <c r="G472" s="122" t="inlineStr">
        <is>
          <t>https://pgy.xiaohongshu.com/solar/pre-trade/blogger-detail/6579acba0000000020033819?track_id=kolMatch_a7c394937a0143cbb7503ee992f0743d&amp;source=Advertiser_Kol</t>
        </is>
      </c>
      <c r="H472" s="122" t="inlineStr">
        <is>
          <t>https://www.xiaohongshu.com/user/profile/6579acba0000000020033819</t>
        </is>
      </c>
      <c r="I472" s="125" t="n">
        <v>8368177568</v>
      </c>
      <c r="J472" s="18" t="n"/>
      <c r="K472" s="18" t="inlineStr">
        <is>
          <t>家居家装</t>
        </is>
      </c>
      <c r="L472" s="18" t="inlineStr">
        <is>
          <t>koc</t>
        </is>
      </c>
      <c r="M472" s="18" t="n">
        <v>1.2</v>
      </c>
      <c r="N472" s="18" t="n">
        <v>35</v>
      </c>
      <c r="O472" s="18" t="inlineStr">
        <is>
          <t>图文</t>
        </is>
      </c>
      <c r="P472" s="21" t="n">
        <v>0.72</v>
      </c>
      <c r="Q472" s="21" t="n">
        <v>0.25</v>
      </c>
      <c r="R472" s="21" t="n">
        <v>0.14</v>
      </c>
      <c r="S472" s="21" t="n">
        <v>0.13</v>
      </c>
      <c r="T472" s="21" t="n">
        <v>0.14</v>
      </c>
      <c r="U472" s="21" t="n">
        <v>0.23</v>
      </c>
      <c r="V472" s="18" t="n"/>
      <c r="W472" s="18" t="n"/>
      <c r="X472" s="18" t="n"/>
      <c r="Y472" s="18">
        <f>X472*1.1</f>
        <v/>
      </c>
      <c r="Z472" s="20">
        <f>Y472/V472</f>
        <v/>
      </c>
      <c r="AA472" s="20">
        <f>Y472/W472</f>
        <v/>
      </c>
      <c r="AB472" s="18" t="n"/>
      <c r="AC472" s="18" t="n"/>
      <c r="AD472" s="18" t="n"/>
      <c r="AE472" s="18" t="n"/>
    </row>
    <row r="473">
      <c r="A473" s="18" t="n"/>
      <c r="B473" s="18" t="n"/>
      <c r="C473" s="17" t="n">
        <v>46104</v>
      </c>
      <c r="D473" s="18" t="inlineStr">
        <is>
          <t>品牌</t>
        </is>
      </c>
      <c r="E473" s="18" t="inlineStr">
        <is>
          <t>北往</t>
        </is>
      </c>
      <c r="F473" s="122" t="n"/>
      <c r="G473" s="122" t="inlineStr">
        <is>
          <t>https://pgy.xiaohongshu.com/solar/pre-trade/blogger-detail/5a0d40104eacab4b37daf5a0?track_id=kolMatch_8e178e7df9b84efab9982af353add6db&amp;source=Advertiser_Kol</t>
        </is>
      </c>
      <c r="H473" s="122" t="n"/>
      <c r="I473" s="18" t="n"/>
      <c r="J473" s="18" t="n"/>
      <c r="K473" s="18" t="inlineStr">
        <is>
          <t>家居家装</t>
        </is>
      </c>
      <c r="L473" s="18" t="inlineStr">
        <is>
          <t>koc</t>
        </is>
      </c>
      <c r="M473" s="18" t="n"/>
      <c r="N473" s="18" t="n"/>
      <c r="O473" s="18" t="inlineStr">
        <is>
          <t>图文</t>
        </is>
      </c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Y473" s="18">
        <f>X473*1.1</f>
        <v/>
      </c>
      <c r="Z473" s="20">
        <f>Y473/V473</f>
        <v/>
      </c>
      <c r="AA473" s="20">
        <f>Y473/W473</f>
        <v/>
      </c>
      <c r="AB473" s="18" t="n"/>
      <c r="AC473" s="18" t="n"/>
      <c r="AD473" s="18" t="n"/>
      <c r="AE473" s="18" t="n"/>
    </row>
    <row r="474">
      <c r="A474" s="18" t="n"/>
      <c r="B474" s="18" t="n"/>
      <c r="C474" s="17" t="n">
        <v>46104</v>
      </c>
      <c r="D474" s="18" t="inlineStr">
        <is>
          <t>品牌</t>
        </is>
      </c>
      <c r="E474" s="18" t="inlineStr">
        <is>
          <t>珂珂小家</t>
        </is>
      </c>
      <c r="F474" s="122" t="n"/>
      <c r="G474" s="122" t="inlineStr">
        <is>
          <t>https://pgy.xiaohongshu.com/solar/pre-trade/blogger-detail/63c7f2030000000026013433?track_id=kolMatch_8e178e7df9b84efab9982af353add6db&amp;source=Advertiser_Kol</t>
        </is>
      </c>
      <c r="H474" s="122" t="n"/>
      <c r="I474" s="18" t="n"/>
      <c r="J474" s="18" t="n"/>
      <c r="K474" s="18" t="inlineStr">
        <is>
          <t>家居家装</t>
        </is>
      </c>
      <c r="L474" s="18" t="inlineStr">
        <is>
          <t>koc</t>
        </is>
      </c>
      <c r="M474" s="18" t="n"/>
      <c r="N474" s="18" t="n"/>
      <c r="O474" s="18" t="inlineStr">
        <is>
          <t>图文</t>
        </is>
      </c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Y474" s="18">
        <f>X474*1.1</f>
        <v/>
      </c>
      <c r="Z474" s="20">
        <f>Y474/V474</f>
        <v/>
      </c>
      <c r="AA474" s="20">
        <f>Y474/W474</f>
        <v/>
      </c>
      <c r="AB474" s="18" t="n"/>
      <c r="AC474" s="18" t="n"/>
      <c r="AD474" s="18" t="n"/>
      <c r="AE474" s="18" t="n"/>
    </row>
    <row r="475">
      <c r="A475" s="18" t="n"/>
      <c r="B475" s="18" t="n"/>
      <c r="C475" s="17" t="n">
        <v>46104</v>
      </c>
      <c r="D475" s="18" t="inlineStr">
        <is>
          <t>品牌</t>
        </is>
      </c>
      <c r="E475" s="18" t="inlineStr">
        <is>
          <t>安安的居家日记</t>
        </is>
      </c>
      <c r="F475" s="122" t="n"/>
      <c r="G475" s="122" t="inlineStr">
        <is>
          <t>https://pgy.xiaohongshu.com/solar/pre-trade/blogger-detail/614072aa00000000020257a5?track_id=kolMatch_1c352172a9954b30a6a14b3ccd4185be&amp;source=Advertiser_Kol</t>
        </is>
      </c>
      <c r="H475" s="122" t="n"/>
      <c r="I475" s="18" t="n"/>
      <c r="J475" s="18" t="n"/>
      <c r="K475" s="18" t="inlineStr">
        <is>
          <t>家居家装</t>
        </is>
      </c>
      <c r="L475" s="18" t="inlineStr">
        <is>
          <t>koc</t>
        </is>
      </c>
      <c r="M475" s="18" t="n"/>
      <c r="N475" s="18" t="n"/>
      <c r="O475" s="18" t="inlineStr">
        <is>
          <t>图文</t>
        </is>
      </c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</row>
    <row r="476">
      <c r="A476" s="18" t="n"/>
      <c r="B476" s="18" t="n"/>
      <c r="C476" s="17" t="n">
        <v>46104</v>
      </c>
      <c r="D476" s="18" t="inlineStr">
        <is>
          <t>品牌</t>
        </is>
      </c>
      <c r="E476" s="18" t="inlineStr">
        <is>
          <t>元宝爱吃肉</t>
        </is>
      </c>
      <c r="F476" s="122" t="n"/>
      <c r="G476" s="122" t="inlineStr">
        <is>
          <t>https://pgy.xiaohongshu.com/solar/pre-trade/blogger-detail/605f0e7c000000000101c1b1?track_id=kolMatch_1c352172a9954b30a6a14b3ccd4185be&amp;source=Advertiser_Kol</t>
        </is>
      </c>
      <c r="H476" s="122" t="n"/>
      <c r="I476" s="18" t="n"/>
      <c r="J476" s="18" t="n"/>
      <c r="K476" s="18" t="inlineStr">
        <is>
          <t>家居家装</t>
        </is>
      </c>
      <c r="L476" s="18" t="inlineStr">
        <is>
          <t>koc</t>
        </is>
      </c>
      <c r="M476" s="18" t="n"/>
      <c r="N476" s="18" t="n"/>
      <c r="O476" s="18" t="inlineStr">
        <is>
          <t>图文</t>
        </is>
      </c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</row>
    <row r="477" ht="19" customHeight="1" s="151">
      <c r="A477" s="18" t="n"/>
      <c r="B477" s="18" t="n"/>
      <c r="C477" s="17" t="n">
        <v>46104</v>
      </c>
      <c r="D477" s="18" t="inlineStr">
        <is>
          <t>品牌</t>
        </is>
      </c>
      <c r="E477" s="18" t="inlineStr">
        <is>
          <t>薯薯的家</t>
        </is>
      </c>
      <c r="F477" s="122" t="n"/>
      <c r="G477" s="122" t="inlineStr">
        <is>
          <t>https://pgy.xiaohongshu.com/solar/pre-trade/blogger-detail/589009ea5e87e705c57132f5?track_id=kolMatch_6cbc2efd76184abc96f45adfd99170f0&amp;source=Advertiser_Kol</t>
        </is>
      </c>
      <c r="H477" s="122" t="n"/>
      <c r="I477" s="18" t="n"/>
      <c r="J477" s="18" t="n"/>
      <c r="K477" s="18" t="inlineStr">
        <is>
          <t>家居家装</t>
        </is>
      </c>
      <c r="L477" s="18" t="inlineStr">
        <is>
          <t>koc</t>
        </is>
      </c>
      <c r="M477" s="18" t="n"/>
      <c r="N477" s="18" t="n"/>
      <c r="O477" s="18" t="inlineStr">
        <is>
          <t>图文</t>
        </is>
      </c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</row>
    <row r="478" ht="19" customHeight="1" s="151">
      <c r="A478" s="18" t="n"/>
      <c r="B478" s="18" t="n"/>
      <c r="C478" s="17" t="n">
        <v>46104</v>
      </c>
      <c r="D478" s="18" t="inlineStr">
        <is>
          <t>品牌</t>
        </is>
      </c>
      <c r="E478" s="18" t="inlineStr">
        <is>
          <t>皮皮的家</t>
        </is>
      </c>
      <c r="F478" s="122" t="n"/>
      <c r="G478" s="122" t="inlineStr">
        <is>
          <t>https://pgy.xiaohongshu.com/solar/pre-trade/blogger-detail/655529a200000000080018d4?track_id=kolMatch_6cbc2efd76184abc96f45adfd99170f0&amp;source=Advertiser_Kol</t>
        </is>
      </c>
      <c r="H478" s="122" t="n"/>
      <c r="I478" s="18" t="n"/>
      <c r="J478" s="18" t="n"/>
      <c r="K478" s="18" t="inlineStr">
        <is>
          <t>家居家装</t>
        </is>
      </c>
      <c r="L478" s="18" t="inlineStr">
        <is>
          <t>koc</t>
        </is>
      </c>
      <c r="M478" s="18" t="n"/>
      <c r="N478" s="18" t="n"/>
      <c r="O478" s="18" t="inlineStr">
        <is>
          <t>图文</t>
        </is>
      </c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</row>
    <row r="479" ht="19" customHeight="1" s="151">
      <c r="A479" s="18" t="n"/>
      <c r="B479" s="18" t="n"/>
      <c r="C479" s="17" t="n">
        <v>46104</v>
      </c>
      <c r="D479" s="18" t="inlineStr">
        <is>
          <t>品牌</t>
        </is>
      </c>
      <c r="E479" s="18" t="inlineStr">
        <is>
          <t>巧克力🍫</t>
        </is>
      </c>
      <c r="F479" s="122" t="n"/>
      <c r="G479" s="122" t="inlineStr">
        <is>
          <t>https://pgy.xiaohongshu.com/solar/pre-trade/blogger-detail/60c348b700000000010007a3?track_id=kolMatch_6cbc2efd76184abc96f45adfd99170f0&amp;source=Advertiser_Kol</t>
        </is>
      </c>
      <c r="H479" s="122" t="n"/>
      <c r="I479" s="18" t="n"/>
      <c r="J479" s="18" t="n"/>
      <c r="K479" s="18" t="inlineStr">
        <is>
          <t>家居家装</t>
        </is>
      </c>
      <c r="L479" s="18" t="inlineStr">
        <is>
          <t>koc</t>
        </is>
      </c>
      <c r="M479" s="18" t="n"/>
      <c r="N479" s="18" t="n"/>
      <c r="O479" s="18" t="inlineStr">
        <is>
          <t>图文</t>
        </is>
      </c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</row>
    <row r="480" ht="19" customHeight="1" s="151">
      <c r="A480" s="18" t="n"/>
      <c r="B480" s="18" t="n"/>
      <c r="C480" s="18" t="n"/>
      <c r="D480" s="18" t="n"/>
      <c r="E480" s="18" t="n"/>
      <c r="F480" s="122" t="n"/>
      <c r="G480" s="122" t="n"/>
      <c r="H480" s="122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</row>
    <row r="481" ht="19" customHeight="1" s="151">
      <c r="A481" s="18" t="n"/>
      <c r="B481" s="18" t="n"/>
      <c r="C481" s="18" t="n"/>
      <c r="D481" s="18" t="n"/>
      <c r="E481" s="18" t="n"/>
      <c r="F481" s="122" t="n"/>
      <c r="G481" s="122" t="n"/>
      <c r="H481" s="122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</row>
    <row r="482" ht="19" customHeight="1" s="151">
      <c r="A482" s="18" t="n"/>
      <c r="B482" s="18" t="n"/>
      <c r="C482" s="18" t="n"/>
      <c r="D482" s="18" t="n"/>
      <c r="E482" s="18" t="n"/>
      <c r="F482" s="122" t="n"/>
      <c r="G482" s="122" t="n"/>
      <c r="H482" s="122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</row>
    <row r="483" ht="19" customHeight="1" s="151">
      <c r="A483" s="18" t="n"/>
      <c r="B483" s="18" t="n"/>
      <c r="C483" s="18" t="n"/>
      <c r="D483" s="18" t="n"/>
      <c r="E483" s="18" t="n"/>
      <c r="F483" s="122" t="n"/>
      <c r="G483" s="122" t="n"/>
      <c r="H483" s="122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</row>
    <row r="484" ht="19" customHeight="1" s="151">
      <c r="A484" s="18" t="n"/>
      <c r="B484" s="18" t="n"/>
      <c r="C484" s="18" t="n"/>
      <c r="D484" s="18" t="n"/>
      <c r="E484" s="18" t="n"/>
      <c r="F484" s="122" t="n"/>
      <c r="G484" s="122" t="n"/>
      <c r="H484" s="122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</row>
    <row r="485" ht="19" customHeight="1" s="151">
      <c r="A485" s="18" t="n"/>
      <c r="B485" s="18" t="n"/>
      <c r="C485" s="18" t="n"/>
      <c r="D485" s="18" t="n"/>
      <c r="E485" s="18" t="n"/>
      <c r="F485" s="122" t="n"/>
      <c r="G485" s="122" t="n"/>
      <c r="H485" s="122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</row>
    <row r="486" ht="19" customHeight="1" s="151">
      <c r="A486" s="18" t="n"/>
      <c r="B486" s="18" t="n"/>
      <c r="C486" s="18" t="n"/>
      <c r="D486" s="18" t="n"/>
      <c r="E486" s="18" t="n"/>
      <c r="F486" s="122" t="n"/>
      <c r="G486" s="122" t="n"/>
      <c r="H486" s="122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</row>
    <row r="487" ht="19" customHeight="1" s="151">
      <c r="A487" s="18" t="n"/>
      <c r="B487" s="18" t="n"/>
      <c r="C487" s="18" t="n"/>
      <c r="D487" s="18" t="n"/>
      <c r="E487" s="18" t="n"/>
      <c r="F487" s="122" t="n"/>
      <c r="G487" s="122" t="n"/>
      <c r="H487" s="122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</row>
    <row r="488" ht="19" customHeight="1" s="151">
      <c r="A488" s="18" t="n"/>
      <c r="B488" s="18" t="n"/>
      <c r="C488" s="18" t="n"/>
      <c r="D488" s="18" t="n"/>
      <c r="E488" s="18" t="n"/>
      <c r="F488" s="122" t="n"/>
      <c r="G488" s="122" t="n"/>
      <c r="H488" s="122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</row>
    <row r="489" ht="19" customHeight="1" s="151">
      <c r="A489" s="18" t="n"/>
      <c r="B489" s="18" t="n"/>
      <c r="C489" s="18" t="n"/>
      <c r="D489" s="18" t="n"/>
      <c r="E489" s="18" t="n"/>
      <c r="F489" s="122" t="n"/>
      <c r="G489" s="122" t="n"/>
      <c r="H489" s="122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</row>
    <row r="490" ht="19" customHeight="1" s="151">
      <c r="A490" s="18" t="n"/>
      <c r="B490" s="18" t="n"/>
      <c r="C490" s="18" t="n"/>
      <c r="D490" s="18" t="n"/>
      <c r="E490" s="18" t="n"/>
      <c r="F490" s="122" t="n"/>
      <c r="G490" s="122" t="n"/>
      <c r="H490" s="122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</row>
    <row r="491" ht="19" customHeight="1" s="151">
      <c r="A491" s="18" t="n"/>
      <c r="B491" s="18" t="n"/>
      <c r="C491" s="18" t="n"/>
      <c r="D491" s="18" t="n"/>
      <c r="E491" s="18" t="n"/>
      <c r="F491" s="122" t="n"/>
      <c r="G491" s="122" t="n"/>
      <c r="H491" s="122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</row>
    <row r="492" ht="19" customHeight="1" s="151">
      <c r="A492" s="18" t="n"/>
      <c r="B492" s="18" t="n"/>
      <c r="C492" s="18" t="n"/>
      <c r="D492" s="18" t="n"/>
      <c r="E492" s="18" t="n"/>
      <c r="F492" s="122" t="n"/>
      <c r="G492" s="122" t="n"/>
      <c r="H492" s="122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</row>
    <row r="493" ht="19" customHeight="1" s="151">
      <c r="A493" s="18" t="n"/>
      <c r="B493" s="18" t="n"/>
      <c r="C493" s="18" t="n"/>
      <c r="D493" s="18" t="n"/>
      <c r="E493" s="18" t="n"/>
      <c r="F493" s="122" t="n"/>
      <c r="G493" s="122" t="n"/>
      <c r="H493" s="122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</row>
    <row r="494" ht="19" customHeight="1" s="151">
      <c r="A494" s="18" t="n"/>
      <c r="B494" s="18" t="n"/>
      <c r="C494" s="18" t="n"/>
      <c r="D494" s="18" t="n"/>
      <c r="E494" s="18" t="n"/>
      <c r="F494" s="122" t="n"/>
      <c r="G494" s="122" t="n"/>
      <c r="H494" s="122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</row>
    <row r="495" ht="19" customHeight="1" s="151">
      <c r="A495" s="18" t="n"/>
      <c r="B495" s="18" t="n"/>
      <c r="C495" s="18" t="n"/>
      <c r="D495" s="18" t="n"/>
      <c r="E495" s="18" t="n"/>
      <c r="F495" s="122" t="n"/>
      <c r="G495" s="122" t="n"/>
      <c r="H495" s="122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</row>
    <row r="496" ht="19" customHeight="1" s="151">
      <c r="A496" s="18" t="n"/>
      <c r="B496" s="18" t="n"/>
      <c r="C496" s="18" t="n"/>
      <c r="D496" s="18" t="n"/>
      <c r="E496" s="18" t="n"/>
      <c r="F496" s="122" t="n"/>
      <c r="G496" s="122" t="n"/>
      <c r="H496" s="122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</row>
    <row r="497" ht="19" customHeight="1" s="151">
      <c r="A497" s="18" t="n"/>
      <c r="B497" s="18" t="n"/>
      <c r="C497" s="18" t="n"/>
      <c r="D497" s="18" t="n"/>
      <c r="E497" s="18" t="n"/>
      <c r="F497" s="122" t="n"/>
      <c r="G497" s="122" t="n"/>
      <c r="H497" s="122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</row>
    <row r="498" ht="19" customHeight="1" s="151">
      <c r="A498" s="18" t="n"/>
      <c r="B498" s="18" t="n"/>
      <c r="C498" s="18" t="n"/>
      <c r="D498" s="18" t="n"/>
      <c r="E498" s="18" t="n"/>
      <c r="F498" s="122" t="n"/>
      <c r="G498" s="122" t="n"/>
      <c r="H498" s="122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</row>
    <row r="499" ht="19" customHeight="1" s="151">
      <c r="A499" s="18" t="n"/>
      <c r="B499" s="18" t="n"/>
      <c r="C499" s="18" t="n"/>
      <c r="D499" s="18" t="n"/>
      <c r="E499" s="18" t="n"/>
      <c r="F499" s="122" t="n"/>
      <c r="G499" s="122" t="n"/>
      <c r="H499" s="122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</row>
    <row r="500" ht="19" customHeight="1" s="151">
      <c r="A500" s="18" t="n"/>
      <c r="B500" s="18" t="n"/>
      <c r="C500" s="18" t="n"/>
      <c r="D500" s="18" t="n"/>
      <c r="E500" s="18" t="n"/>
      <c r="F500" s="122" t="n"/>
      <c r="G500" s="122" t="n"/>
      <c r="H500" s="122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</row>
    <row r="501" ht="19" customHeight="1" s="151">
      <c r="A501" s="18" t="n"/>
      <c r="B501" s="18" t="n"/>
      <c r="C501" s="18" t="n"/>
      <c r="D501" s="18" t="n"/>
      <c r="E501" s="18" t="n"/>
      <c r="F501" s="122" t="n"/>
      <c r="G501" s="122" t="n"/>
      <c r="H501" s="122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</row>
    <row r="502" ht="19" customHeight="1" s="151">
      <c r="A502" s="18" t="n"/>
      <c r="B502" s="18" t="n"/>
      <c r="C502" s="18" t="n"/>
      <c r="D502" s="18" t="n"/>
      <c r="E502" s="18" t="n"/>
      <c r="F502" s="122" t="n"/>
      <c r="G502" s="122" t="n"/>
      <c r="H502" s="122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</row>
    <row r="503" ht="19" customHeight="1" s="151">
      <c r="A503" s="18" t="n"/>
      <c r="B503" s="18" t="n"/>
      <c r="C503" s="18" t="n"/>
      <c r="D503" s="18" t="n"/>
      <c r="E503" s="18" t="n"/>
      <c r="F503" s="122" t="n"/>
      <c r="G503" s="122" t="n"/>
      <c r="H503" s="122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</row>
    <row r="504" ht="19" customHeight="1" s="151">
      <c r="A504" s="18" t="n"/>
      <c r="B504" s="18" t="n"/>
      <c r="C504" s="18" t="n"/>
      <c r="D504" s="18" t="n"/>
      <c r="E504" s="18" t="n"/>
      <c r="F504" s="122" t="n"/>
      <c r="G504" s="122" t="n"/>
      <c r="H504" s="122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</row>
    <row r="505" ht="19" customHeight="1" s="151">
      <c r="A505" s="18" t="n"/>
      <c r="B505" s="18" t="n"/>
      <c r="C505" s="18" t="n"/>
      <c r="D505" s="18" t="n"/>
      <c r="E505" s="18" t="n"/>
      <c r="F505" s="122" t="n"/>
      <c r="G505" s="122" t="n"/>
      <c r="H505" s="122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</row>
    <row r="506" ht="19" customHeight="1" s="151">
      <c r="A506" s="18" t="n"/>
      <c r="B506" s="18" t="n"/>
      <c r="C506" s="18" t="n"/>
      <c r="D506" s="18" t="n"/>
      <c r="E506" s="18" t="n"/>
      <c r="F506" s="122" t="n"/>
      <c r="G506" s="122" t="n"/>
      <c r="H506" s="122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</row>
    <row r="507" ht="19" customHeight="1" s="151">
      <c r="A507" s="18" t="n"/>
      <c r="B507" s="18" t="n"/>
      <c r="C507" s="18" t="n"/>
      <c r="D507" s="18" t="n"/>
      <c r="E507" s="18" t="n"/>
      <c r="F507" s="122" t="n"/>
      <c r="G507" s="122" t="n"/>
      <c r="H507" s="122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</row>
    <row r="508" ht="19" customHeight="1" s="151">
      <c r="A508" s="18" t="n"/>
      <c r="B508" s="18" t="n"/>
      <c r="C508" s="18" t="n"/>
      <c r="D508" s="18" t="n"/>
      <c r="E508" s="18" t="n"/>
      <c r="F508" s="122" t="n"/>
      <c r="G508" s="122" t="n"/>
      <c r="H508" s="122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</row>
    <row r="509" ht="19" customHeight="1" s="151">
      <c r="A509" s="18" t="n"/>
      <c r="B509" s="18" t="n"/>
      <c r="C509" s="18" t="n"/>
      <c r="D509" s="18" t="n"/>
      <c r="E509" s="18" t="n"/>
      <c r="F509" s="122" t="n"/>
      <c r="G509" s="122" t="n"/>
      <c r="H509" s="122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</row>
    <row r="510" ht="19" customHeight="1" s="151">
      <c r="A510" s="18" t="n"/>
      <c r="B510" s="18" t="n"/>
      <c r="C510" s="18" t="n"/>
      <c r="D510" s="18" t="n"/>
      <c r="E510" s="18" t="n"/>
      <c r="F510" s="122" t="n"/>
      <c r="G510" s="122" t="n"/>
      <c r="H510" s="122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</row>
    <row r="511" ht="19" customHeight="1" s="151">
      <c r="A511" s="18" t="n"/>
      <c r="B511" s="18" t="n"/>
      <c r="C511" s="18" t="n"/>
      <c r="D511" s="18" t="n"/>
      <c r="E511" s="18" t="n"/>
      <c r="F511" s="122" t="n"/>
      <c r="G511" s="122" t="n"/>
      <c r="H511" s="122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</row>
    <row r="512" ht="19" customHeight="1" s="151">
      <c r="A512" s="18" t="n"/>
      <c r="B512" s="18" t="n"/>
      <c r="C512" s="18" t="n"/>
      <c r="D512" s="18" t="n"/>
      <c r="E512" s="18" t="n"/>
      <c r="F512" s="122" t="n"/>
      <c r="G512" s="122" t="n"/>
      <c r="H512" s="122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</row>
    <row r="513" ht="19" customHeight="1" s="151">
      <c r="A513" s="18" t="n"/>
      <c r="B513" s="18" t="n"/>
      <c r="C513" s="18" t="n"/>
      <c r="D513" s="18" t="n"/>
      <c r="E513" s="18" t="n"/>
      <c r="F513" s="122" t="n"/>
      <c r="G513" s="122" t="n"/>
      <c r="H513" s="122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</row>
    <row r="514" ht="19" customHeight="1" s="151">
      <c r="A514" s="18" t="n"/>
      <c r="B514" s="18" t="n"/>
      <c r="C514" s="18" t="n"/>
      <c r="D514" s="18" t="n"/>
      <c r="E514" s="18" t="n"/>
      <c r="F514" s="122" t="n"/>
      <c r="G514" s="122" t="n"/>
      <c r="H514" s="122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</row>
    <row r="515" ht="19" customHeight="1" s="151">
      <c r="A515" s="18" t="n"/>
      <c r="B515" s="18" t="n"/>
      <c r="C515" s="18" t="n"/>
      <c r="D515" s="18" t="n"/>
      <c r="E515" s="18" t="n"/>
      <c r="F515" s="122" t="n"/>
      <c r="G515" s="122" t="n"/>
      <c r="H515" s="122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</row>
    <row r="516" ht="19" customHeight="1" s="151">
      <c r="A516" s="18" t="n"/>
      <c r="B516" s="18" t="n"/>
      <c r="C516" s="18" t="n"/>
      <c r="D516" s="18" t="n"/>
      <c r="E516" s="18" t="n"/>
      <c r="F516" s="122" t="n"/>
      <c r="G516" s="122" t="n"/>
      <c r="H516" s="122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</row>
    <row r="517" ht="19" customHeight="1" s="151">
      <c r="A517" s="18" t="n"/>
      <c r="B517" s="18" t="n"/>
      <c r="C517" s="18" t="n"/>
      <c r="D517" s="18" t="n"/>
      <c r="E517" s="18" t="n"/>
      <c r="F517" s="122" t="n"/>
      <c r="G517" s="122" t="n"/>
      <c r="H517" s="122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</row>
    <row r="518" ht="19" customHeight="1" s="151">
      <c r="A518" s="18" t="n"/>
      <c r="B518" s="18" t="n"/>
      <c r="C518" s="18" t="n"/>
      <c r="D518" s="18" t="n"/>
      <c r="E518" s="18" t="n"/>
      <c r="F518" s="122" t="n"/>
      <c r="G518" s="122" t="n"/>
      <c r="H518" s="122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</row>
    <row r="519" ht="19" customHeight="1" s="151">
      <c r="A519" s="18" t="n"/>
      <c r="B519" s="18" t="n"/>
      <c r="C519" s="18" t="n"/>
      <c r="D519" s="18" t="n"/>
      <c r="E519" s="18" t="n"/>
      <c r="F519" s="122" t="n"/>
      <c r="G519" s="122" t="n"/>
      <c r="H519" s="122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</row>
    <row r="520" ht="19" customHeight="1" s="151">
      <c r="A520" s="18" t="n"/>
      <c r="B520" s="18" t="n"/>
      <c r="C520" s="18" t="n"/>
      <c r="D520" s="18" t="n"/>
      <c r="E520" s="18" t="n"/>
      <c r="F520" s="122" t="n"/>
      <c r="G520" s="122" t="n"/>
      <c r="H520" s="122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</row>
    <row r="521" ht="19" customHeight="1" s="151">
      <c r="A521" s="18" t="n"/>
      <c r="B521" s="18" t="n"/>
      <c r="C521" s="18" t="n"/>
      <c r="D521" s="18" t="n"/>
      <c r="E521" s="18" t="n"/>
      <c r="F521" s="122" t="n"/>
      <c r="G521" s="122" t="n"/>
      <c r="H521" s="122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</row>
    <row r="522" ht="19" customHeight="1" s="151">
      <c r="A522" s="18" t="n"/>
      <c r="B522" s="18" t="n"/>
      <c r="C522" s="18" t="n"/>
      <c r="D522" s="18" t="n"/>
      <c r="E522" s="18" t="n"/>
      <c r="F522" s="122" t="n"/>
      <c r="G522" s="122" t="n"/>
      <c r="H522" s="122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</row>
    <row r="523" ht="19" customHeight="1" s="151">
      <c r="A523" s="18" t="n"/>
      <c r="B523" s="18" t="n"/>
      <c r="C523" s="18" t="n"/>
      <c r="D523" s="18" t="n"/>
      <c r="E523" s="18" t="n"/>
      <c r="F523" s="122" t="n"/>
      <c r="G523" s="122" t="n"/>
      <c r="H523" s="122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</row>
    <row r="524" ht="19" customHeight="1" s="151">
      <c r="A524" s="18" t="n"/>
      <c r="B524" s="18" t="n"/>
      <c r="C524" s="18" t="n"/>
      <c r="D524" s="18" t="n"/>
      <c r="E524" s="18" t="n"/>
      <c r="F524" s="122" t="n"/>
      <c r="G524" s="122" t="n"/>
      <c r="H524" s="122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</row>
    <row r="525" ht="19" customHeight="1" s="151">
      <c r="A525" s="18" t="n"/>
      <c r="B525" s="18" t="n"/>
      <c r="C525" s="18" t="n"/>
      <c r="D525" s="18" t="n"/>
      <c r="E525" s="18" t="n"/>
      <c r="F525" s="122" t="n"/>
      <c r="G525" s="122" t="n"/>
      <c r="H525" s="122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</row>
    <row r="526" ht="19" customHeight="1" s="151">
      <c r="A526" s="18" t="n"/>
      <c r="B526" s="18" t="n"/>
      <c r="C526" s="18" t="n"/>
      <c r="D526" s="18" t="n"/>
      <c r="E526" s="18" t="n"/>
      <c r="F526" s="122" t="n"/>
      <c r="G526" s="122" t="n"/>
      <c r="H526" s="122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</row>
  </sheetData>
  <conditionalFormatting sqref="E1:E1048576">
    <cfRule type="duplicateValues" priority="2" dxfId="0" stopIfTrue="1"/>
  </conditionalFormatting>
  <dataValidations count="1">
    <dataValidation sqref="D2:D67 D69:D108 D110:D120 D122:D154 D156:D179 D181:D213 D215:D248 D250:D283 D285:D331 D334:D354 D356:D392 D394:D414 D416:D428 D430:D455 D457:D479" showDropDown="0" showInputMessage="0" showErrorMessage="1" allowBlank="1" type="list">
      <formula1>"电商,品牌"</formula1>
    </dataValidation>
  </dataValidations>
  <hyperlinks>
    <hyperlink xmlns:r="http://schemas.openxmlformats.org/officeDocument/2006/relationships" ref="G2" display="https://pgy.xiaohongshu.com/solar/pre-trade/blogger-detail/6051c5660000000001003999?track_id=kolMatch_e5d4f1c458fd42dda1d84a9d8e94cbcd&amp;source=Advertiser_Kol" r:id="rId1"/>
    <hyperlink xmlns:r="http://schemas.openxmlformats.org/officeDocument/2006/relationships" ref="H2" display="https://www.xiaohongshu.com/user/profile/6051c5660000000001003999" r:id="rId2"/>
    <hyperlink xmlns:r="http://schemas.openxmlformats.org/officeDocument/2006/relationships" ref="G3" display="https://pgy.xiaohongshu.com/solar/pre-trade/blogger-detail/5ad174534eacab6488b4a7b6?track_id=kolMatch_e5d4f1c458fd42dda1d84a9d8e94cbcd&amp;source=Advertiser_Kol" r:id="rId3"/>
    <hyperlink xmlns:r="http://schemas.openxmlformats.org/officeDocument/2006/relationships" ref="H3" display="https://www.xiaohongshu.com/user/profile/5ad174534eacab6488b4a7b6" r:id="rId4"/>
    <hyperlink xmlns:r="http://schemas.openxmlformats.org/officeDocument/2006/relationships" ref="G4" display="https://pgy.xiaohongshu.com/solar/pre-trade/blogger-detail/6673d6b5000000001e009fb7?track_id=kolMatch_e5d4f1c458fd42dda1d84a9d8e94cbcd&amp;source=Advertiser_Kol" r:id="rId5"/>
    <hyperlink xmlns:r="http://schemas.openxmlformats.org/officeDocument/2006/relationships" ref="H4" display="https://www.xiaohongshu.com/user/profile/6673d6b5000000001e009fb7" r:id="rId6"/>
    <hyperlink xmlns:r="http://schemas.openxmlformats.org/officeDocument/2006/relationships" ref="G5" display="https://pgy.xiaohongshu.com/solar/pre-trade/blogger-detail/58381a1082ec3913e86dc0a5?track_id=kolMatch_097bbcb74a5f4e0d9c7e3df2d920f8cf&amp;source=Advertiser_Kol" r:id="rId7"/>
    <hyperlink xmlns:r="http://schemas.openxmlformats.org/officeDocument/2006/relationships" ref="H5" display="https://www.xiaohongshu.com/user/profile/58381a1082ec3913e86dc0a5" r:id="rId8"/>
    <hyperlink xmlns:r="http://schemas.openxmlformats.org/officeDocument/2006/relationships" ref="G6" display="https://pgy.xiaohongshu.com/solar/pre-trade/blogger-detail/5d2b29f60000000010015c6d?track_id=kolMatch_097bbcb74a5f4e0d9c7e3df2d920f8cf&amp;source=Advertiser_Kol" r:id="rId9"/>
    <hyperlink xmlns:r="http://schemas.openxmlformats.org/officeDocument/2006/relationships" ref="H6" display="https://www.xiaohongshu.com/user/profile/5d2b29f60000000010015c6d" r:id="rId10"/>
    <hyperlink xmlns:r="http://schemas.openxmlformats.org/officeDocument/2006/relationships" ref="G7" display="https://pgy.xiaohongshu.com/solar/pre-trade/blogger-detail/6661d8f8000000000b0304cd?track_id=kolMatch_116e304b51a040989cc928afb0c6e818&amp;source=Advertiser_Kol" r:id="rId11"/>
    <hyperlink xmlns:r="http://schemas.openxmlformats.org/officeDocument/2006/relationships" ref="H7" display="https://www.xiaohongshu.com/user/profile/6661d8f8000000000b0304cd" r:id="rId12"/>
    <hyperlink xmlns:r="http://schemas.openxmlformats.org/officeDocument/2006/relationships" ref="G8" display="https://pgy.xiaohongshu.com/solar/pre-trade/blogger-detail/5902959f82ec39046a041ee6?track_id=kolMatch_116e304b51a040989cc928afb0c6e818&amp;source=Advertiser_Kol" r:id="rId13"/>
    <hyperlink xmlns:r="http://schemas.openxmlformats.org/officeDocument/2006/relationships" ref="H8" display="https://www.xiaohongshu.com/user/profile/5902959f82ec39046a041ee6" r:id="rId14"/>
    <hyperlink xmlns:r="http://schemas.openxmlformats.org/officeDocument/2006/relationships" ref="G9" display="https://pgy.xiaohongshu.com/solar/pre-trade/blogger-detail/5a2a3d7111be10599ff4912a?track_id=kolMatch_116e304b51a040989cc928afb0c6e818&amp;source=Advertiser_Kol" r:id="rId15"/>
    <hyperlink xmlns:r="http://schemas.openxmlformats.org/officeDocument/2006/relationships" ref="H9" display="https://www.xiaohongshu.com/user/profile/5a2a3d7111be10599ff4912a" r:id="rId16"/>
    <hyperlink xmlns:r="http://schemas.openxmlformats.org/officeDocument/2006/relationships" ref="G10" display="https://pgy.xiaohongshu.com/solar/pre-trade/blogger-detail/65e23917000000000500a638?track_id=kolMatch_4cab5520dd18420fb13ac967a9a30f6d&amp;source=Advertiser_Kol" r:id="rId17"/>
    <hyperlink xmlns:r="http://schemas.openxmlformats.org/officeDocument/2006/relationships" ref="H10" display="https://www.xiaohongshu.com/user/profile/65e23917000000000500a638" r:id="rId18"/>
    <hyperlink xmlns:r="http://schemas.openxmlformats.org/officeDocument/2006/relationships" ref="G11" display="https://pgy.xiaohongshu.com/solar/pre-trade/blogger-detail/62ba37dd000000001b0254a5?track_id=kolMatch_f09eb6f5346c4659bd79b498d7478c0c&amp;source=Advertiser_Kol" r:id="rId19"/>
    <hyperlink xmlns:r="http://schemas.openxmlformats.org/officeDocument/2006/relationships" ref="H11" display="https://www.xiaohongshu.com/user/profile/62ba37dd000000001b0254a5" r:id="rId20"/>
    <hyperlink xmlns:r="http://schemas.openxmlformats.org/officeDocument/2006/relationships" ref="G12" display="https://pgy.xiaohongshu.com/solar/pre-trade/blogger-detail/66bf5cce000000001d032b64?track_id=kolMatch_4cab5520dd18420fb13ac967a9a30f6d&amp;source=Advertiser_Kol" r:id="rId21"/>
    <hyperlink xmlns:r="http://schemas.openxmlformats.org/officeDocument/2006/relationships" ref="H12" display="https://www.xiaohongshu.com/user/profile/66bf5cce000000001d032b64" r:id="rId22"/>
    <hyperlink xmlns:r="http://schemas.openxmlformats.org/officeDocument/2006/relationships" ref="G13" display="https://pgy.xiaohongshu.com/solar/pre-trade/blogger-detail/6678e0660000000007005c29?track_id=kolMatch_4cab5520dd18420fb13ac967a9a30f6d&amp;source=Advertiser_Kol" r:id="rId23"/>
    <hyperlink xmlns:r="http://schemas.openxmlformats.org/officeDocument/2006/relationships" ref="H13" display="https://www.xiaohongshu.com/user/profile/6678e0660000000007005c29" r:id="rId24"/>
    <hyperlink xmlns:r="http://schemas.openxmlformats.org/officeDocument/2006/relationships" ref="G14" display="https://pgy.xiaohongshu.com/solar/pre-trade/blogger-detail/5739f87a5e87e74cf6e4b93f?track_id=kolMatch_9de4fd3b2ef842d2a493d1f259f2803c&amp;source=Advertiser_Kol" r:id="rId25"/>
    <hyperlink xmlns:r="http://schemas.openxmlformats.org/officeDocument/2006/relationships" ref="H14" display="https://www.xiaohongshu.com/user/profile/5739f87a5e87e74cf6e4b93f" r:id="rId26"/>
    <hyperlink xmlns:r="http://schemas.openxmlformats.org/officeDocument/2006/relationships" ref="G15" display="https://pgy.xiaohongshu.com/solar/pre-trade/blogger-detail/5dd3693c0000000001008c1c?track_id=kolMatch_9de4fd3b2ef842d2a493d1f259f2803c&amp;source=Advertiser_Kol" r:id="rId27"/>
    <hyperlink xmlns:r="http://schemas.openxmlformats.org/officeDocument/2006/relationships" ref="H15" display="https://www.xiaohongshu.com/user/profile/5dd3693c0000000001008c1c" r:id="rId28"/>
    <hyperlink xmlns:r="http://schemas.openxmlformats.org/officeDocument/2006/relationships" ref="G16" display="https://pgy.xiaohongshu.com/solar/pre-trade/blogger-detail/5fb7d7e7000000000101ea2d?track_id=kolMatch_9de4fd3b2ef842d2a493d1f259f2803c&amp;source=Advertiser_Kol" r:id="rId29"/>
    <hyperlink xmlns:r="http://schemas.openxmlformats.org/officeDocument/2006/relationships" ref="H16" display="https://www.xiaohongshu.com/user/profile/5fb7d7e7000000000101ea2d" r:id="rId30"/>
    <hyperlink xmlns:r="http://schemas.openxmlformats.org/officeDocument/2006/relationships" ref="G17" display="https://pgy.xiaohongshu.com/solar/pre-trade/blogger-detail/554f0df6b203d9114e8d9b3f?track_id=kolMatch_9de4fd3b2ef842d2a493d1f259f2803c&amp;source=Advertiser_Kol" r:id="rId31"/>
    <hyperlink xmlns:r="http://schemas.openxmlformats.org/officeDocument/2006/relationships" ref="H17" display="https://www.xiaohongshu.com/user/profile/554f0df6b203d9114e8d9b3f" r:id="rId32"/>
    <hyperlink xmlns:r="http://schemas.openxmlformats.org/officeDocument/2006/relationships" ref="G18" display="https://pgy.xiaohongshu.com/solar/pre-trade/blogger-detail/68ed9a23000000003700048b?track_id=kolMatch_9de4fd3b2ef842d2a493d1f259f2803c&amp;source=Advertiser_Kol" r:id="rId33"/>
    <hyperlink xmlns:r="http://schemas.openxmlformats.org/officeDocument/2006/relationships" ref="H18" display="https://www.xiaohongshu.com/user/profile/68ed9a23000000003700048b" r:id="rId34"/>
    <hyperlink xmlns:r="http://schemas.openxmlformats.org/officeDocument/2006/relationships" ref="G19" display="https://pgy.xiaohongshu.com/solar/pre-trade/blogger-detail/594b707e5e87e773f506d280?track_id=kolMatch_6ef72ac6c0e04e74bb662952230175e4&amp;source=Advertiser_Kol" r:id="rId35"/>
    <hyperlink xmlns:r="http://schemas.openxmlformats.org/officeDocument/2006/relationships" ref="H19" display="https://www.xiaohongshu.com/user/profile/594b707e5e87e773f506d280" r:id="rId36"/>
    <hyperlink xmlns:r="http://schemas.openxmlformats.org/officeDocument/2006/relationships" ref="G20" display="https://pgy.xiaohongshu.com/solar/pre-trade/blogger-detail/5cf20e24000000001003c189?track_id=kolMatch_6ef72ac6c0e04e74bb662952230175e4&amp;source=Advertiser_Kol" r:id="rId37"/>
    <hyperlink xmlns:r="http://schemas.openxmlformats.org/officeDocument/2006/relationships" ref="H20" display="https://www.xiaohongshu.com/user/profile/5cf20e24000000001003c189" r:id="rId38"/>
    <hyperlink xmlns:r="http://schemas.openxmlformats.org/officeDocument/2006/relationships" ref="G21" display="https://pgy.xiaohongshu.com/solar/pre-trade/blogger-detail/5e98559900000000010046ed?track_id=kolMatch_721ba45f35674b4b8eb7d2844ab5fbd9&amp;source=Advertiser_Kol" r:id="rId39"/>
    <hyperlink xmlns:r="http://schemas.openxmlformats.org/officeDocument/2006/relationships" ref="H21" display="https://www.xiaohongshu.com/user/profile/5e98559900000000010046ed" r:id="rId40"/>
    <hyperlink xmlns:r="http://schemas.openxmlformats.org/officeDocument/2006/relationships" ref="G22" display="https://pgy.xiaohongshu.com/solar/pre-trade/blogger-detail/5df7be23000000000100b1ec?track_id=kolMatch_721ba45f35674b4b8eb7d2844ab5fbd9&amp;source=Advertiser_Kol" r:id="rId41"/>
    <hyperlink xmlns:r="http://schemas.openxmlformats.org/officeDocument/2006/relationships" ref="H22" display="https://www.xiaohongshu.com/user/profile/5df7be23000000000100b1ec" r:id="rId42"/>
    <hyperlink xmlns:r="http://schemas.openxmlformats.org/officeDocument/2006/relationships" ref="G23" display="https://pgy.xiaohongshu.com/solar/pre-trade/blogger-detail/60b4cb350000000001001d4a?track_id=kolMatch_721ba45f35674b4b8eb7d2844ab5fbd9&amp;source=Advertiser_Kol" r:id="rId43"/>
    <hyperlink xmlns:r="http://schemas.openxmlformats.org/officeDocument/2006/relationships" ref="H23" display="https://www.xiaohongshu.com/user/profile/60b4cb350000000001001d4a" r:id="rId44"/>
    <hyperlink xmlns:r="http://schemas.openxmlformats.org/officeDocument/2006/relationships" ref="G24" display="https://pgy.xiaohongshu.com/solar/pre-trade/blogger-detail/64894776000000002b00a89a?track_id=kolMatch_721ba45f35674b4b8eb7d2844ab5fbd9&amp;source=Advertiser_Kol" r:id="rId45"/>
    <hyperlink xmlns:r="http://schemas.openxmlformats.org/officeDocument/2006/relationships" ref="H24" display="https://www.xiaohongshu.com/user/profile/64894776000000002b00a89a" r:id="rId46"/>
    <hyperlink xmlns:r="http://schemas.openxmlformats.org/officeDocument/2006/relationships" ref="G25" display="https://pgy.xiaohongshu.com/solar/pre-trade/blogger-detail/5a1b881011be10317ba5d982?track_id=kolMatch_bc754cfce7c445638826d58cb5c2e52f&amp;source=Advertiser_Kol" r:id="rId47"/>
    <hyperlink xmlns:r="http://schemas.openxmlformats.org/officeDocument/2006/relationships" ref="H25" display="https://www.xiaohongshu.com/user/profile/5a1b881011be10317ba5d982" r:id="rId48"/>
    <hyperlink xmlns:r="http://schemas.openxmlformats.org/officeDocument/2006/relationships" ref="G26" display="https://pgy.xiaohongshu.com/solar/pre-trade/blogger-detail/59ae51f16a6a692176c60f62?track_id=kolMatch_bc754cfce7c445638826d58cb5c2e52f&amp;source=Advertiser_Kol" r:id="rId49"/>
    <hyperlink xmlns:r="http://schemas.openxmlformats.org/officeDocument/2006/relationships" ref="H26" display="https://www.xiaohongshu.com/user/profile/59ae51f16a6a692176c60f62" r:id="rId50"/>
    <hyperlink xmlns:r="http://schemas.openxmlformats.org/officeDocument/2006/relationships" ref="G27" display="https://pgy.xiaohongshu.com/solar/pre-trade/blogger-detail/5bf7c6c9f1a8c70001143464?track_id=kolMatch_bc754cfce7c445638826d58cb5c2e52f&amp;source=Advertiser_Kol" r:id="rId51"/>
    <hyperlink xmlns:r="http://schemas.openxmlformats.org/officeDocument/2006/relationships" ref="H27" display="https://www.xiaohongshu.com/user/profile/5bf7c6c9f1a8c70001143464" r:id="rId52"/>
    <hyperlink xmlns:r="http://schemas.openxmlformats.org/officeDocument/2006/relationships" ref="G28" display="https://pgy.xiaohongshu.com/solar/pre-trade/blogger-detail/65547da8000000000203538e?track_id=kolMatch_bc754cfce7c445638826d58cb5c2e52f&amp;source=Advertiser_Kol" r:id="rId53"/>
    <hyperlink xmlns:r="http://schemas.openxmlformats.org/officeDocument/2006/relationships" ref="H28" display="https://www.xiaohongshu.com/user/profile/65547da8000000000203538e" r:id="rId54"/>
    <hyperlink xmlns:r="http://schemas.openxmlformats.org/officeDocument/2006/relationships" ref="G29" display="https://pgy.xiaohongshu.com/solar/pre-trade/blogger-detail/62f72cf5000000001e01de01?track_id=kolMatch_bc754cfce7c445638826d58cb5c2e52f&amp;source=Advertiser_Kol" r:id="rId55"/>
    <hyperlink xmlns:r="http://schemas.openxmlformats.org/officeDocument/2006/relationships" ref="H29" display="https://www.xiaohongshu.com/user/profile/62f72cf5000000001e01de01" r:id="rId56"/>
    <hyperlink xmlns:r="http://schemas.openxmlformats.org/officeDocument/2006/relationships" ref="G30" display="https://pgy.xiaohongshu.com/solar/pre-trade/blogger-detail/6725053b000000001d02fab9?track_id=kolMatch_bc754cfce7c445638826d58cb5c2e52f&amp;source=Advertiser_Kol" r:id="rId57"/>
    <hyperlink xmlns:r="http://schemas.openxmlformats.org/officeDocument/2006/relationships" ref="H30" display="https://www.xiaohongshu.com/user/profile/6725053b000000001d02fab9" r:id="rId58"/>
    <hyperlink xmlns:r="http://schemas.openxmlformats.org/officeDocument/2006/relationships" ref="G31" display="https://pgy.xiaohongshu.com/solar/pre-trade/blogger-detail/64e33aa60000000001004c4f?track_id=kolMatch_6d78c13969b04660b2cfbcfe6287bf56&amp;source=Advertiser_Kol" r:id="rId59"/>
    <hyperlink xmlns:r="http://schemas.openxmlformats.org/officeDocument/2006/relationships" ref="H31" display="https://www.xiaohongshu.com/user/profile/64e33aa60000000001004c4f" r:id="rId60"/>
    <hyperlink xmlns:r="http://schemas.openxmlformats.org/officeDocument/2006/relationships" ref="G32" display="https://pgy.xiaohongshu.com/solar/pre-trade/blogger-detail/5d32a5f0000000001603b852?track_id=kolMatch_6d78c13969b04660b2cfbcfe6287bf56&amp;source=Advertiser_Kol" r:id="rId61"/>
    <hyperlink xmlns:r="http://schemas.openxmlformats.org/officeDocument/2006/relationships" ref="H32" display="https://www.xiaohongshu.com/user/profile/5d32a5f0000000001603b852" r:id="rId62"/>
    <hyperlink xmlns:r="http://schemas.openxmlformats.org/officeDocument/2006/relationships" ref="G33" display="https://pgy.xiaohongshu.com/solar/pre-trade/blogger-detail/66114f5000000000030308e7?track_id=kolMatch_6d78c13969b04660b2cfbcfe6287bf56&amp;source=Advertiser_Kol" r:id="rId63"/>
    <hyperlink xmlns:r="http://schemas.openxmlformats.org/officeDocument/2006/relationships" ref="H33" display="https://www.xiaohongshu.com/user/profile/66114f5000000000030308e7" r:id="rId64"/>
    <hyperlink xmlns:r="http://schemas.openxmlformats.org/officeDocument/2006/relationships" ref="G34" display="https://pgy.xiaohongshu.com/solar/pre-trade/blogger-detail/5e87c108000000000100bb41?track_id=kolMatch_6d78c13969b04660b2cfbcfe6287bf56&amp;source=Advertiser_Kol" r:id="rId65"/>
    <hyperlink xmlns:r="http://schemas.openxmlformats.org/officeDocument/2006/relationships" ref="H34" display="https://www.xiaohongshu.com/user/profile/5e87c108000000000100bb41" r:id="rId66"/>
    <hyperlink xmlns:r="http://schemas.openxmlformats.org/officeDocument/2006/relationships" ref="G35" display="https://pgy.xiaohongshu.com/solar/pre-trade/blogger-detail/606b0adf00000000010059ea?track_id=kolMatch_6d78c13969b04660b2cfbcfe6287bf56&amp;source=Advertiser_Kol" r:id="rId67"/>
    <hyperlink xmlns:r="http://schemas.openxmlformats.org/officeDocument/2006/relationships" ref="H35" display="https://www.xiaohongshu.com/user/profile/606b0adf00000000010059ea" r:id="rId68"/>
    <hyperlink xmlns:r="http://schemas.openxmlformats.org/officeDocument/2006/relationships" ref="G36" display="https://pgy.xiaohongshu.com/solar/pre-trade/blogger-detail/5dfc32b20000000001006bf0?track_id=kolMatch_6d78c13969b04660b2cfbcfe6287bf56&amp;source=Advertiser_Kol" r:id="rId69"/>
    <hyperlink xmlns:r="http://schemas.openxmlformats.org/officeDocument/2006/relationships" ref="H36" display="https://www.xiaohongshu.com/user/profile/5dfc32b20000000001006bf0" r:id="rId70"/>
    <hyperlink xmlns:r="http://schemas.openxmlformats.org/officeDocument/2006/relationships" ref="G37" display="https://pgy.xiaohongshu.com/solar/pre-trade/blogger-detail/5cf70b2a000000001201c074?track_id=kolMatch_19aecebf69214ff9b95e7ba5cb9b3a6e&amp;source=Advertiser_Kol" r:id="rId71"/>
    <hyperlink xmlns:r="http://schemas.openxmlformats.org/officeDocument/2006/relationships" ref="H37" display="https://www.xiaohongshu.com/user/profile/5cf70b2a000000001201c074" r:id="rId72"/>
    <hyperlink xmlns:r="http://schemas.openxmlformats.org/officeDocument/2006/relationships" ref="G38" display="https://pgy.xiaohongshu.com/solar/pre-trade/blogger-detail/6732c3600000000001003ac5?track_id=kolMatch_19aecebf69214ff9b95e7ba5cb9b3a6e&amp;source=Advertiser_Kol" r:id="rId73"/>
    <hyperlink xmlns:r="http://schemas.openxmlformats.org/officeDocument/2006/relationships" ref="H38" display="https://www.xiaohongshu.com/user/profile/6732c3600000000001003ac5" r:id="rId74"/>
    <hyperlink xmlns:r="http://schemas.openxmlformats.org/officeDocument/2006/relationships" ref="G39" display="https://pgy.xiaohongshu.com/solar/pre-trade/blogger-detail/67b5ea5c000000000e01f773?track_id=kolMatch_19aecebf69214ff9b95e7ba5cb9b3a6e&amp;source=Advertiser_Kol" r:id="rId75"/>
    <hyperlink xmlns:r="http://schemas.openxmlformats.org/officeDocument/2006/relationships" ref="H39" display="https://www.xiaohongshu.com/user/profile/67b5ea5c000000000e01f773" r:id="rId76"/>
    <hyperlink xmlns:r="http://schemas.openxmlformats.org/officeDocument/2006/relationships" ref="G40" display="https://pgy.xiaohongshu.com/solar/pre-trade/blogger-detail/644d391c000000001f0323bb?track_id=kolMatch_19aecebf69214ff9b95e7ba5cb9b3a6e&amp;source=Advertiser_Kol" r:id="rId77"/>
    <hyperlink xmlns:r="http://schemas.openxmlformats.org/officeDocument/2006/relationships" ref="H40" display="https://www.xiaohongshu.com/user/profile/644d391c000000001f0323bb" r:id="rId78"/>
    <hyperlink xmlns:r="http://schemas.openxmlformats.org/officeDocument/2006/relationships" ref="G41" display="https://pgy.xiaohongshu.com/solar/pre-trade/blogger-detail/5c20b7aa0000000006024d01?track_id=kolMatch_19aecebf69214ff9b95e7ba5cb9b3a6e&amp;source=Advertiser_Kol" r:id="rId79"/>
    <hyperlink xmlns:r="http://schemas.openxmlformats.org/officeDocument/2006/relationships" ref="H41" display="https://www.xiaohongshu.com/user/profile/5c20b7aa0000000006024d01" r:id="rId80"/>
    <hyperlink xmlns:r="http://schemas.openxmlformats.org/officeDocument/2006/relationships" ref="G42" display="https://pgy.xiaohongshu.com/solar/pre-trade/blogger-detail/67a9ad03000000000d00be48?track_id=kolMatch_19aecebf69214ff9b95e7ba5cb9b3a6e&amp;source=Advertiser_Kol" r:id="rId81"/>
    <hyperlink xmlns:r="http://schemas.openxmlformats.org/officeDocument/2006/relationships" ref="H42" display="https://www.xiaohongshu.com/user/profile/67a9ad03000000000d00be48" r:id="rId82"/>
    <hyperlink xmlns:r="http://schemas.openxmlformats.org/officeDocument/2006/relationships" ref="G43" display="https://pgy.xiaohongshu.com/solar/pre-trade/blogger-detail/59bb33d644363b7b96a616df?track_id=kolSimilar_4c91733a2cfc467cbf45644cf17d9996&amp;source=Advertiser_Similar_Kol" r:id="rId83"/>
    <hyperlink xmlns:r="http://schemas.openxmlformats.org/officeDocument/2006/relationships" ref="H43" display="https://www.xiaohongshu.com/user/profile/59bb33d644363b7b96a616df" r:id="rId84"/>
    <hyperlink xmlns:r="http://schemas.openxmlformats.org/officeDocument/2006/relationships" ref="G44" display="https://pgy.xiaohongshu.com/solar/pre-trade/blogger-detail/65f431f8000000000d0264ea?track_id=kolSimilar_3956dbac581d45b9ae5895fb24c8b25f&amp;source=Advertiser_Similar_Kol" r:id="rId85"/>
    <hyperlink xmlns:r="http://schemas.openxmlformats.org/officeDocument/2006/relationships" ref="H44" display="https://www.xiaohongshu.com/user/profile/65f431f8000000000d0264ea" r:id="rId86"/>
    <hyperlink xmlns:r="http://schemas.openxmlformats.org/officeDocument/2006/relationships" ref="G45" display="https://pgy.xiaohongshu.com/solar/pre-trade/blogger-detail/65e82eee000000000500d4f4?track_id=kolSimilar_3956dbac581d45b9ae5895fb24c8b25f&amp;source=Advertiser_Similar_Kol" r:id="rId87"/>
    <hyperlink xmlns:r="http://schemas.openxmlformats.org/officeDocument/2006/relationships" ref="H45" display="https://www.xiaohongshu.com/user/profile/65e82eee000000000500d4f4" r:id="rId88"/>
    <hyperlink xmlns:r="http://schemas.openxmlformats.org/officeDocument/2006/relationships" ref="G46" display="https://pgy.xiaohongshu.com/solar/pre-trade/blogger-detail/676689c0000000001801f2bc?track_id=kolSimilar_3956dbac581d45b9ae5895fb24c8b25f&amp;source=Advertiser_Similar_Kol" r:id="rId89"/>
    <hyperlink xmlns:r="http://schemas.openxmlformats.org/officeDocument/2006/relationships" ref="H46" display="https://www.xiaohongshu.com/user/profile/676689c0000000001801f2bc" r:id="rId90"/>
    <hyperlink xmlns:r="http://schemas.openxmlformats.org/officeDocument/2006/relationships" ref="G47" display="https://pgy.xiaohongshu.com/solar/pre-trade/blogger-detail/5c2390eb000000000700cab7?track_id=kolMatch_7674c4980520418ea6c2713a665d0a42&amp;source=Advertiser_Kol" r:id="rId91"/>
    <hyperlink xmlns:r="http://schemas.openxmlformats.org/officeDocument/2006/relationships" ref="H47" display="https://www.xiaohongshu.com/user/profile/5c2390eb000000000700cab7" r:id="rId92"/>
    <hyperlink xmlns:r="http://schemas.openxmlformats.org/officeDocument/2006/relationships" ref="G48" display="https://pgy.xiaohongshu.com/solar/pre-trade/blogger-detail/58a274e57fc5b808dc2335d1?track_id=kolMatch_7674c4980520418ea6c2713a665d0a42&amp;source=Advertiser_Kol" r:id="rId93"/>
    <hyperlink xmlns:r="http://schemas.openxmlformats.org/officeDocument/2006/relationships" ref="H48" display="https://www.xiaohongshu.com/user/profile/58a274e57fc5b808dc2335d1" r:id="rId94"/>
    <hyperlink xmlns:r="http://schemas.openxmlformats.org/officeDocument/2006/relationships" ref="G49" display="https://pgy.xiaohongshu.com/solar/pre-trade/blogger-detail/5f1fd31700000000010052da?track_id=kolMatch_7674c4980520418ea6c2713a665d0a42&amp;source=Advertiser_Kol" r:id="rId95"/>
    <hyperlink xmlns:r="http://schemas.openxmlformats.org/officeDocument/2006/relationships" ref="H49" display="https://www.xiaohongshu.com/user/profile/5f1fd31700000000010052da" r:id="rId96"/>
    <hyperlink xmlns:r="http://schemas.openxmlformats.org/officeDocument/2006/relationships" ref="G50" display="https://pgy.xiaohongshu.com/solar/pre-trade/blogger-detail/6272568d000000002102b864?track_id=kolMatch_7674c4980520418ea6c2713a665d0a42&amp;source=Advertiser_Kol" r:id="rId97"/>
    <hyperlink xmlns:r="http://schemas.openxmlformats.org/officeDocument/2006/relationships" ref="H50" display="https://www.xiaohongshu.com/user/profile/6272568d000000002102b864" r:id="rId98"/>
    <hyperlink xmlns:r="http://schemas.openxmlformats.org/officeDocument/2006/relationships" ref="G51" display="https://pgy.xiaohongshu.com/solar/pre-trade/blogger-detail/605851b8000000000101c886?track_id=kolMatch_7674c4980520418ea6c2713a665d0a42&amp;source=Advertiser_Kol" r:id="rId99"/>
    <hyperlink xmlns:r="http://schemas.openxmlformats.org/officeDocument/2006/relationships" ref="H51" display="https://www.xiaohongshu.com/user/profile/605851b8000000000101c886" r:id="rId100"/>
    <hyperlink xmlns:r="http://schemas.openxmlformats.org/officeDocument/2006/relationships" ref="G52" display="https://pgy.xiaohongshu.com/solar/pre-trade/blogger-detail/65741019000000002002cb3b?track_id=kolMatch_7674c4980520418ea6c2713a665d0a42&amp;source=Advertiser_Kol" r:id="rId101"/>
    <hyperlink xmlns:r="http://schemas.openxmlformats.org/officeDocument/2006/relationships" ref="H52" display="https://www.xiaohongshu.com/user/profile/65741019000000002002cb3b" r:id="rId102"/>
    <hyperlink xmlns:r="http://schemas.openxmlformats.org/officeDocument/2006/relationships" ref="G53" display="https://pgy.xiaohongshu.com/solar/pre-trade/blogger-detail/6717543b000000001d023d06?track_id=kolMatch_7674c4980520418ea6c2713a665d0a42&amp;source=Advertiser_Kol" r:id="rId103"/>
    <hyperlink xmlns:r="http://schemas.openxmlformats.org/officeDocument/2006/relationships" ref="H53" display="https://www.xiaohongshu.com/user/profile/6717543b000000001d023d06" r:id="rId104"/>
    <hyperlink xmlns:r="http://schemas.openxmlformats.org/officeDocument/2006/relationships" ref="G54" display="https://pgy.xiaohongshu.com/solar/pre-trade/blogger-detail/674859be000000001d02d449?track_id=kolMatch_7674c4980520418ea6c2713a665d0a42&amp;source=Advertiser_Kol" r:id="rId105"/>
    <hyperlink xmlns:r="http://schemas.openxmlformats.org/officeDocument/2006/relationships" ref="H54" display="https://www.xiaohongshu.com/user/profile/674859be000000001d02d449" r:id="rId106"/>
    <hyperlink xmlns:r="http://schemas.openxmlformats.org/officeDocument/2006/relationships" ref="G55" display="https://pgy.xiaohongshu.com/solar/pre-trade/blogger-detail/5d24a8f50000000011036b97?track_id=kolMatch_7674c4980520418ea6c2713a665d0a42&amp;source=Advertiser_Kol" r:id="rId107"/>
    <hyperlink xmlns:r="http://schemas.openxmlformats.org/officeDocument/2006/relationships" ref="H55" display="https://www.xiaohongshu.com/user/profile/5d24a8f50000000011036b97" r:id="rId108"/>
    <hyperlink xmlns:r="http://schemas.openxmlformats.org/officeDocument/2006/relationships" ref="G56" display="https://pgy.xiaohongshu.com/solar/pre-trade/blogger-detail/59ded007de5fb452c18dffc1?track_id=kolMatch_7674c4980520418ea6c2713a665d0a42&amp;source=Advertiser_Kol" r:id="rId109"/>
    <hyperlink xmlns:r="http://schemas.openxmlformats.org/officeDocument/2006/relationships" ref="H56" display="https://www.xiaohongshu.com/user/profile/59ded007de5fb452c18dffc1" r:id="rId110"/>
    <hyperlink xmlns:r="http://schemas.openxmlformats.org/officeDocument/2006/relationships" ref="G57" display="https://pgy.xiaohongshu.com/solar/pre-trade/blogger-detail/675538d5000000001d02ce1c?track_id=kolMatch_a0eb7724d8304aee9ca1cc93a1707c6b&amp;source=Advertiser_Kol" r:id="rId111"/>
    <hyperlink xmlns:r="http://schemas.openxmlformats.org/officeDocument/2006/relationships" ref="H57" display="https://www.xiaohongshu.com/user/profile/675538d5000000001d02ce1c" r:id="rId112"/>
    <hyperlink xmlns:r="http://schemas.openxmlformats.org/officeDocument/2006/relationships" ref="G58" display="https://pgy.xiaohongshu.com/solar/pre-trade/blogger-detail/673c354d000000001d02d017?track_id=kolMatch_a0eb7724d8304aee9ca1cc93a1707c6b&amp;source=Advertiser_Kol" r:id="rId113"/>
    <hyperlink xmlns:r="http://schemas.openxmlformats.org/officeDocument/2006/relationships" ref="H58" display="https://www.xiaohongshu.com/user/profile/673c354d000000001d02d017" r:id="rId114"/>
    <hyperlink xmlns:r="http://schemas.openxmlformats.org/officeDocument/2006/relationships" ref="G59" display="https://pgy.xiaohongshu.com/solar/pre-trade/blogger-detail/63b21ea3000000002702b145?track_id=kolMatch_a0eb7724d8304aee9ca1cc93a1707c6b&amp;source=Advertiser_Kol" r:id="rId115"/>
    <hyperlink xmlns:r="http://schemas.openxmlformats.org/officeDocument/2006/relationships" ref="H59" display="https://www.xiaohongshu.com/user/profile/63b21ea3000000002702b145" r:id="rId116"/>
    <hyperlink xmlns:r="http://schemas.openxmlformats.org/officeDocument/2006/relationships" ref="G60" display="https://pgy.xiaohongshu.com/solar/pre-trade/blogger-detail/5fc5a26e00000000010015c3?track_id=kolMatch_a0eb7724d8304aee9ca1cc93a1707c6b&amp;source=Advertiser_Kol" r:id="rId117"/>
    <hyperlink xmlns:r="http://schemas.openxmlformats.org/officeDocument/2006/relationships" ref="H60" display="https://www.xiaohongshu.com/user/profile/5fc5a26e00000000010015c3" r:id="rId118"/>
    <hyperlink xmlns:r="http://schemas.openxmlformats.org/officeDocument/2006/relationships" ref="G61" display="https://pgy.xiaohongshu.com/solar/pre-trade/blogger-detail/5dad1e34000000000100427d?track_id=kolMatch_a0eb7724d8304aee9ca1cc93a1707c6b&amp;source=Advertiser_Kol" r:id="rId119"/>
    <hyperlink xmlns:r="http://schemas.openxmlformats.org/officeDocument/2006/relationships" ref="H61" display="https://www.xiaohongshu.com/user/profile/5dad1e34000000000100427d" r:id="rId120"/>
    <hyperlink xmlns:r="http://schemas.openxmlformats.org/officeDocument/2006/relationships" ref="G62" display="https://pgy.xiaohongshu.com/solar/pre-trade/blogger-detail/5c22cca70000000007027acb?track_id=kolMatch_a0eb7724d8304aee9ca1cc93a1707c6b&amp;source=Advertiser_Kol" r:id="rId121"/>
    <hyperlink xmlns:r="http://schemas.openxmlformats.org/officeDocument/2006/relationships" ref="H62" display="https://www.xiaohongshu.com/user/profile/5c22cca70000000007027acb" r:id="rId122"/>
    <hyperlink xmlns:r="http://schemas.openxmlformats.org/officeDocument/2006/relationships" ref="G63" display="https://pgy.xiaohongshu.com/solar/pre-trade/blogger-detail/650f91900000000016038706?track_id=kolMatch_a0eb7724d8304aee9ca1cc93a1707c6b&amp;source=Advertiser_Kol" r:id="rId123"/>
    <hyperlink xmlns:r="http://schemas.openxmlformats.org/officeDocument/2006/relationships" ref="H63" display="https://www.xiaohongshu.com/user/profile/650f91900000000016038706" r:id="rId124"/>
    <hyperlink xmlns:r="http://schemas.openxmlformats.org/officeDocument/2006/relationships" ref="G64" display="https://pgy.xiaohongshu.com/solar/pre-trade/blogger-detail/6299c5680000000021028183?track_id=kolMatch_a0eb7724d8304aee9ca1cc93a1707c6b&amp;source=Advertiser_Kol" r:id="rId125"/>
    <hyperlink xmlns:r="http://schemas.openxmlformats.org/officeDocument/2006/relationships" ref="H64" display="https://www.xiaohongshu.com/user/profile/6299c5680000000021028183" r:id="rId126"/>
    <hyperlink xmlns:r="http://schemas.openxmlformats.org/officeDocument/2006/relationships" ref="G65" display="https://pgy.xiaohongshu.com/solar/pre-trade/blogger-detail/68e650f8000000003702b8a4?track_id=kolMatch_18e414f8a1444dc19c2653c383d046e6&amp;source=Advertiser_Kol" r:id="rId127"/>
    <hyperlink xmlns:r="http://schemas.openxmlformats.org/officeDocument/2006/relationships" ref="H65" display="https://www.xiaohongshu.com/user/profile/68e650f8000000003702b8a4" r:id="rId128"/>
    <hyperlink xmlns:r="http://schemas.openxmlformats.org/officeDocument/2006/relationships" ref="G66" display="https://pgy.xiaohongshu.com/solar/pre-trade/blogger-detail/66a33382000000000b0328dd?track_id=kolMatch_18e414f8a1444dc19c2653c383d046e6&amp;source=Advertiser_Kol" r:id="rId129"/>
    <hyperlink xmlns:r="http://schemas.openxmlformats.org/officeDocument/2006/relationships" ref="H66" display="https://www.xiaohongshu.com/user/profile/66a33382000000000b0328dd" r:id="rId130"/>
    <hyperlink xmlns:r="http://schemas.openxmlformats.org/officeDocument/2006/relationships" ref="G67" display="https://pgy.xiaohongshu.com/solar/pre-trade/blogger-detail/63f8d451000000000f0111bc?track_id=kolMatch_18e414f8a1444dc19c2653c383d046e6&amp;source=Advertiser_Kol" r:id="rId131"/>
    <hyperlink xmlns:r="http://schemas.openxmlformats.org/officeDocument/2006/relationships" ref="H67" display="https://www.xiaohongshu.com/user/profile/63f8d451000000000f0111bc" r:id="rId132"/>
    <hyperlink xmlns:r="http://schemas.openxmlformats.org/officeDocument/2006/relationships" ref="G69" display="https://pgy.xiaohongshu.com/solar/pre-trade/blogger-detail/5ff1e5df00000000010044ef?track_id=kolMatch_dd8c9e8c989a45939e5a259b006f2e4d&amp;source=Advertiser_Kol" r:id="rId133"/>
    <hyperlink xmlns:r="http://schemas.openxmlformats.org/officeDocument/2006/relationships" ref="H69" display="https://www.xiaohongshu.com/user/profile/5ff1e5df00000000010044ef" r:id="rId134"/>
    <hyperlink xmlns:r="http://schemas.openxmlformats.org/officeDocument/2006/relationships" ref="G70" display="https://pgy.xiaohongshu.com/solar/pre-trade/blogger-detail/6231c8bd0000000010005fd3?track_id=kolMatch_8230e88bdb4b486db85bb62517de76b6&amp;source=Advertiser_Kol" r:id="rId135"/>
    <hyperlink xmlns:r="http://schemas.openxmlformats.org/officeDocument/2006/relationships" ref="H70" display="https://www.xiaohongshu.com/user/profile/6231c8bd0000000010005fd3" r:id="rId136"/>
    <hyperlink xmlns:r="http://schemas.openxmlformats.org/officeDocument/2006/relationships" ref="G71" display="https://pgy.xiaohongshu.com/solar/pre-trade/blogger-detail/5fab63e10000000001008558?track_id=kolMatch_8230e88bdb4b486db85bb62517de76b6&amp;source=Advertiser_Kol" r:id="rId137"/>
    <hyperlink xmlns:r="http://schemas.openxmlformats.org/officeDocument/2006/relationships" ref="H71" display="https://www.xiaohongshu.com/user/profile/5fab63e10000000001008558" r:id="rId138"/>
    <hyperlink xmlns:r="http://schemas.openxmlformats.org/officeDocument/2006/relationships" ref="G72" display="https://pgy.xiaohongshu.com/solar/pre-trade/blogger-detail/64cd22af000000002b0086c3?track_id=kolMatch_8230e88bdb4b486db85bb62517de76b6&amp;source=Advertiser_Kol" r:id="rId139"/>
    <hyperlink xmlns:r="http://schemas.openxmlformats.org/officeDocument/2006/relationships" ref="H72" display="https://www.xiaohongshu.com/user/profile/64cd22af000000002b0086c3" r:id="rId140"/>
    <hyperlink xmlns:r="http://schemas.openxmlformats.org/officeDocument/2006/relationships" ref="G73" display="https://pgy.xiaohongshu.com/solar/pre-trade/blogger-detail/5c7273060000000010003bd8?track_id=kolMatch_8230e88bdb4b486db85bb62517de76b6&amp;source=Advertiser_Kol" r:id="rId141"/>
    <hyperlink xmlns:r="http://schemas.openxmlformats.org/officeDocument/2006/relationships" ref="H73" display="https://www.xiaohongshu.com/user/profile/5c7273060000000010003bd8" r:id="rId142"/>
    <hyperlink xmlns:r="http://schemas.openxmlformats.org/officeDocument/2006/relationships" ref="G74" display="https://pgy.xiaohongshu.com/solar/pre-trade/blogger-detail/6673fe0f0000000007004e4f?track_id=kolMatch_8230e88bdb4b486db85bb62517de76b6&amp;source=Advertiser_Kol" r:id="rId143"/>
    <hyperlink xmlns:r="http://schemas.openxmlformats.org/officeDocument/2006/relationships" ref="H74" display="https://www.xiaohongshu.com/user/profile/6673fe0f0000000007004e4f" r:id="rId144"/>
    <hyperlink xmlns:r="http://schemas.openxmlformats.org/officeDocument/2006/relationships" ref="G75" display="https://pgy.xiaohongshu.com/solar/pre-trade/blogger-detail/649bf748000000000b016212?track_id=kolMatch_8230e88bdb4b486db85bb62517de76b6&amp;source=Advertiser_Kol" r:id="rId145"/>
    <hyperlink xmlns:r="http://schemas.openxmlformats.org/officeDocument/2006/relationships" ref="H75" display="https://www.xiaohongshu.com/user/profile/649bf748000000000b016212" r:id="rId146"/>
    <hyperlink xmlns:r="http://schemas.openxmlformats.org/officeDocument/2006/relationships" ref="G76" display="https://pgy.xiaohongshu.com/solar/pre-trade/blogger-detail/599e830c6a6a696da5a56754?track_id=kolMatch_8230e88bdb4b486db85bb62517de76b6&amp;source=Advertiser_Kol" r:id="rId147"/>
    <hyperlink xmlns:r="http://schemas.openxmlformats.org/officeDocument/2006/relationships" ref="H76" display="https://www.xiaohongshu.com/user/profile/599e830c6a6a696da5a56754" r:id="rId148"/>
    <hyperlink xmlns:r="http://schemas.openxmlformats.org/officeDocument/2006/relationships" ref="G77" display="https://pgy.xiaohongshu.com/solar/pre-trade/blogger-detail/680ce0b3000000000a03d5f0?track_id=kolMatch_8230e88bdb4b486db85bb62517de76b6&amp;source=Advertiser_Kol" r:id="rId149"/>
    <hyperlink xmlns:r="http://schemas.openxmlformats.org/officeDocument/2006/relationships" ref="H77" display="https://www.xiaohongshu.com/user/profile/680ce0b3000000000a03d5f0" r:id="rId150"/>
    <hyperlink xmlns:r="http://schemas.openxmlformats.org/officeDocument/2006/relationships" ref="G78" display="https://pgy.xiaohongshu.com/solar/pre-trade/blogger-detail/5db43bbc000000000100547b?track_id=kolMatch_dd8c9e8c989a45939e5a259b006f2e4d&amp;source=Advertiser_Kol" r:id="rId151"/>
    <hyperlink xmlns:r="http://schemas.openxmlformats.org/officeDocument/2006/relationships" ref="H78" display="https://www.xiaohongshu.com/user/profile/5db43bbc000000000100547b" r:id="rId152"/>
    <hyperlink xmlns:r="http://schemas.openxmlformats.org/officeDocument/2006/relationships" ref="G79" display="https://pgy.xiaohongshu.com/solar/pre-trade/blogger-detail/5afac32011be1044f1c0cbcb?track_id=kolMatch_d78519dc2d86498690b1f22927c28c53&amp;source=Advertiser_Kol" r:id="rId153"/>
    <hyperlink xmlns:r="http://schemas.openxmlformats.org/officeDocument/2006/relationships" ref="H79" display="https://www.xiaohongshu.com/user/profile/5afac32011be1044f1c0cbcb" r:id="rId154"/>
    <hyperlink xmlns:r="http://schemas.openxmlformats.org/officeDocument/2006/relationships" ref="G80" display="https://pgy.xiaohongshu.com/solar/pre-trade/blogger-detail/5fae7dca000000000101d8c5?track_id=kolMatch_4d0f177ed4254c2a896e9d60d484124d&amp;source=Advertiser_Kol" r:id="rId155"/>
    <hyperlink xmlns:r="http://schemas.openxmlformats.org/officeDocument/2006/relationships" ref="H80" display="https://www.xiaohongshu.com/user/profile/5fae7dca000000000101d8c5" r:id="rId156"/>
    <hyperlink xmlns:r="http://schemas.openxmlformats.org/officeDocument/2006/relationships" ref="G81" display="https://pgy.xiaohongshu.com/solar/pre-trade/blogger-detail/5ceff0c10000000011027153?track_id=kolMatch_4d0f177ed4254c2a896e9d60d484124d&amp;source=Advertiser_Kol" r:id="rId157"/>
    <hyperlink xmlns:r="http://schemas.openxmlformats.org/officeDocument/2006/relationships" ref="H81" display="https://www.xiaohongshu.com/user/profile/5ceff0c10000000011027153" r:id="rId158"/>
    <hyperlink xmlns:r="http://schemas.openxmlformats.org/officeDocument/2006/relationships" ref="G82" display="https://pgy.xiaohongshu.com/solar/pre-trade/blogger-detail/61a9d194000000001000c9a2?track_id=kolMatch_dd8c9e8c989a45939e5a259b006f2e4d&amp;source=Advertiser_Kol" r:id="rId159"/>
    <hyperlink xmlns:r="http://schemas.openxmlformats.org/officeDocument/2006/relationships" ref="H82" display="https://www.xiaohongshu.com/user/profile/61a9d194000000001000c9a2" r:id="rId160"/>
    <hyperlink xmlns:r="http://schemas.openxmlformats.org/officeDocument/2006/relationships" ref="G83" display="https://pgy.xiaohongshu.com/solar/pre-trade/blogger-detail/6591216b0000000022003c19?track_id=kolMatch_dd8c9e8c989a45939e5a259b006f2e4d&amp;source=Advertiser_Kol" r:id="rId161"/>
    <hyperlink xmlns:r="http://schemas.openxmlformats.org/officeDocument/2006/relationships" ref="H83" display="https://www.xiaohongshu.com/user/profile/6591216b0000000022003c19" r:id="rId162"/>
    <hyperlink xmlns:r="http://schemas.openxmlformats.org/officeDocument/2006/relationships" ref="G84" display="https://pgy.xiaohongshu.com/solar/pre-trade/blogger-detail/633adc63000000001802a8ba?track_id=kolMatch_dd8c9e8c989a45939e5a259b006f2e4d&amp;source=Advertiser_Kol" r:id="rId163"/>
    <hyperlink xmlns:r="http://schemas.openxmlformats.org/officeDocument/2006/relationships" ref="H84" display="https://www.xiaohongshu.com/user/profile/633adc63000000001802a8ba" r:id="rId164"/>
    <hyperlink xmlns:r="http://schemas.openxmlformats.org/officeDocument/2006/relationships" ref="G85" display="https://pgy.xiaohongshu.com/solar/pre-trade/blogger-detail/567565369eb57844adfcea1f?track_id=kolMatch_dd8c9e8c989a45939e5a259b006f2e4d&amp;source=Advertiser_Kol" r:id="rId165"/>
    <hyperlink xmlns:r="http://schemas.openxmlformats.org/officeDocument/2006/relationships" ref="H85" display="https://www.xiaohongshu.com/user/profile/567565369eb57844adfcea1f" r:id="rId166"/>
    <hyperlink xmlns:r="http://schemas.openxmlformats.org/officeDocument/2006/relationships" ref="G86" display="https://pgy.xiaohongshu.com/solar/pre-trade/blogger-detail/664819040000000007004c29?track_id=kolMatch_dd8c9e8c989a45939e5a259b006f2e4d&amp;source=Advertiser_Kol" r:id="rId167"/>
    <hyperlink xmlns:r="http://schemas.openxmlformats.org/officeDocument/2006/relationships" ref="H86" display="https://www.xiaohongshu.com/user/profile/664819040000000007004c29" r:id="rId168"/>
    <hyperlink xmlns:r="http://schemas.openxmlformats.org/officeDocument/2006/relationships" ref="G87" display="https://pgy.xiaohongshu.com/solar/pre-trade/blogger-detail/5fabc44c0000000001001024?track_id=kolMatch_b3070604ce7340b7961df4a2c7add478&amp;source=Advertiser_Kol" r:id="rId169"/>
    <hyperlink xmlns:r="http://schemas.openxmlformats.org/officeDocument/2006/relationships" ref="H87" display="https://www.xiaohongshu.com/user/profile/5fabc44c0000000001001024" r:id="rId170"/>
    <hyperlink xmlns:r="http://schemas.openxmlformats.org/officeDocument/2006/relationships" ref="G88" display="https://pgy.xiaohongshu.com/solar/pre-trade/blogger-detail/67c17493000000000e02c98b?track_id=kolMatch_5a8b798434114d7aa20688dcd095b104&amp;source=Advertiser_Kol" r:id="rId171"/>
    <hyperlink xmlns:r="http://schemas.openxmlformats.org/officeDocument/2006/relationships" ref="H88" display="https://www.xiaohongshu.com/user/profile/67c17493000000000e02c98b" r:id="rId172"/>
    <hyperlink xmlns:r="http://schemas.openxmlformats.org/officeDocument/2006/relationships" ref="G89" display="https://pgy.xiaohongshu.com/solar/pre-trade/blogger-detail/634821d7000000001901cf1c?track_id=kolMatch_8230e88bdb4b486db85bb62517de76b6&amp;source=Advertiser_Kol" r:id="rId173"/>
    <hyperlink xmlns:r="http://schemas.openxmlformats.org/officeDocument/2006/relationships" ref="H89" display="https://www.xiaohongshu.com/user/profile/634821d7000000001901cf1c" r:id="rId174"/>
    <hyperlink xmlns:r="http://schemas.openxmlformats.org/officeDocument/2006/relationships" ref="G90" display="https://pgy.xiaohongshu.com/solar/pre-trade/blogger-detail/578307cb5e87e71b46c90c7e?track_id=kolMatch_dd8c9e8c989a45939e5a259b006f2e4d&amp;source=Advertiser_Kol" r:id="rId175"/>
    <hyperlink xmlns:r="http://schemas.openxmlformats.org/officeDocument/2006/relationships" ref="H90" display="https://www.xiaohongshu.com/user/profile/578307cb5e87e71b46c90c7e" r:id="rId176"/>
    <hyperlink xmlns:r="http://schemas.openxmlformats.org/officeDocument/2006/relationships" ref="G91" display="https://pgy.xiaohongshu.com/solar/pre-trade/blogger-detail/58eca05b5e87e77358557276?track_id=kolMatch_dd8c9e8c989a45939e5a259b006f2e4d&amp;source=Advertiser_Kol" r:id="rId177"/>
    <hyperlink xmlns:r="http://schemas.openxmlformats.org/officeDocument/2006/relationships" ref="H91" display="https://www.xiaohongshu.com/user/profile/58eca05b5e87e77358557276" r:id="rId178"/>
    <hyperlink xmlns:r="http://schemas.openxmlformats.org/officeDocument/2006/relationships" ref="G92" display="https://pgy.xiaohongshu.com/solar/pre-trade/blogger-detail/66e50a5e000000001b0390ec?track_id=kolMatch_dd8c9e8c989a45939e5a259b006f2e4d&amp;source=Advertiser_Kol" r:id="rId179"/>
    <hyperlink xmlns:r="http://schemas.openxmlformats.org/officeDocument/2006/relationships" ref="H92" display="https://www.xiaohongshu.com/user/profile/66e50a5e000000001b0390ec" r:id="rId180"/>
    <hyperlink xmlns:r="http://schemas.openxmlformats.org/officeDocument/2006/relationships" ref="G93" display="https://pgy.xiaohongshu.com/solar/pre-trade/blogger-detail/65eb3513000000000500eafd?track_id=kolMatch_8230e88bdb4b486db85bb62517de76b6&amp;source=Advertiser_Kol" r:id="rId181"/>
    <hyperlink xmlns:r="http://schemas.openxmlformats.org/officeDocument/2006/relationships" ref="H93" display="https://www.xiaohongshu.com/user/profile/65eb3513000000000500eafd" r:id="rId182"/>
    <hyperlink xmlns:r="http://schemas.openxmlformats.org/officeDocument/2006/relationships" ref="G94" display="https://pgy.xiaohongshu.com/solar/pre-trade/blogger-detail/598c568c82ec3975a3bccfcd?track_id=kolMatch_db732fc4b30841309affcefcf916006c&amp;source=Advertiser_Kol" r:id="rId183"/>
    <hyperlink xmlns:r="http://schemas.openxmlformats.org/officeDocument/2006/relationships" ref="H94" display="https://www.xiaohongshu.com/user/profile/598c568c82ec3975a3bccfcd" r:id="rId184"/>
    <hyperlink xmlns:r="http://schemas.openxmlformats.org/officeDocument/2006/relationships" ref="G95" display="https://pgy.xiaohongshu.com/solar/pre-trade/blogger-detail/606f10ad0000000001000b8d?track_id=kolMatch_db732fc4b30841309affcefcf916006c&amp;source=Advertiser_Kol" r:id="rId185"/>
    <hyperlink xmlns:r="http://schemas.openxmlformats.org/officeDocument/2006/relationships" ref="H95" display="https://www.xiaohongshu.com/user/profile/606f10ad0000000001000b8d" r:id="rId186"/>
    <hyperlink xmlns:r="http://schemas.openxmlformats.org/officeDocument/2006/relationships" ref="G96" display="https://pgy.xiaohongshu.com/solar/pre-trade/blogger-detail/5754e9b85e87e7791baf499c?track_id=kolMatch_b3070604ce7340b7961df4a2c7add478&amp;source=Advertiser_Kol" r:id="rId187"/>
    <hyperlink xmlns:r="http://schemas.openxmlformats.org/officeDocument/2006/relationships" ref="H96" display="https://www.xiaohongshu.com/user/profile/5754e9b85e87e7791baf499c" r:id="rId188"/>
    <hyperlink xmlns:r="http://schemas.openxmlformats.org/officeDocument/2006/relationships" ref="G97" display="https://pgy.xiaohongshu.com/solar/pre-trade/blogger-detail/5fca1f1d000000000100478a?track_id=kolMatch_db732fc4b30841309affcefcf916006c&amp;source=Advertiser_Kol" r:id="rId189"/>
    <hyperlink xmlns:r="http://schemas.openxmlformats.org/officeDocument/2006/relationships" ref="H97" display="https://www.xiaohongshu.com/user/profile/5fca1f1d000000000100478a" r:id="rId190"/>
    <hyperlink xmlns:r="http://schemas.openxmlformats.org/officeDocument/2006/relationships" ref="G98" display="https://pgy.xiaohongshu.com/solar/pre-trade/blogger-detail/67877bbc000000000803ed71?track_id=kolMatch_4d0f177ed4254c2a896e9d60d484124d&amp;source=Advertiser_Kol" r:id="rId191"/>
    <hyperlink xmlns:r="http://schemas.openxmlformats.org/officeDocument/2006/relationships" ref="H98" display="https://www.xiaohongshu.com/user/profile/67877bbc000000000803ed71" r:id="rId192"/>
    <hyperlink xmlns:r="http://schemas.openxmlformats.org/officeDocument/2006/relationships" ref="G99" display="https://pgy.xiaohongshu.com/solar/pre-trade/blogger-detail/6611eb4b00000000070042cd?track_id=kolMatch_42f1f035a1004bbfb823f2cdf06cc96a&amp;source=Advertiser_Kol" r:id="rId193"/>
    <hyperlink xmlns:r="http://schemas.openxmlformats.org/officeDocument/2006/relationships" ref="H99" display="https://www.xiaohongshu.com/user/profile/6611eb4b00000000070042cd" r:id="rId194"/>
    <hyperlink xmlns:r="http://schemas.openxmlformats.org/officeDocument/2006/relationships" ref="G100" display="https://pgy.xiaohongshu.com/solar/pre-trade/blogger-detail/61740316000000000201a47f?track_id=kolMatch_b3070604ce7340b7961df4a2c7add478&amp;source=Advertiser_Kol" r:id="rId195"/>
    <hyperlink xmlns:r="http://schemas.openxmlformats.org/officeDocument/2006/relationships" ref="H100" display="https://www.xiaohongshu.com/user/profile/61740316000000000201a47f" r:id="rId196"/>
    <hyperlink xmlns:r="http://schemas.openxmlformats.org/officeDocument/2006/relationships" ref="G101" display="https://pgy.xiaohongshu.com/solar/pre-trade/blogger-detail/6784e981000000000801eb1a?track_id=kolMatch_b3070604ce7340b7961df4a2c7add478&amp;source=Advertiser_Kol" r:id="rId197"/>
    <hyperlink xmlns:r="http://schemas.openxmlformats.org/officeDocument/2006/relationships" ref="H101" display="https://www.xiaohongshu.com/user/profile/6784e981000000000801eb1a" r:id="rId198"/>
    <hyperlink xmlns:r="http://schemas.openxmlformats.org/officeDocument/2006/relationships" ref="G102" display="https://pgy.xiaohongshu.com/solar/pre-trade/blogger-detail/5c77f657000000001601e325?track_id=kolMatch_b3070604ce7340b7961df4a2c7add478&amp;source=Advertiser_Kol" r:id="rId199"/>
    <hyperlink xmlns:r="http://schemas.openxmlformats.org/officeDocument/2006/relationships" ref="H102" display="https://www.xiaohongshu.com/user/profile/5c77f657000000001601e325" r:id="rId200"/>
    <hyperlink xmlns:r="http://schemas.openxmlformats.org/officeDocument/2006/relationships" ref="G103" display="https://pgy.xiaohongshu.com/solar/pre-trade/blogger-detail/58a96b1750c4b459fe772475?track_id=kolMatch_b3070604ce7340b7961df4a2c7add478&amp;source=Advertiser_Kol" r:id="rId201"/>
    <hyperlink xmlns:r="http://schemas.openxmlformats.org/officeDocument/2006/relationships" ref="H103" display="https://www.xiaohongshu.com/user/profile/58a96b1750c4b459fe772475" r:id="rId202"/>
    <hyperlink xmlns:r="http://schemas.openxmlformats.org/officeDocument/2006/relationships" ref="G104" display="https://pgy.xiaohongshu.com/solar/pre-trade/blogger-detail/666a4cb3000000000303290a?track_id=kolMatch_b3070604ce7340b7961df4a2c7add478&amp;source=Advertiser_Kol" r:id="rId203"/>
    <hyperlink xmlns:r="http://schemas.openxmlformats.org/officeDocument/2006/relationships" ref="H104" display="https://www.xiaohongshu.com/user/profile/666a4cb3000000000303290a" r:id="rId204"/>
    <hyperlink xmlns:r="http://schemas.openxmlformats.org/officeDocument/2006/relationships" ref="G105" display="https://pgy.xiaohongshu.com/solar/pre-trade/blogger-detail/5ded0479000000000100633a?track_id=kolMatch_ec078e3113554f988acfa97112146279&amp;source=Advertiser_Kol" r:id="rId205"/>
    <hyperlink xmlns:r="http://schemas.openxmlformats.org/officeDocument/2006/relationships" ref="H105" display="https://www.xiaohongshu.com/user/profile/5ded0479000000000100633a" r:id="rId206"/>
    <hyperlink xmlns:r="http://schemas.openxmlformats.org/officeDocument/2006/relationships" ref="G106" display="https://pgy.xiaohongshu.com/solar/pre-trade/blogger-detail/675e3238000000001403369d?track_id=kolMatch_ec078e3113554f988acfa97112146279&amp;source=Advertiser_Kol" r:id="rId207"/>
    <hyperlink xmlns:r="http://schemas.openxmlformats.org/officeDocument/2006/relationships" ref="H106" display="https://www.xiaohongshu.com/user/profile/675e3238000000001403369d" r:id="rId208"/>
    <hyperlink xmlns:r="http://schemas.openxmlformats.org/officeDocument/2006/relationships" ref="G107" display="https://pgy.xiaohongshu.com/solar/pre-trade/blogger-detail/66efd32a000000001d023f23?track_id=kolMatch_ec078e3113554f988acfa97112146279&amp;source=Advertiser_Kol" r:id="rId209"/>
    <hyperlink xmlns:r="http://schemas.openxmlformats.org/officeDocument/2006/relationships" ref="H107" display="https://www.xiaohongshu.com/user/profile/66efd32a000000001d023f23" r:id="rId210"/>
    <hyperlink xmlns:r="http://schemas.openxmlformats.org/officeDocument/2006/relationships" ref="G108" display="https://pgy.xiaohongshu.com/solar/pre-trade/blogger-detail/606a6d48000000000101e119?track_id=kolMatch_ec078e3113554f988acfa97112146279&amp;source=Advertiser_Kol" r:id="rId211"/>
    <hyperlink xmlns:r="http://schemas.openxmlformats.org/officeDocument/2006/relationships" ref="H108" display="https://www.xiaohongshu.com/user/profile/606a6d48000000000101e119" r:id="rId212"/>
    <hyperlink xmlns:r="http://schemas.openxmlformats.org/officeDocument/2006/relationships" ref="G110" display="https://pgy.xiaohongshu.com/solar/pre-trade/blogger-detail/636271e7000000001f014332?track_id=kolMatch_504f29801f1d4fd49e73d637254ba926&amp;source=Advertiser_Kol" r:id="rId213"/>
    <hyperlink xmlns:r="http://schemas.openxmlformats.org/officeDocument/2006/relationships" ref="H110" display="https://www.xiaohongshu.com/user/profile/636271e7000000001f014332" r:id="rId214"/>
    <hyperlink xmlns:r="http://schemas.openxmlformats.org/officeDocument/2006/relationships" ref="G111" display="https://pgy.xiaohongshu.com/solar/pre-trade/blogger-detail/616156290000000002024ed3?track_id=kolMatch_504f29801f1d4fd49e73d637254ba926&amp;source=Advertiser_Kol" r:id="rId215"/>
    <hyperlink xmlns:r="http://schemas.openxmlformats.org/officeDocument/2006/relationships" ref="H111" display="https://www.xiaohongshu.com/user/profile/616156290000000002024ed3" r:id="rId216"/>
    <hyperlink xmlns:r="http://schemas.openxmlformats.org/officeDocument/2006/relationships" ref="G112" display="https://pgy.xiaohongshu.com/solar/pre-trade/blogger-detail/5fd2cc8d000000000101d0ac?track_id=kolMatch_504f29801f1d4fd49e73d637254ba926&amp;source=Advertiser_Kol" r:id="rId217"/>
    <hyperlink xmlns:r="http://schemas.openxmlformats.org/officeDocument/2006/relationships" ref="H112" display="https://www.xiaohongshu.com/user/profile/5fd2cc8d000000000101d0ac" r:id="rId218"/>
    <hyperlink xmlns:r="http://schemas.openxmlformats.org/officeDocument/2006/relationships" ref="G113" display="https://pgy.xiaohongshu.com/solar/pre-trade/blogger-detail/647ed9ca0000000012034ddb?track_id=kolMatch_504f29801f1d4fd49e73d637254ba926&amp;source=Advertiser_Kol" r:id="rId219"/>
    <hyperlink xmlns:r="http://schemas.openxmlformats.org/officeDocument/2006/relationships" ref="H113" display="https://www.xiaohongshu.com/user/profile/647ed9ca0000000012034ddb" r:id="rId220"/>
    <hyperlink xmlns:r="http://schemas.openxmlformats.org/officeDocument/2006/relationships" ref="G114" display="https://pgy.xiaohongshu.com/solar/pre-trade/blogger-detail/58ff1e245e87e7751b93c38d?track_id=kolMatch_504f29801f1d4fd49e73d637254ba926&amp;source=Advertiser_Kol" r:id="rId221"/>
    <hyperlink xmlns:r="http://schemas.openxmlformats.org/officeDocument/2006/relationships" ref="H114" display="https://www.xiaohongshu.com/user/profile/58ff1e245e87e7751b93c38d" r:id="rId222"/>
    <hyperlink xmlns:r="http://schemas.openxmlformats.org/officeDocument/2006/relationships" ref="G115" display="https://pgy.xiaohongshu.com/solar/pre-trade/blogger-detail/64b7709c000000001403ede7?track_id=kolMatch_2f2985a15fe94142897124decaed1ddb&amp;source=Advertiser_Kol" r:id="rId223"/>
    <hyperlink xmlns:r="http://schemas.openxmlformats.org/officeDocument/2006/relationships" ref="H115" display="https://www.xiaohongshu.com/user/profile/64b7709c000000001403ede7" r:id="rId224"/>
    <hyperlink xmlns:r="http://schemas.openxmlformats.org/officeDocument/2006/relationships" ref="G116" display="https://pgy.xiaohongshu.com/solar/pre-trade/blogger-detail/5bbd506d4eacab39786f37f7?track_id=kolMatch_2f2985a15fe94142897124decaed1ddb&amp;source=Advertiser_Kol" r:id="rId225"/>
    <hyperlink xmlns:r="http://schemas.openxmlformats.org/officeDocument/2006/relationships" ref="H116" display="https://www.xiaohongshu.com/user/profile/5bbd506d4eacab39786f37f7" r:id="rId226"/>
    <hyperlink xmlns:r="http://schemas.openxmlformats.org/officeDocument/2006/relationships" ref="G117" display="https://pgy.xiaohongshu.com/solar/pre-trade/blogger-detail/5f6314bb00000000010033dd?track_id=kolMatch_10b121357444437a981800edffa8bcba&amp;source=Advertiser_Kol" r:id="rId227"/>
    <hyperlink xmlns:r="http://schemas.openxmlformats.org/officeDocument/2006/relationships" ref="H117" display="https://www.xiaohongshu.com/user/profile/5f6314bb00000000010033dd" r:id="rId228"/>
    <hyperlink xmlns:r="http://schemas.openxmlformats.org/officeDocument/2006/relationships" ref="G118" display="https://pgy.xiaohongshu.com/solar/pre-trade/blogger-detail/66910ae100000000030308af?track_id=kolMatch_10b121357444437a981800edffa8bcba&amp;source=Advertiser_Kol" r:id="rId229"/>
    <hyperlink xmlns:r="http://schemas.openxmlformats.org/officeDocument/2006/relationships" ref="H118" display="https://www.xiaohongshu.com/user/profile/66910ae100000000030308af" r:id="rId230"/>
    <hyperlink xmlns:r="http://schemas.openxmlformats.org/officeDocument/2006/relationships" ref="G119" display="https://pgy.xiaohongshu.com/solar/pre-trade/blogger-detail/65ddcfad000000000500cb1b?track_id=kolMatch_10b121357444437a981800edffa8bcba&amp;source=Advertiser_Kol" r:id="rId231"/>
    <hyperlink xmlns:r="http://schemas.openxmlformats.org/officeDocument/2006/relationships" ref="H119" display="https://www.xiaohongshu.com/user/profile/65ddcfad000000000500cb1b" r:id="rId232"/>
    <hyperlink xmlns:r="http://schemas.openxmlformats.org/officeDocument/2006/relationships" ref="G120" display="https://pgy.xiaohongshu.com/solar/pre-trade/blogger-detail/67c17493000000000e02c98b?track_id=kolMatch_7a7873c386504fc4a56815c417547dc0&amp;source=Advertiser_Kol" r:id="rId233"/>
    <hyperlink xmlns:r="http://schemas.openxmlformats.org/officeDocument/2006/relationships" ref="H120" display="https://www.xiaohongshu.com/user/profile/67c17493000000000e02c98b" r:id="rId234"/>
    <hyperlink xmlns:r="http://schemas.openxmlformats.org/officeDocument/2006/relationships" ref="G122" display="https://pgy.xiaohongshu.com/solar/pre-trade/blogger-detail/654b2695000000000400a7ec?track_id=kolMatch_f43be16f77cb4a71b418d790cf7bfaff&amp;source=Advertiser_Kol" r:id="rId235"/>
    <hyperlink xmlns:r="http://schemas.openxmlformats.org/officeDocument/2006/relationships" ref="H122" display="https://www.xiaohongshu.com/user/profile/654b2695000000000400a7ec" r:id="rId236"/>
    <hyperlink xmlns:r="http://schemas.openxmlformats.org/officeDocument/2006/relationships" ref="G123" display="https://pgy.xiaohongshu.com/solar/pre-trade/blogger-detail/5c64e30e0000000011034842?track_id=kolMatch_41546b3a86de45cab5ca1fdf2ce52b81&amp;source=Advertiser_Kol" r:id="rId237"/>
    <hyperlink xmlns:r="http://schemas.openxmlformats.org/officeDocument/2006/relationships" ref="H123" display="https://www.xiaohongshu.com/user/profile/5c64e30e0000000011034842" r:id="rId238"/>
    <hyperlink xmlns:r="http://schemas.openxmlformats.org/officeDocument/2006/relationships" ref="G124" display="https://pgy.xiaohongshu.com/solar/pre-trade/blogger-detail/5b544735f7e8b93e4d3ee509?track_id=kolMatch_e3193b37808049a68515c6bccc801c77&amp;source=Advertiser_Kol" r:id="rId239"/>
    <hyperlink xmlns:r="http://schemas.openxmlformats.org/officeDocument/2006/relationships" ref="H124" display="https://www.xiaohongshu.com/user/profile/5b544735f7e8b93e4d3ee509" r:id="rId240"/>
    <hyperlink xmlns:r="http://schemas.openxmlformats.org/officeDocument/2006/relationships" ref="G125" display="https://pgy.xiaohongshu.com/solar/pre-trade/blogger-detail/64e5af00000000000101205a?track_id=kolMatch_e3193b37808049a68515c6bccc801c77&amp;source=Advertiser_Kol" r:id="rId241"/>
    <hyperlink xmlns:r="http://schemas.openxmlformats.org/officeDocument/2006/relationships" ref="H125" display="https://www.xiaohongshu.com/user/profile/64e5af00000000000101205a" r:id="rId242"/>
    <hyperlink xmlns:r="http://schemas.openxmlformats.org/officeDocument/2006/relationships" ref="G126" display="https://pgy.xiaohongshu.com/solar/pre-trade/blogger-detail/639de2c50000000026012a6f?track_id=kolMatch_e3193b37808049a68515c6bccc801c77&amp;source=Advertiser_Kol" r:id="rId243"/>
    <hyperlink xmlns:r="http://schemas.openxmlformats.org/officeDocument/2006/relationships" ref="H126" display="https://www.xiaohongshu.com/user/profile/639de2c50000000026012a6f" r:id="rId244"/>
    <hyperlink xmlns:r="http://schemas.openxmlformats.org/officeDocument/2006/relationships" ref="G127" display="https://pgy.xiaohongshu.com/solar/pre-trade/blogger-detail/5649208cc2bdeb0887af1bc7?track_id=kolMatch_e3193b37808049a68515c6bccc801c77&amp;source=Advertiser_Kol" r:id="rId245"/>
    <hyperlink xmlns:r="http://schemas.openxmlformats.org/officeDocument/2006/relationships" ref="H127" display="https://www.xiaohongshu.com/user/profile/5649208cc2bdeb0887af1bc7" r:id="rId246"/>
    <hyperlink xmlns:r="http://schemas.openxmlformats.org/officeDocument/2006/relationships" ref="G128" display="https://pgy.xiaohongshu.com/solar/pre-trade/blogger-detail/5d270b0400000000160375cb?track_id=kolMatch_e3193b37808049a68515c6bccc801c77&amp;source=Advertiser_Kol" r:id="rId247"/>
    <hyperlink xmlns:r="http://schemas.openxmlformats.org/officeDocument/2006/relationships" ref="H128" display="https://www.xiaohongshu.com/user/profile/5d270b0400000000160375cb" r:id="rId248"/>
    <hyperlink xmlns:r="http://schemas.openxmlformats.org/officeDocument/2006/relationships" ref="G129" display="https://pgy.xiaohongshu.com/solar/pre-trade/blogger-detail/6731ce39000000000800a64d?track_id=kolMatch_e3193b37808049a68515c6bccc801c77&amp;source=Advertiser_Kol" r:id="rId249"/>
    <hyperlink xmlns:r="http://schemas.openxmlformats.org/officeDocument/2006/relationships" ref="H129" display="https://www.xiaohongshu.com/user/profile/6731ce39000000000800a64d" r:id="rId250"/>
    <hyperlink xmlns:r="http://schemas.openxmlformats.org/officeDocument/2006/relationships" ref="G130" display="https://pgy.xiaohongshu.com/solar/pre-trade/blogger-detail/651f6516000000002402f6bb?track_id=kolMatch_7a7873c386504fc4a56815c417547dc0&amp;source=Advertiser_Kol" r:id="rId251"/>
    <hyperlink xmlns:r="http://schemas.openxmlformats.org/officeDocument/2006/relationships" ref="H130" display="https://www.xiaohongshu.com/user/profile/651f6516000000002402f6bb" r:id="rId252"/>
    <hyperlink xmlns:r="http://schemas.openxmlformats.org/officeDocument/2006/relationships" ref="G131" display="https://pgy.xiaohongshu.com/solar/pre-trade/blogger-detail/631590b6000000001200f66a?track_id=kolMatch_7a7873c386504fc4a56815c417547dc0&amp;source=Advertiser_Kol" r:id="rId253"/>
    <hyperlink xmlns:r="http://schemas.openxmlformats.org/officeDocument/2006/relationships" ref="H131" display="https://www.xiaohongshu.com/user/profile/631590b6000000001200f66a" r:id="rId254"/>
    <hyperlink xmlns:r="http://schemas.openxmlformats.org/officeDocument/2006/relationships" ref="G132" display="https://pgy.xiaohongshu.com/solar/pre-trade/blogger-detail/57e0ecbe82ec396b78748efa?track_id=kolMatch_7a7873c386504fc4a56815c417547dc0&amp;source=Advertiser_Kol" r:id="rId255"/>
    <hyperlink xmlns:r="http://schemas.openxmlformats.org/officeDocument/2006/relationships" ref="H132" display="https://www.xiaohongshu.com/user/profile/57e0ecbe82ec396b78748efa" r:id="rId256"/>
    <hyperlink xmlns:r="http://schemas.openxmlformats.org/officeDocument/2006/relationships" ref="G133" display="https://pgy.xiaohongshu.com/solar/pre-trade/blogger-detail/5a72af8111be1058c18aba00?track_id=kolMatch_e0113116f1764faf89aa583dd4ec5a75&amp;source=Advertiser_Kol" r:id="rId257"/>
    <hyperlink xmlns:r="http://schemas.openxmlformats.org/officeDocument/2006/relationships" ref="H133" display="https://www.xiaohongshu.com/user/profile/5a72af8111be1058c18aba00" r:id="rId258"/>
    <hyperlink xmlns:r="http://schemas.openxmlformats.org/officeDocument/2006/relationships" ref="G134" display="https://pgy.xiaohongshu.com/solar/pre-trade/blogger-detail/570b6e5e4775a77b3c830b49?track_id=kolMatch_e0113116f1764faf89aa583dd4ec5a75&amp;source=Advertiser_Kol" r:id="rId259"/>
    <hyperlink xmlns:r="http://schemas.openxmlformats.org/officeDocument/2006/relationships" ref="H134" display="https://www.xiaohongshu.com/user/profile/570b6e5e4775a77b3c830b49" r:id="rId260"/>
    <hyperlink xmlns:r="http://schemas.openxmlformats.org/officeDocument/2006/relationships" ref="G135" display="https://pgy.xiaohongshu.com/solar/pre-trade/blogger-detail/54ccdaece779891d71c54282?track_id=kolMatch_e0113116f1764faf89aa583dd4ec5a75&amp;source=Advertiser_Kol" r:id="rId261"/>
    <hyperlink xmlns:r="http://schemas.openxmlformats.org/officeDocument/2006/relationships" ref="H135" display="https://www.xiaohongshu.com/user/profile/54ccdaece779891d71c54282" r:id="rId262"/>
    <hyperlink xmlns:r="http://schemas.openxmlformats.org/officeDocument/2006/relationships" ref="G136" display="https://pgy.xiaohongshu.com/solar/pre-trade/blogger-detail/5a12afcae8ac2b5cdc82d608?track_id=kolMatch_13d331fb2f894c14892de395ba62f956&amp;source=Advertiser_Kol" r:id="rId263"/>
    <hyperlink xmlns:r="http://schemas.openxmlformats.org/officeDocument/2006/relationships" ref="H136" display="https://www.xiaohongshu.com/user/profile/5a12afcae8ac2b5cdc82d608" r:id="rId264"/>
    <hyperlink xmlns:r="http://schemas.openxmlformats.org/officeDocument/2006/relationships" ref="G137" display="https://pgy.xiaohongshu.com/solar/pre-trade/blogger-detail/5a635c384eacab606f3d6aed?track_id=kolMatch_13d331fb2f894c14892de395ba62f956&amp;source=Advertiser_Kol" r:id="rId265"/>
    <hyperlink xmlns:r="http://schemas.openxmlformats.org/officeDocument/2006/relationships" ref="H137" display="https://www.xiaohongshu.com/user/profile/5a635c384eacab606f3d6aed" r:id="rId266"/>
    <hyperlink xmlns:r="http://schemas.openxmlformats.org/officeDocument/2006/relationships" ref="G138" display="https://pgy.xiaohongshu.com/solar/pre-trade/blogger-detail/5bbc093af7e8b924df5bff55?track_id=kolMatch_4c3d492c0e31438db990badd38d51cc7&amp;source=Advertiser_Kol" r:id="rId267"/>
    <hyperlink xmlns:r="http://schemas.openxmlformats.org/officeDocument/2006/relationships" ref="H138" display="https://www.xiaohongshu.com/user/profile/5bbc093af7e8b924df5bff55" r:id="rId268"/>
    <hyperlink xmlns:r="http://schemas.openxmlformats.org/officeDocument/2006/relationships" ref="G139" display="https://pgy.xiaohongshu.com/solar/pre-trade/blogger-detail/598726ce5e87e70884bd33ac?track_id=kolMatch_4c3d492c0e31438db990badd38d51cc7&amp;source=Advertiser_Kol" r:id="rId269"/>
    <hyperlink xmlns:r="http://schemas.openxmlformats.org/officeDocument/2006/relationships" ref="H139" display="https://www.xiaohongshu.com/user/profile/598726ce5e87e70884bd33ac" r:id="rId270"/>
    <hyperlink xmlns:r="http://schemas.openxmlformats.org/officeDocument/2006/relationships" ref="G140" display="https://pgy.xiaohongshu.com/solar/pre-trade/blogger-detail/5ff410c7000000000101c4f7?track_id=kolMatch_0e870250d2e041a496aec5eaaf2da9fa&amp;source=Advertiser_Kol" r:id="rId271"/>
    <hyperlink xmlns:r="http://schemas.openxmlformats.org/officeDocument/2006/relationships" ref="H140" display="https://www.xiaohongshu.com/user/profile/5ff410c7000000000101c4f7" r:id="rId272"/>
    <hyperlink xmlns:r="http://schemas.openxmlformats.org/officeDocument/2006/relationships" ref="G141" display="https://pgy.xiaohongshu.com/solar/pre-trade/blogger-detail/57582f8882ec397ce8a69576?track_id=kolMatch_0e870250d2e041a496aec5eaaf2da9fa&amp;source=Advertiser_Kol" r:id="rId273"/>
    <hyperlink xmlns:r="http://schemas.openxmlformats.org/officeDocument/2006/relationships" ref="H141" display="https://www.xiaohongshu.com/user/profile/57582f8882ec397ce8a69576" r:id="rId274"/>
    <hyperlink xmlns:r="http://schemas.openxmlformats.org/officeDocument/2006/relationships" ref="G142" display="https://pgy.xiaohongshu.com/solar/pre-trade/blogger-detail/556fef2fc2bdeb7652f9e26e?track_id=kolMatch_0e870250d2e041a496aec5eaaf2da9fa&amp;source=Advertiser_Kol" r:id="rId275"/>
    <hyperlink xmlns:r="http://schemas.openxmlformats.org/officeDocument/2006/relationships" ref="H142" display="https://www.xiaohongshu.com/user/profile/556fef2fc2bdeb7652f9e26e" r:id="rId276"/>
    <hyperlink xmlns:r="http://schemas.openxmlformats.org/officeDocument/2006/relationships" ref="G143" display="https://pgy.xiaohongshu.com/solar/pre-trade/blogger-detail/60631242000000000100363a?track_id=kolMatch_2030ec33eba049d79858a6144826eff1&amp;source=Advertiser_Kol" r:id="rId277"/>
    <hyperlink xmlns:r="http://schemas.openxmlformats.org/officeDocument/2006/relationships" ref="H143" display="https://www.xiaohongshu.com/user/profile/60631242000000000100363a" r:id="rId278"/>
    <hyperlink xmlns:r="http://schemas.openxmlformats.org/officeDocument/2006/relationships" ref="G144" display="https://pgy.xiaohongshu.com/solar/pre-trade/blogger-detail/59ecb335e8ac2b7a9d9bf873?track_id=kolMatch_2030ec33eba049d79858a6144826eff1&amp;source=Advertiser_Kol" r:id="rId279"/>
    <hyperlink xmlns:r="http://schemas.openxmlformats.org/officeDocument/2006/relationships" ref="H144" display="https://www.xiaohongshu.com/user/profile/59ecb335e8ac2b7a9d9bf873" r:id="rId280"/>
    <hyperlink xmlns:r="http://schemas.openxmlformats.org/officeDocument/2006/relationships" ref="G145" display="https://pgy.xiaohongshu.com/solar/pre-trade/blogger-detail/58b900db37cec976250f4ba7?track_id=kolMatch_31c8847efc624954b2f79cd082c5877b&amp;source=Advertiser_Kol" r:id="rId281"/>
    <hyperlink xmlns:r="http://schemas.openxmlformats.org/officeDocument/2006/relationships" ref="H145" display="https://www.xiaohongshu.com/user/profile/58b900db37cec976250f4ba7" r:id="rId282"/>
    <hyperlink xmlns:r="http://schemas.openxmlformats.org/officeDocument/2006/relationships" ref="G146" display="https://pgy.xiaohongshu.com/solar/pre-trade/blogger-detail/6424f86a000000002a00823d?track_id=kolSearch_da2d14e3f3324c5989200d5275e9e79f&amp;source=Advertiser_Kol" r:id="rId283"/>
    <hyperlink xmlns:r="http://schemas.openxmlformats.org/officeDocument/2006/relationships" ref="H146" display="https://www.xiaohongshu.com/user/profile/6424f86a000000002a00823d" r:id="rId284"/>
    <hyperlink xmlns:r="http://schemas.openxmlformats.org/officeDocument/2006/relationships" ref="G147" display="https://pgy.xiaohongshu.com/solar/pre-trade/blogger-detail/68346ed9000000000803914a?track_id=kolMatch_e0113116f1764faf89aa583dd4ec5a75&amp;source=Advertiser_Kol" r:id="rId285"/>
    <hyperlink xmlns:r="http://schemas.openxmlformats.org/officeDocument/2006/relationships" ref="H147" display="https://www.xiaohongshu.com/user/profile/68346ed9000000000803914a" r:id="rId286"/>
    <hyperlink xmlns:r="http://schemas.openxmlformats.org/officeDocument/2006/relationships" ref="G148" display="https://pgy.xiaohongshu.com/solar/pre-trade/blogger-detail/64b926470000000014036b27?track_id=kolMatch_e0113116f1764faf89aa583dd4ec5a75&amp;source=Advertiser_Kol" r:id="rId287"/>
    <hyperlink xmlns:r="http://schemas.openxmlformats.org/officeDocument/2006/relationships" ref="H148" display="https://www.xiaohongshu.com/user/profile/64b926470000000014036b27" r:id="rId288"/>
    <hyperlink xmlns:r="http://schemas.openxmlformats.org/officeDocument/2006/relationships" ref="G149" display="https://pgy.xiaohongshu.com/solar/pre-trade/blogger-detail/5f6e22680000000001008f6e?track_id=kolMatch_41546b3a86de45cab5ca1fdf2ce52b81&amp;source=Advertiser_Kol" r:id="rId289"/>
    <hyperlink xmlns:r="http://schemas.openxmlformats.org/officeDocument/2006/relationships" ref="H149" display="https://www.xiaohongshu.com/user/profile/5f6e22680000000001008f6e" r:id="rId290"/>
    <hyperlink xmlns:r="http://schemas.openxmlformats.org/officeDocument/2006/relationships" ref="G150" display="https://pgy.xiaohongshu.com/solar/pre-trade/blogger-detail/59da402320e88f535580d916?track_id=kolMatch_0e870250d2e041a496aec5eaaf2da9fa&amp;source=Advertiser_Kol" r:id="rId291"/>
    <hyperlink xmlns:r="http://schemas.openxmlformats.org/officeDocument/2006/relationships" ref="H150" display="https://www.xiaohongshu.com/user/profile/59da402320e88f535580d916" r:id="rId292"/>
    <hyperlink xmlns:r="http://schemas.openxmlformats.org/officeDocument/2006/relationships" ref="G151" display="https://pgy.xiaohongshu.com/solar/pre-trade/blogger-detail/658e22da00000000220175d5?track_id=kolSearch_504f0a1499ef4eca914a028b3563c02c&amp;source=Advertiser_Kol" r:id="rId293"/>
    <hyperlink xmlns:r="http://schemas.openxmlformats.org/officeDocument/2006/relationships" ref="H151" display="https://www.xiaohongshu.com/user/profile/658e22da00000000220175d5" r:id="rId294"/>
    <hyperlink xmlns:r="http://schemas.openxmlformats.org/officeDocument/2006/relationships" ref="G152" display="https://pgy.xiaohongshu.com/solar/pre-trade/blogger-detail/584f8b3c5e87e7146d691dc2?track_id=kolSimilar_d5a69ff6e3f94b34ace363d962f81282&amp;source=Advertiser_Similar_Kol" r:id="rId295"/>
    <hyperlink xmlns:r="http://schemas.openxmlformats.org/officeDocument/2006/relationships" ref="H152" display="https://www.xiaohongshu.com/user/profile/584f8b3c5e87e7146d691dc2" r:id="rId296"/>
    <hyperlink xmlns:r="http://schemas.openxmlformats.org/officeDocument/2006/relationships" ref="G153" display="https://pgy.xiaohongshu.com/solar/pre-trade/blogger-detail/5572c1b1faea913a62c67865?track_id=kolSimilar_d5a69ff6e3f94b34ace363d962f81282&amp;source=Advertiser_Similar_Kol" r:id="rId297"/>
    <hyperlink xmlns:r="http://schemas.openxmlformats.org/officeDocument/2006/relationships" ref="H153" display="https://www.xiaohongshu.com/user/profile/5572c1b1faea913a62c67865" r:id="rId298"/>
    <hyperlink xmlns:r="http://schemas.openxmlformats.org/officeDocument/2006/relationships" ref="G154" display="https://pgy.xiaohongshu.com/solar/pre-trade/blogger-detail/64bfeca7000000001403ddf2?track_id=kolSimilar_d5a69ff6e3f94b34ace363d962f81282&amp;source=Advertiser_Similar_Kol" r:id="rId299"/>
    <hyperlink xmlns:r="http://schemas.openxmlformats.org/officeDocument/2006/relationships" ref="H154" display="https://www.xiaohongshu.com/user/profile/64bfeca7000000001403ddf2" r:id="rId300"/>
    <hyperlink xmlns:r="http://schemas.openxmlformats.org/officeDocument/2006/relationships" ref="G156" display="https://pgy.xiaohongshu.com/solar/pre-trade/blogger-detail/64b4a44b0000000025037a79?track_id=kolSimilar_afee5b2bff3c454e86441972b68f5273&amp;source=Advertiser_Similar_Kol" r:id="rId301"/>
    <hyperlink xmlns:r="http://schemas.openxmlformats.org/officeDocument/2006/relationships" ref="H156" display="https://www.xiaohongshu.com/user/profile/64b4a44b0000000025037a79" r:id="rId302"/>
    <hyperlink xmlns:r="http://schemas.openxmlformats.org/officeDocument/2006/relationships" ref="G157" display="https://pgy.xiaohongshu.com/solar/pre-trade/blogger-detail/632981db000000002303ccb0?track_id=kolSimilar_afee5b2bff3c454e86441972b68f5273&amp;source=Advertiser_Similar_Kol" r:id="rId303"/>
    <hyperlink xmlns:r="http://schemas.openxmlformats.org/officeDocument/2006/relationships" ref="H157" display="https://www.xiaohongshu.com/user/profile/632981db000000002303ccb0" r:id="rId304"/>
    <hyperlink xmlns:r="http://schemas.openxmlformats.org/officeDocument/2006/relationships" ref="G158" display="https://pgy.xiaohongshu.com/solar/pre-trade/blogger-detail/59fe7751e8ac2b58eaa319ad?track_id=kolSimilar_afee5b2bff3c454e86441972b68f5273&amp;source=Advertiser_Similar_Kol" r:id="rId305"/>
    <hyperlink xmlns:r="http://schemas.openxmlformats.org/officeDocument/2006/relationships" ref="H158" display="https://www.xiaohongshu.com/user/profile/59fe7751e8ac2b58eaa319ad" r:id="rId306"/>
    <hyperlink xmlns:r="http://schemas.openxmlformats.org/officeDocument/2006/relationships" ref="G159" display="https://pgy.xiaohongshu.com/solar/pre-trade/blogger-detail/64896cf3000000002a03723c?track_id=kolSimilar_afee5b2bff3c454e86441972b68f5273&amp;source=Advertiser_Similar_Kol" r:id="rId307"/>
    <hyperlink xmlns:r="http://schemas.openxmlformats.org/officeDocument/2006/relationships" ref="H159" display="https://www.xiaohongshu.com/user/profile/64896cf3000000002a03723c" r:id="rId308"/>
    <hyperlink xmlns:r="http://schemas.openxmlformats.org/officeDocument/2006/relationships" ref="G160" display="https://pgy.xiaohongshu.com/solar/pre-trade/blogger-detail/618909c80000000010008136?track_id=kolSimilar_afee5b2bff3c454e86441972b68f5273&amp;source=Advertiser_Similar_Kol" r:id="rId309"/>
    <hyperlink xmlns:r="http://schemas.openxmlformats.org/officeDocument/2006/relationships" ref="H160" display="https://www.xiaohongshu.com/user/profile/618909c80000000010008136" r:id="rId310"/>
    <hyperlink xmlns:r="http://schemas.openxmlformats.org/officeDocument/2006/relationships" ref="G161" display="https://pgy.xiaohongshu.com/solar/pre-trade/blogger-detail/55a781c862a60c5ba54f2c22?track_id=kolSimilar_afee5b2bff3c454e86441972b68f5273&amp;source=Advertiser_Similar_Kol" r:id="rId311"/>
    <hyperlink xmlns:r="http://schemas.openxmlformats.org/officeDocument/2006/relationships" ref="H161" display="https://www.xiaohongshu.com/user/profile/55a781c862a60c5ba54f2c22" r:id="rId312"/>
    <hyperlink xmlns:r="http://schemas.openxmlformats.org/officeDocument/2006/relationships" ref="G162" display="https://pgy.xiaohongshu.com/solar/pre-trade/blogger-detail/63859b55000000001f01e32a?track_id=kolSimilar_7811fa4d3b8f40ccb863093c6429df1c&amp;source=Advertiser_Similar_Kol" r:id="rId313"/>
    <hyperlink xmlns:r="http://schemas.openxmlformats.org/officeDocument/2006/relationships" ref="H162" display="https://www.xiaohongshu.com/user/profile/63859b55000000001f01e32a" r:id="rId314"/>
    <hyperlink xmlns:r="http://schemas.openxmlformats.org/officeDocument/2006/relationships" ref="G163" display="https://pgy.xiaohongshu.com/solar/pre-trade/blogger-detail/5b0789374eacab335d270c00?track_id=kolSimilar_7811fa4d3b8f40ccb863093c6429df1c&amp;source=Advertiser_Similar_Kol" r:id="rId315"/>
    <hyperlink xmlns:r="http://schemas.openxmlformats.org/officeDocument/2006/relationships" ref="H163" display="https://www.xiaohongshu.com/user/profile/5b0789374eacab335d270c00" r:id="rId316"/>
    <hyperlink xmlns:r="http://schemas.openxmlformats.org/officeDocument/2006/relationships" ref="G164" display="https://pgy.xiaohongshu.com/solar/pre-trade/blogger-detail/583795be7fc5b8507b2907d0?track_id=kolSimilar_febe79f6b9e54ac5af1dce11544e3433&amp;source=Advertiser_Similar_Kol" r:id="rId317"/>
    <hyperlink xmlns:r="http://schemas.openxmlformats.org/officeDocument/2006/relationships" ref="H164" display="https://www.xiaohongshu.com/user/profile/583795be7fc5b8507b2907d0" r:id="rId318"/>
    <hyperlink xmlns:r="http://schemas.openxmlformats.org/officeDocument/2006/relationships" ref="G165" display="https://pgy.xiaohongshu.com/solar/pre-trade/blogger-detail/6277d62b0000000021023c65?track_id=kolSimilar_febe79f6b9e54ac5af1dce11544e3433&amp;source=Advertiser_Similar_Kol" r:id="rId319"/>
    <hyperlink xmlns:r="http://schemas.openxmlformats.org/officeDocument/2006/relationships" ref="H165" display="https://www.xiaohongshu.com/user/profile/6277d62b0000000021023c65" r:id="rId320"/>
    <hyperlink xmlns:r="http://schemas.openxmlformats.org/officeDocument/2006/relationships" ref="G166" display="https://pgy.xiaohongshu.com/solar/pre-trade/blogger-detail/576e73696a6a69534baf02f6?track_id=kolSimilar_febe79f6b9e54ac5af1dce11544e3433&amp;source=Advertiser_Similar_Kol" r:id="rId321"/>
    <hyperlink xmlns:r="http://schemas.openxmlformats.org/officeDocument/2006/relationships" ref="H166" display="https://www.xiaohongshu.com/user/profile/576e73696a6a69534baf02f6" r:id="rId322"/>
    <hyperlink xmlns:r="http://schemas.openxmlformats.org/officeDocument/2006/relationships" ref="G167" display="https://pgy.xiaohongshu.com/solar/pre-trade/blogger-detail/65e69a36000000000500e720?track_id=kolSimilar_febe79f6b9e54ac5af1dce11544e3433&amp;source=Advertiser_Similar_Kol" r:id="rId323"/>
    <hyperlink xmlns:r="http://schemas.openxmlformats.org/officeDocument/2006/relationships" ref="H167" display="https://www.xiaohongshu.com/user/profile/65e69a36000000000500e720" r:id="rId324"/>
    <hyperlink xmlns:r="http://schemas.openxmlformats.org/officeDocument/2006/relationships" ref="G168" display="https://pgy.xiaohongshu.com/solar/pre-trade/blogger-detail/6225aa0a000000001000a5b2?track_id=kolSimilar_91d398f11280451396f277840554532a&amp;source=Advertiser_Similar_Kol" r:id="rId325"/>
    <hyperlink xmlns:r="http://schemas.openxmlformats.org/officeDocument/2006/relationships" ref="H168" display="https://www.xiaohongshu.com/user/profile/6225aa0a000000001000a5b2" r:id="rId326"/>
    <hyperlink xmlns:r="http://schemas.openxmlformats.org/officeDocument/2006/relationships" ref="G169" display="https://pgy.xiaohongshu.com/solar/pre-trade/blogger-detail/57f7b1855e87e749ee7e6a8a?track_id=kolSimilar_91d398f11280451396f277840554532a&amp;source=Advertiser_Similar_Kol" r:id="rId327"/>
    <hyperlink xmlns:r="http://schemas.openxmlformats.org/officeDocument/2006/relationships" ref="H169" display="https://www.xiaohongshu.com/user/profile/57f7b1855e87e749ee7e6a8a" r:id="rId328"/>
    <hyperlink xmlns:r="http://schemas.openxmlformats.org/officeDocument/2006/relationships" ref="G170" display="https://pgy.xiaohongshu.com/solar/pre-trade/blogger-detail/5b400b074eacab0c8b1f0519?track_id=kolSimilar_91d398f11280451396f277840554532a&amp;source=Advertiser_Similar_Kol" r:id="rId329"/>
    <hyperlink xmlns:r="http://schemas.openxmlformats.org/officeDocument/2006/relationships" ref="H170" display="https://www.xiaohongshu.com/user/profile/5b400b074eacab0c8b1f0519" r:id="rId330"/>
    <hyperlink xmlns:r="http://schemas.openxmlformats.org/officeDocument/2006/relationships" ref="G171" display="https://pgy.xiaohongshu.com/solar/pre-trade/blogger-detail/67087454000000001d0316d2?track_id=kolSimilar_91d398f11280451396f277840554532a&amp;source=Advertiser_Similar_Kol" r:id="rId331"/>
    <hyperlink xmlns:r="http://schemas.openxmlformats.org/officeDocument/2006/relationships" ref="H171" display="https://www.xiaohongshu.com/user/profile/67087454000000001d0316d2" r:id="rId332"/>
    <hyperlink xmlns:r="http://schemas.openxmlformats.org/officeDocument/2006/relationships" ref="G172" display="https://pgy.xiaohongshu.com/solar/pre-trade/blogger-detail/5daee3a2000000000100b06a?track_id=kolSimilar_91d398f11280451396f277840554532a&amp;source=Advertiser_Similar_Kol" r:id="rId333"/>
    <hyperlink xmlns:r="http://schemas.openxmlformats.org/officeDocument/2006/relationships" ref="H172" display="https://www.xiaohongshu.com/user/profile/5daee3a2000000000100b06a" r:id="rId334"/>
    <hyperlink xmlns:r="http://schemas.openxmlformats.org/officeDocument/2006/relationships" ref="G173" display="https://pgy.xiaohongshu.com/solar/pre-trade/blogger-detail/6786739c000000000801a264?track_id=kolSimilar_4a2a15f73cc94f0b8c1820d365785c75&amp;source=Advertiser_Similar_Kol" r:id="rId335"/>
    <hyperlink xmlns:r="http://schemas.openxmlformats.org/officeDocument/2006/relationships" ref="H173" display="https://www.xiaohongshu.com/user/profile/6786739c000000000801a264" r:id="rId336"/>
    <hyperlink xmlns:r="http://schemas.openxmlformats.org/officeDocument/2006/relationships" ref="G174" display="https://pgy.xiaohongshu.com/solar/pre-trade/blogger-detail/67176b80000000001d0330e3?track_id=kolSimilar_4a2a15f73cc94f0b8c1820d365785c75&amp;source=Advertiser_Similar_Kol" r:id="rId337"/>
    <hyperlink xmlns:r="http://schemas.openxmlformats.org/officeDocument/2006/relationships" ref="H174" display="https://www.xiaohongshu.com/user/profile/67176b80000000001d0330e3" r:id="rId338"/>
    <hyperlink xmlns:r="http://schemas.openxmlformats.org/officeDocument/2006/relationships" ref="G175" display="https://pgy.xiaohongshu.com/solar/pre-trade/blogger-detail/554c27b2b203d914ccbae2f1?track_id=kolSimilar_4a2a15f73cc94f0b8c1820d365785c75&amp;source=Advertiser_Similar_Kol" r:id="rId339"/>
    <hyperlink xmlns:r="http://schemas.openxmlformats.org/officeDocument/2006/relationships" ref="H175" display="https://www.xiaohongshu.com/user/profile/554c27b2b203d914ccbae2f1" r:id="rId340"/>
    <hyperlink xmlns:r="http://schemas.openxmlformats.org/officeDocument/2006/relationships" ref="G176" display="https://pgy.xiaohongshu.com/solar/pre-trade/blogger-detail/5a58d17611be1066f8a67547?track_id=kolSimilar_4a2a15f73cc94f0b8c1820d365785c75&amp;source=Advertiser_Similar_Kol" r:id="rId341"/>
    <hyperlink xmlns:r="http://schemas.openxmlformats.org/officeDocument/2006/relationships" ref="H176" display="https://www.xiaohongshu.com/user/profile/5a58d17611be1066f8a67547" r:id="rId342"/>
    <hyperlink xmlns:r="http://schemas.openxmlformats.org/officeDocument/2006/relationships" ref="G177" display="https://pgy.xiaohongshu.com/solar/pre-trade/blogger-detail/618bf0f1000000001000d7ca?track_id=kolSimilar_4a2a15f73cc94f0b8c1820d365785c75&amp;source=Advertiser_Similar_Kol" r:id="rId343"/>
    <hyperlink xmlns:r="http://schemas.openxmlformats.org/officeDocument/2006/relationships" ref="H177" display="https://www.xiaohongshu.com/user/profile/618bf0f1000000001000d7ca" r:id="rId344"/>
    <hyperlink xmlns:r="http://schemas.openxmlformats.org/officeDocument/2006/relationships" ref="G178" display="https://pgy.xiaohongshu.com/solar/pre-trade/blogger-detail/65c4c7a6000000000903cb96?track_id=kolSimilar_4a2a15f73cc94f0b8c1820d365785c75&amp;source=Advertiser_Similar_Kol" r:id="rId345"/>
    <hyperlink xmlns:r="http://schemas.openxmlformats.org/officeDocument/2006/relationships" ref="H178" display="https://www.xiaohongshu.com/user/profile/65c4c7a6000000000903cb96" r:id="rId346"/>
    <hyperlink xmlns:r="http://schemas.openxmlformats.org/officeDocument/2006/relationships" ref="G179" display="https://pgy.xiaohongshu.com/solar/pre-trade/blogger-detail/5cd054fb0000000012012816?track_id=kolSimilar_4a2a15f73cc94f0b8c1820d365785c75&amp;source=Advertiser_Similar_Kol" r:id="rId347"/>
    <hyperlink xmlns:r="http://schemas.openxmlformats.org/officeDocument/2006/relationships" ref="H179" display="https://www.xiaohongshu.com/user/profile/5cd054fb0000000012012816" r:id="rId348"/>
    <hyperlink xmlns:r="http://schemas.openxmlformats.org/officeDocument/2006/relationships" ref="G181" display="https://pgy.xiaohongshu.com/solar/pre-trade/blogger-detail/63818f10000000001f015a6d?track_id=kolMatch_899c23a5eecf4df99494bdac8e2d5e8c&amp;source=Advertiser_Kol" r:id="rId349"/>
    <hyperlink xmlns:r="http://schemas.openxmlformats.org/officeDocument/2006/relationships" ref="H181" display="https://www.xiaohongshu.com/user/profile/63818f10000000001f015a6d" r:id="rId350"/>
    <hyperlink xmlns:r="http://schemas.openxmlformats.org/officeDocument/2006/relationships" ref="G182" display="https://pgy.xiaohongshu.com/solar/pre-trade/blogger-detail/5a488fda4eacab297344da73?track_id=kolSearch_bc9efd8d437b409bafe8f32dc5f9ff50&amp;source=Advertiser_Kol" r:id="rId351"/>
    <hyperlink xmlns:r="http://schemas.openxmlformats.org/officeDocument/2006/relationships" ref="H182" display="https://www.xiaohongshu.com/user/profile/5a488fda4eacab297344da73" r:id="rId352"/>
    <hyperlink xmlns:r="http://schemas.openxmlformats.org/officeDocument/2006/relationships" ref="G183" display="https://pgy.xiaohongshu.com/solar/pre-trade/blogger-detail/64433d38000000002901131d?track_id=kolMatch_899c23a5eecf4df99494bdac8e2d5e8c&amp;source=Advertiser_Kol" r:id="rId353"/>
    <hyperlink xmlns:r="http://schemas.openxmlformats.org/officeDocument/2006/relationships" ref="H183" display="https://www.xiaohongshu.com/user/profile/64433d38000000002901131d" r:id="rId354"/>
    <hyperlink xmlns:r="http://schemas.openxmlformats.org/officeDocument/2006/relationships" ref="G184" display="https://pgy.xiaohongshu.com/solar/pre-trade/blogger-detail/60ac7b63000000000101fe8b?track_id=kolMatch_899c23a5eecf4df99494bdac8e2d5e8c&amp;source=Advertiser_Kol" r:id="rId355"/>
    <hyperlink xmlns:r="http://schemas.openxmlformats.org/officeDocument/2006/relationships" ref="H184" display="https://www.xiaohongshu.com/user/profile/60ac7b63000000000101fe8b" r:id="rId356"/>
    <hyperlink xmlns:r="http://schemas.openxmlformats.org/officeDocument/2006/relationships" ref="G185" display="https://pgy.xiaohongshu.com/solar/pre-trade/blogger-detail/604656dd00000000010033a9?track_id=kolMatch_0c560fb73ed24c8f93abe8f61e43a9d9&amp;source=Advertiser_Kol" r:id="rId357"/>
    <hyperlink xmlns:r="http://schemas.openxmlformats.org/officeDocument/2006/relationships" ref="H185" display="https://www.xiaohongshu.com/user/profile/604656dd00000000010033a9" r:id="rId358"/>
    <hyperlink xmlns:r="http://schemas.openxmlformats.org/officeDocument/2006/relationships" ref="G186" display="https://pgy.xiaohongshu.com/solar/pre-trade/blogger-detail/68da2715000000002102e65e?track_id=kolMatch_0c560fb73ed24c8f93abe8f61e43a9d9&amp;source=Advertiser_Kol" r:id="rId359"/>
    <hyperlink xmlns:r="http://schemas.openxmlformats.org/officeDocument/2006/relationships" ref="H186" display="https://www.xiaohongshu.com/user/profile/68da2715000000002102e65e" r:id="rId360"/>
    <hyperlink xmlns:r="http://schemas.openxmlformats.org/officeDocument/2006/relationships" ref="G187" display="https://pgy.xiaohongshu.com/solar/pre-trade/blogger-detail/67112206000000001d0229ec?track_id=kolMatch_0c560fb73ed24c8f93abe8f61e43a9d9&amp;source=Advertiser_Kol" r:id="rId361"/>
    <hyperlink xmlns:r="http://schemas.openxmlformats.org/officeDocument/2006/relationships" ref="H187" display="https://www.xiaohongshu.com/user/profile/67112206000000001d0229ec" r:id="rId362"/>
    <hyperlink xmlns:r="http://schemas.openxmlformats.org/officeDocument/2006/relationships" ref="G188" display="https://pgy.xiaohongshu.com/solar/pre-trade/blogger-detail/6889a71d0000000028029194?track_id=kolSimilar_6441c15f3b9e433b8784478012c2cacb&amp;source=Advertiser_Similar_Kol" r:id="rId363"/>
    <hyperlink xmlns:r="http://schemas.openxmlformats.org/officeDocument/2006/relationships" ref="H188" display="https://www.xiaohongshu.com/user/profile/6889a71d0000000028029194" r:id="rId364"/>
    <hyperlink xmlns:r="http://schemas.openxmlformats.org/officeDocument/2006/relationships" ref="G189" display="https://pgy.xiaohongshu.com/solar/pre-trade/blogger-detail/61a584980000000021021ac4?track_id=kolSimilar_2a8b15dc06664f4a815ad3d73751affe&amp;source=Advertiser_Similar_Kol" r:id="rId365"/>
    <hyperlink xmlns:r="http://schemas.openxmlformats.org/officeDocument/2006/relationships" ref="H189" display="https://www.xiaohongshu.com/user/profile/61a584980000000021021ac4" r:id="rId366"/>
    <hyperlink xmlns:r="http://schemas.openxmlformats.org/officeDocument/2006/relationships" ref="G190" display="https://pgy.xiaohongshu.com/solar/pre-trade/blogger-detail/667c0d370000000003030b6f?track_id=kolSimilar_2a8b15dc06664f4a815ad3d73751affe&amp;source=Advertiser_Similar_Kol" r:id="rId367"/>
    <hyperlink xmlns:r="http://schemas.openxmlformats.org/officeDocument/2006/relationships" ref="H190" display="https://www.xiaohongshu.com/user/profile/667c0d370000000003030b6f" r:id="rId368"/>
    <hyperlink xmlns:r="http://schemas.openxmlformats.org/officeDocument/2006/relationships" ref="G191" display="https://pgy.xiaohongshu.com/solar/pre-trade/blogger-detail/592f662082ec3976fd45865a?track_id=kolSimilar_06aca17208f7421dbad42cf64149b408&amp;source=Advertiser_Similar_Kol" r:id="rId369"/>
    <hyperlink xmlns:r="http://schemas.openxmlformats.org/officeDocument/2006/relationships" ref="H191" display="https://www.xiaohongshu.com/user/profile/592f662082ec3976fd45865a" r:id="rId370"/>
    <hyperlink xmlns:r="http://schemas.openxmlformats.org/officeDocument/2006/relationships" ref="G192" display="https://pgy.xiaohongshu.com/solar/pre-trade/blogger-detail/61699a82000000000201957f?track_id=kolSimilar_18a8b476ab3b444facfa836f957474b5&amp;source=Advertiser_Similar_Kol" r:id="rId371"/>
    <hyperlink xmlns:r="http://schemas.openxmlformats.org/officeDocument/2006/relationships" ref="H192" display="https://www.xiaohongshu.com/user/profile/61699a82000000000201957f" r:id="rId372"/>
    <hyperlink xmlns:r="http://schemas.openxmlformats.org/officeDocument/2006/relationships" ref="G193" display="https://pgy.xiaohongshu.com/solar/pre-trade/blogger-detail/58492b3b5e87e712f36d07cd?track_id=kolSimilar_18a8b476ab3b444facfa836f957474b5&amp;source=Advertiser_Similar_Kol" r:id="rId373"/>
    <hyperlink xmlns:r="http://schemas.openxmlformats.org/officeDocument/2006/relationships" ref="H193" display="https://www.xiaohongshu.com/user/profile/58492b3b5e87e712f36d07cd" r:id="rId374"/>
    <hyperlink xmlns:r="http://schemas.openxmlformats.org/officeDocument/2006/relationships" ref="G194" display="https://pgy.xiaohongshu.com/solar/pre-trade/blogger-detail/60d4bd5b00000000010083cd?track_id=kolSimilar_f69a376a066c43099cc9a6229e863646&amp;source=Advertiser_Similar_Kol" r:id="rId375"/>
    <hyperlink xmlns:r="http://schemas.openxmlformats.org/officeDocument/2006/relationships" ref="H194" display="https://www.xiaohongshu.com/user/profile/60d4bd5b00000000010083cd" r:id="rId376"/>
    <hyperlink xmlns:r="http://schemas.openxmlformats.org/officeDocument/2006/relationships" ref="G195" display="https://pgy.xiaohongshu.com/solar/pre-trade/blogger-detail/60e91e4f000000000101e2e3?track_id=kolSimilar_f69a376a066c43099cc9a6229e863646&amp;source=Advertiser_Similar_Kol" r:id="rId377"/>
    <hyperlink xmlns:r="http://schemas.openxmlformats.org/officeDocument/2006/relationships" ref="H195" display="https://www.xiaohongshu.com/user/profile/60e91e4f000000000101e2e3" r:id="rId378"/>
    <hyperlink xmlns:r="http://schemas.openxmlformats.org/officeDocument/2006/relationships" ref="G196" display="https://pgy.xiaohongshu.com/solar/pre-trade/blogger-detail/5e9d4f070000000001001e6c?track_id=kolSimilar_f69a376a066c43099cc9a6229e863646&amp;source=Advertiser_Similar_Kol" r:id="rId379"/>
    <hyperlink xmlns:r="http://schemas.openxmlformats.org/officeDocument/2006/relationships" ref="H196" display="https://www.xiaohongshu.com/user/profile/5e9d4f070000000001001e6c" r:id="rId380"/>
    <hyperlink xmlns:r="http://schemas.openxmlformats.org/officeDocument/2006/relationships" ref="G197" display="https://pgy.xiaohongshu.com/solar/pre-trade/blogger-detail/5a90cf2411be100f26117047?track_id=kolSimilar_f69a376a066c43099cc9a6229e863646&amp;source=Advertiser_Similar_Kol" r:id="rId381"/>
    <hyperlink xmlns:r="http://schemas.openxmlformats.org/officeDocument/2006/relationships" ref="H197" display="https://www.xiaohongshu.com/user/profile/5a90cf2411be100f26117047" r:id="rId382"/>
    <hyperlink xmlns:r="http://schemas.openxmlformats.org/officeDocument/2006/relationships" ref="G198" display="https://pgy.xiaohongshu.com/solar/pre-trade/blogger-detail/6821ae6d000000000d00b003?track_id=kolMatch_3e9f9fefb9054f99b8b3765d4bebcd96&amp;source=Advertiser_Kol" r:id="rId383"/>
    <hyperlink xmlns:r="http://schemas.openxmlformats.org/officeDocument/2006/relationships" ref="H198" display="https://www.xiaohongshu.com/user/profile/6821ae6d000000000d00b003" r:id="rId384"/>
    <hyperlink xmlns:r="http://schemas.openxmlformats.org/officeDocument/2006/relationships" ref="G199" display="https://pgy.xiaohongshu.com/solar/pre-trade/blogger-detail/5657ec496a6a690e4446b0b6?track_id=kolMatch_3e9f9fefb9054f99b8b3765d4bebcd96&amp;source=Advertiser_Kol" r:id="rId385"/>
    <hyperlink xmlns:r="http://schemas.openxmlformats.org/officeDocument/2006/relationships" ref="H199" display="https://www.xiaohongshu.com/user/profile/5657ec496a6a690e4446b0b6" r:id="rId386"/>
    <hyperlink xmlns:r="http://schemas.openxmlformats.org/officeDocument/2006/relationships" ref="G200" display="https://pgy.xiaohongshu.com/solar/pre-trade/blogger-detail/5ad91fa84eacab594e2475d4?track_id=kolMatch_de42bd9a94184c8b94f0d959da775966&amp;source=Advertiser_Kol" r:id="rId387"/>
    <hyperlink xmlns:r="http://schemas.openxmlformats.org/officeDocument/2006/relationships" ref="H200" display="https://www.xiaohongshu.com/user/profile/5ad91fa84eacab594e2475d4" r:id="rId388"/>
    <hyperlink xmlns:r="http://schemas.openxmlformats.org/officeDocument/2006/relationships" ref="G201" display="https://pgy.xiaohongshu.com/solar/pre-trade/blogger-detail/68908a04000000002803072d?track_id=kolMatch_de42bd9a94184c8b94f0d959da775966&amp;source=Advertiser_Kol" r:id="rId389"/>
    <hyperlink xmlns:r="http://schemas.openxmlformats.org/officeDocument/2006/relationships" ref="H201" display="https://www.xiaohongshu.com/user/profile/68908a04000000002803072d" r:id="rId390"/>
    <hyperlink xmlns:r="http://schemas.openxmlformats.org/officeDocument/2006/relationships" ref="G202" display="https://pgy.xiaohongshu.com/solar/pre-trade/blogger-detail/5b5fcec74eacab10459f50b0?track_id=kolMatch_de42bd9a94184c8b94f0d959da775966&amp;source=Advertiser_Kol" r:id="rId391"/>
    <hyperlink xmlns:r="http://schemas.openxmlformats.org/officeDocument/2006/relationships" ref="H202" display="https://www.xiaohongshu.com/user/profile/5b5fcec74eacab10459f50b0" r:id="rId392"/>
    <hyperlink xmlns:r="http://schemas.openxmlformats.org/officeDocument/2006/relationships" ref="G203" display="https://pgy.xiaohongshu.com/solar/pre-trade/blogger-detail/647f11f60000000011001cb6?track_id=kolMatch_de42bd9a94184c8b94f0d959da775966&amp;source=Advertiser_Kol" r:id="rId393"/>
    <hyperlink xmlns:r="http://schemas.openxmlformats.org/officeDocument/2006/relationships" ref="H203" display="https://www.xiaohongshu.com/user/profile/647f11f60000000011001cb6" r:id="rId394"/>
    <hyperlink xmlns:r="http://schemas.openxmlformats.org/officeDocument/2006/relationships" ref="G204" display="https://pgy.xiaohongshu.com/solar/pre-trade/blogger-detail/58a3f0045e87e71f2ecc0afe?track_id=kolMatch_7a96b2805c0849b6828521204354f285&amp;source=Advertiser_Kol" r:id="rId395"/>
    <hyperlink xmlns:r="http://schemas.openxmlformats.org/officeDocument/2006/relationships" ref="H204" display="https://www.xiaohongshu.com/user/profile/58a3f0045e87e71f2ecc0afe" r:id="rId396"/>
    <hyperlink xmlns:r="http://schemas.openxmlformats.org/officeDocument/2006/relationships" ref="G205" display="https://pgy.xiaohongshu.com/solar/pre-trade/blogger-detail/62073e26000000001000deca?track_id=kolMatch_3e9f9fefb9054f99b8b3765d4bebcd96&amp;source=Advertiser_Kol" r:id="rId397"/>
    <hyperlink xmlns:r="http://schemas.openxmlformats.org/officeDocument/2006/relationships" ref="H205" display="https://www.xiaohongshu.com/user/profile/62073e26000000001000deca" r:id="rId398"/>
    <hyperlink xmlns:r="http://schemas.openxmlformats.org/officeDocument/2006/relationships" ref="G206" display="https://pgy.xiaohongshu.com/solar/pre-trade/blogger-detail/5981fcd850c4b4315c466af5?track_id=kolMatch_7a96b2805c0849b6828521204354f285&amp;source=Advertiser_Kol" r:id="rId399"/>
    <hyperlink xmlns:r="http://schemas.openxmlformats.org/officeDocument/2006/relationships" ref="H206" display="https://www.xiaohongshu.com/user/profile/5981fcd850c4b4315c466af5" r:id="rId400"/>
    <hyperlink xmlns:r="http://schemas.openxmlformats.org/officeDocument/2006/relationships" ref="G207" display="https://pgy.xiaohongshu.com/solar/pre-trade/blogger-detail/6154902f0000000002020ec8?track_id=kolMatch_24f5decd7fa64557a013c7e514a58b81&amp;source=Advertiser_Kol" r:id="rId401"/>
    <hyperlink xmlns:r="http://schemas.openxmlformats.org/officeDocument/2006/relationships" ref="H207" display="https://www.xiaohongshu.com/user/profile/6154902f0000000002020ec8" r:id="rId402"/>
    <hyperlink xmlns:r="http://schemas.openxmlformats.org/officeDocument/2006/relationships" ref="G208" display="https://pgy.xiaohongshu.com/solar/pre-trade/blogger-detail/5ff2a45f000000000101e61c?track_id=kolMatch_24f5decd7fa64557a013c7e514a58b81&amp;source=Advertiser_Kol" r:id="rId403"/>
    <hyperlink xmlns:r="http://schemas.openxmlformats.org/officeDocument/2006/relationships" ref="H208" display="https://www.xiaohongshu.com/user/profile/5ff2a45f000000000101e61c" r:id="rId404"/>
    <hyperlink xmlns:r="http://schemas.openxmlformats.org/officeDocument/2006/relationships" ref="G209" display="https://pgy.xiaohongshu.com/solar/pre-trade/blogger-detail/642580de0000000012010592?track_id=kolMatch_24f5decd7fa64557a013c7e514a58b81&amp;source=Advertiser_Kol" r:id="rId405"/>
    <hyperlink xmlns:r="http://schemas.openxmlformats.org/officeDocument/2006/relationships" ref="H209" display="https://www.xiaohongshu.com/user/profile/642580de0000000012010592" r:id="rId406"/>
    <hyperlink xmlns:r="http://schemas.openxmlformats.org/officeDocument/2006/relationships" ref="G210" display="https://pgy.xiaohongshu.com/solar/pre-trade/blogger-detail/58913f9582ec394c67ea19a6?track_id=kolMatch_24f5decd7fa64557a013c7e514a58b81&amp;source=Advertiser_Kol" r:id="rId407"/>
    <hyperlink xmlns:r="http://schemas.openxmlformats.org/officeDocument/2006/relationships" ref="H210" display="https://www.xiaohongshu.com/user/profile/58913f9582ec394c67ea19a6" r:id="rId408"/>
    <hyperlink xmlns:r="http://schemas.openxmlformats.org/officeDocument/2006/relationships" ref="G211" display="https://pgy.xiaohongshu.com/solar/pre-trade/blogger-detail/681c36a3000000001b01e105?track_id=kolMatch_7a96b2805c0849b6828521204354f285&amp;source=Advertiser_Kol" r:id="rId409"/>
    <hyperlink xmlns:r="http://schemas.openxmlformats.org/officeDocument/2006/relationships" ref="H211" display="https://www.xiaohongshu.com/user/profile/681c36a3000000001b01e105" r:id="rId410"/>
    <hyperlink xmlns:r="http://schemas.openxmlformats.org/officeDocument/2006/relationships" ref="G212" display="https://pgy.xiaohongshu.com/solar/pre-trade/blogger-detail/5cf708e700000000250087ed?track_id=kolMatch_de42bd9a94184c8b94f0d959da775966&amp;source=Advertiser_Kol" r:id="rId411"/>
    <hyperlink xmlns:r="http://schemas.openxmlformats.org/officeDocument/2006/relationships" ref="H212" display="https://www.xiaohongshu.com/user/profile/5cf708e700000000250087ed" r:id="rId412"/>
    <hyperlink xmlns:r="http://schemas.openxmlformats.org/officeDocument/2006/relationships" ref="G213" display="https://pgy.xiaohongshu.com/solar/pre-trade/blogger-detail/5ca7583600000000170370f6?track_id=kolMatch_252ad350dc854d77996ad95341b4c2f1&amp;source=Advertiser_Kol" r:id="rId413"/>
    <hyperlink xmlns:r="http://schemas.openxmlformats.org/officeDocument/2006/relationships" ref="H213" display="https://www.xiaohongshu.com/user/profile/5ca7583600000000170370f6" r:id="rId414"/>
    <hyperlink xmlns:r="http://schemas.openxmlformats.org/officeDocument/2006/relationships" ref="G215" display="https://pgy.xiaohongshu.com/solar/pre-trade/blogger-detail/59e759b311be10591489e801?track_id=kolMatch_24f5decd7fa64557a013c7e514a58b81&amp;source=Advertiser_Kol" r:id="rId415"/>
    <hyperlink xmlns:r="http://schemas.openxmlformats.org/officeDocument/2006/relationships" ref="H215" display="https://www.xiaohongshu.com/user/profile/59e759b311be10591489e801" r:id="rId416"/>
    <hyperlink xmlns:r="http://schemas.openxmlformats.org/officeDocument/2006/relationships" ref="G216" display="https://pgy.xiaohongshu.com/solar/pre-trade/blogger-detail/658a8b9b000000002200637f?track_id=kolMatch_24f5decd7fa64557a013c7e514a58b81&amp;source=Advertiser_Kol" r:id="rId417"/>
    <hyperlink xmlns:r="http://schemas.openxmlformats.org/officeDocument/2006/relationships" ref="H216" display="https://www.xiaohongshu.com/user/profile/658a8b9b000000002200637f" r:id="rId418"/>
    <hyperlink xmlns:r="http://schemas.openxmlformats.org/officeDocument/2006/relationships" ref="G217" display="https://pgy.xiaohongshu.com/solar/pre-trade/blogger-detail/55c6c07c5894464ef642a743?track_id=kolMatch_24f5decd7fa64557a013c7e514a58b81&amp;source=Advertiser_Kol" r:id="rId419"/>
    <hyperlink xmlns:r="http://schemas.openxmlformats.org/officeDocument/2006/relationships" ref="H217" display="https://www.xiaohongshu.com/user/profile/55c6c07c5894464ef642a743" r:id="rId420"/>
    <hyperlink xmlns:r="http://schemas.openxmlformats.org/officeDocument/2006/relationships" ref="G218" display="https://pgy.xiaohongshu.com/solar/pre-trade/blogger-detail/6704f0ef000000001d031970?track_id=kolMatch_24f5decd7fa64557a013c7e514a58b81&amp;source=Advertiser_Kol" r:id="rId421"/>
    <hyperlink xmlns:r="http://schemas.openxmlformats.org/officeDocument/2006/relationships" ref="H218" display="https://www.xiaohongshu.com/user/profile/6704f0ef000000001d031970" r:id="rId422"/>
    <hyperlink xmlns:r="http://schemas.openxmlformats.org/officeDocument/2006/relationships" ref="G219" display="https://pgy.xiaohongshu.com/solar/pre-trade/blogger-detail/60d10be8000000000101e0d3?track_id=kolMatch_24f5decd7fa64557a013c7e514a58b81&amp;source=Advertiser_Kol" r:id="rId423"/>
    <hyperlink xmlns:r="http://schemas.openxmlformats.org/officeDocument/2006/relationships" ref="H219" display="https://www.xiaohongshu.com/user/profile/60d10be8000000000101e0d3" r:id="rId424"/>
    <hyperlink xmlns:r="http://schemas.openxmlformats.org/officeDocument/2006/relationships" ref="G220" display="https://pgy.xiaohongshu.com/solar/pre-trade/blogger-detail/615eb1830000000002018612?track_id=kolMatch_f9ca282494f84cf59fa37b06353d9b89&amp;source=Advertiser_Kol" r:id="rId425"/>
    <hyperlink xmlns:r="http://schemas.openxmlformats.org/officeDocument/2006/relationships" ref="H220" display="https://www.xiaohongshu.com/user/profile/615eb1830000000002018612" r:id="rId426"/>
    <hyperlink xmlns:r="http://schemas.openxmlformats.org/officeDocument/2006/relationships" ref="G221" display="https://pgy.xiaohongshu.com/solar/pre-trade/blogger-detail/5e1245890000000001004310?track_id=kolMatch_f9ca282494f84cf59fa37b06353d9b89&amp;source=Advertiser_Kol" r:id="rId427"/>
    <hyperlink xmlns:r="http://schemas.openxmlformats.org/officeDocument/2006/relationships" ref="H221" display="https://www.xiaohongshu.com/user/profile/5e1245890000000001004310" r:id="rId428"/>
    <hyperlink xmlns:r="http://schemas.openxmlformats.org/officeDocument/2006/relationships" ref="G222" display="https://pgy.xiaohongshu.com/solar/pre-trade/blogger-detail/5c540d7f00000000110007fb?track_id=kolMatch_f9ca282494f84cf59fa37b06353d9b89&amp;source=Advertiser_Kol" r:id="rId429"/>
    <hyperlink xmlns:r="http://schemas.openxmlformats.org/officeDocument/2006/relationships" ref="H222" display="https://www.xiaohongshu.com/user/profile/5c540d7f00000000110007fb" r:id="rId430"/>
    <hyperlink xmlns:r="http://schemas.openxmlformats.org/officeDocument/2006/relationships" ref="G223" display="https://pgy.xiaohongshu.com/solar/pre-trade/blogger-detail/5cbf48ab000000001700bd78?track_id=kolMatch_f9ca282494f84cf59fa37b06353d9b89&amp;source=Advertiser_Kol" r:id="rId431"/>
    <hyperlink xmlns:r="http://schemas.openxmlformats.org/officeDocument/2006/relationships" ref="H223" display="https://www.xiaohongshu.com/user/profile/5cbf48ab000000001700bd78" r:id="rId432"/>
    <hyperlink xmlns:r="http://schemas.openxmlformats.org/officeDocument/2006/relationships" ref="G224" display="https://pgy.xiaohongshu.com/solar/pre-trade/blogger-detail/6093e90d000000000101fe94?track_id=kolMatch_f9ca282494f84cf59fa37b06353d9b89&amp;source=Advertiser_Kol" r:id="rId433"/>
    <hyperlink xmlns:r="http://schemas.openxmlformats.org/officeDocument/2006/relationships" ref="H224" display="https://www.xiaohongshu.com/user/profile/6093e90d000000000101fe94" r:id="rId434"/>
    <hyperlink xmlns:r="http://schemas.openxmlformats.org/officeDocument/2006/relationships" ref="H225" display="https://www.xiaohongshu.com/user/profile/58d37a1650c4b41383beaa56" r:id="rId435"/>
    <hyperlink xmlns:r="http://schemas.openxmlformats.org/officeDocument/2006/relationships" ref="G226" display="https://pgy.xiaohongshu.com/solar/pre-trade/blogger-detail/5cc5cbf60000000010030601?track_id=kolMatch_73feeef671dd43ce8654c8e414143991&amp;source=Advertiser_Kol" r:id="rId436"/>
    <hyperlink xmlns:r="http://schemas.openxmlformats.org/officeDocument/2006/relationships" ref="H226" display="https://www.xiaohongshu.com/user/profile/5cc5cbf60000000010030601" r:id="rId437"/>
    <hyperlink xmlns:r="http://schemas.openxmlformats.org/officeDocument/2006/relationships" ref="G227" display="https://pgy.xiaohongshu.com/solar/pre-trade/blogger-detail/5ae3e20511be1055098096e7?track_id=kolMatch_73feeef671dd43ce8654c8e414143991&amp;source=Advertiser_Kol" r:id="rId438"/>
    <hyperlink xmlns:r="http://schemas.openxmlformats.org/officeDocument/2006/relationships" ref="H227" display="https://www.xiaohongshu.com/user/profile/5ae3e20511be1055098096e7" r:id="rId439"/>
    <hyperlink xmlns:r="http://schemas.openxmlformats.org/officeDocument/2006/relationships" ref="G228" display="https://pgy.xiaohongshu.com/solar/pre-trade/blogger-detail/5f35e6c5000000000100634c?track_id=kolMatch_73feeef671dd43ce8654c8e414143991&amp;source=Advertiser_Kol" r:id="rId440"/>
    <hyperlink xmlns:r="http://schemas.openxmlformats.org/officeDocument/2006/relationships" ref="H228" display="https://www.xiaohongshu.com/user/profile/5f35e6c5000000000100634c" r:id="rId441"/>
    <hyperlink xmlns:r="http://schemas.openxmlformats.org/officeDocument/2006/relationships" ref="G229" display="https://pgy.xiaohongshu.com/solar/pre-trade/blogger-detail/63e32dd10000000026011c28?track_id=kolMatch_94db55f4ae4b4e72b079e2675080de7a&amp;source=Advertiser_Kol" r:id="rId442"/>
    <hyperlink xmlns:r="http://schemas.openxmlformats.org/officeDocument/2006/relationships" ref="H229" display="https://www.xiaohongshu.com/user/profile/63e32dd10000000026011c28" r:id="rId443"/>
    <hyperlink xmlns:r="http://schemas.openxmlformats.org/officeDocument/2006/relationships" ref="G230" display="https://pgy.xiaohongshu.com/solar/pre-trade/blogger-detail/5a54586de8ac2b0dfebbcb21?track_id=kolMatch_94db55f4ae4b4e72b079e2675080de7a&amp;source=Advertiser_Kol" r:id="rId444"/>
    <hyperlink xmlns:r="http://schemas.openxmlformats.org/officeDocument/2006/relationships" ref="H230" display="https://www.xiaohongshu.com/user/profile/5a54586de8ac2b0dfebbcb21" r:id="rId445"/>
    <hyperlink xmlns:r="http://schemas.openxmlformats.org/officeDocument/2006/relationships" ref="G231" display="https://pgy.xiaohongshu.com/solar/pre-trade/blogger-detail/642a896d00000000120115ff?track_id=kolMatch_94db55f4ae4b4e72b079e2675080de7a&amp;source=Advertiser_Kol" r:id="rId446"/>
    <hyperlink xmlns:r="http://schemas.openxmlformats.org/officeDocument/2006/relationships" ref="H231" display="https://www.xiaohongshu.com/user/profile/642a896d00000000120115ff" r:id="rId447"/>
    <hyperlink xmlns:r="http://schemas.openxmlformats.org/officeDocument/2006/relationships" ref="G232" display="https://pgy.xiaohongshu.com/solar/pre-trade/blogger-detail/5735e29482ec393bb1a30dbc?track_id=kolMatch_94db55f4ae4b4e72b079e2675080de7a&amp;source=Advertiser_Kol" r:id="rId448"/>
    <hyperlink xmlns:r="http://schemas.openxmlformats.org/officeDocument/2006/relationships" ref="H232" display="https://www.xiaohongshu.com/user/profile/5735e29482ec393bb1a30dbc" r:id="rId449"/>
    <hyperlink xmlns:r="http://schemas.openxmlformats.org/officeDocument/2006/relationships" ref="G233" display="https://pgy.xiaohongshu.com/solar/pre-trade/blogger-detail/65d8079d00000000050337e5?track_id=kolMatch_94db55f4ae4b4e72b079e2675080de7a&amp;source=Advertiser_Kol" r:id="rId450"/>
    <hyperlink xmlns:r="http://schemas.openxmlformats.org/officeDocument/2006/relationships" ref="H233" display="https://www.xiaohongshu.com/user/profile/65d8079d00000000050337e5" r:id="rId451"/>
    <hyperlink xmlns:r="http://schemas.openxmlformats.org/officeDocument/2006/relationships" ref="G234" display="https://pgy.xiaohongshu.com/solar/pre-trade/blogger-detail/5655cc604476087c2a2988c1?track_id=kolMatch_94db55f4ae4b4e72b079e2675080de7a&amp;source=Advertiser_Kol" r:id="rId452"/>
    <hyperlink xmlns:r="http://schemas.openxmlformats.org/officeDocument/2006/relationships" ref="H234" display="https://www.xiaohongshu.com/user/profile/5655cc604476087c2a2988c1" r:id="rId453"/>
    <hyperlink xmlns:r="http://schemas.openxmlformats.org/officeDocument/2006/relationships" ref="G235" display="https://pgy.xiaohongshu.com/solar/pre-trade/blogger-detail/680b6c5f000000000a03ffa3?track_id=kolSearch_aebd10c23b674f5a9294416b1c75f9f3&amp;source=Advertiser_Kol" r:id="rId454"/>
    <hyperlink xmlns:r="http://schemas.openxmlformats.org/officeDocument/2006/relationships" ref="H235" display="https://www.xiaohongshu.com/user/profile/680b6c5f000000000a03ffa3" r:id="rId455"/>
    <hyperlink xmlns:r="http://schemas.openxmlformats.org/officeDocument/2006/relationships" ref="G236" display="https://pgy.xiaohongshu.com/solar/pre-trade/blogger-detail/5c7c34580000000010037809?track_id=kolSearch_aa4caa3ac8cc4da4880ae6bf8ccde1d5&amp;source=Advertiser_Kol" r:id="rId456"/>
    <hyperlink xmlns:r="http://schemas.openxmlformats.org/officeDocument/2006/relationships" ref="H236" display="https://www.xiaohongshu.com/user/profile/5c7c34580000000010037809" r:id="rId457"/>
    <hyperlink xmlns:r="http://schemas.openxmlformats.org/officeDocument/2006/relationships" ref="G237" display="https://pgy.xiaohongshu.com/solar/pre-trade/blogger-detail/67bb03a5000000000e02fdcc?track_id=kolSearch_2e220f31d1164236a957a99f8ff27a46&amp;source=Advertiser_Kol" r:id="rId458"/>
    <hyperlink xmlns:r="http://schemas.openxmlformats.org/officeDocument/2006/relationships" ref="H237" display="https://www.xiaohongshu.com/user/profile/67bb03a5000000000e02fdcc" r:id="rId459"/>
    <hyperlink xmlns:r="http://schemas.openxmlformats.org/officeDocument/2006/relationships" ref="G238" display="https://pgy.xiaohongshu.com/solar/pre-trade/blogger-detail/5fe6fed30000000001000561?track_id=kolMatch_94db55f4ae4b4e72b079e2675080de7a&amp;source=Advertiser_Kol" r:id="rId460"/>
    <hyperlink xmlns:r="http://schemas.openxmlformats.org/officeDocument/2006/relationships" ref="H238" display="https://www.xiaohongshu.com/user/profile/5fe6fed30000000001000561" r:id="rId461"/>
    <hyperlink xmlns:r="http://schemas.openxmlformats.org/officeDocument/2006/relationships" ref="G239" display="https://pgy.xiaohongshu.com/solar/pre-trade/blogger-detail/5a33a82611be1006308ae371?track_id=kolMatch_8582aea41f874173a0e71d9e62ab079e&amp;source=Advertiser_Kol" r:id="rId462"/>
    <hyperlink xmlns:r="http://schemas.openxmlformats.org/officeDocument/2006/relationships" ref="H239" display="https://www.xiaohongshu.com/user/profile/5a33a82611be1006308ae371" r:id="rId463"/>
    <hyperlink xmlns:r="http://schemas.openxmlformats.org/officeDocument/2006/relationships" ref="G240" display="https://pgy.xiaohongshu.com/solar/pre-trade/blogger-detail/66f7c320000000001d021353?track_id=kolMatch_8582aea41f874173a0e71d9e62ab079e&amp;source=Advertiser_Kol" r:id="rId464"/>
    <hyperlink xmlns:r="http://schemas.openxmlformats.org/officeDocument/2006/relationships" ref="H240" display="https://www.xiaohongshu.com/user/profile/66f7c320000000001d021353" r:id="rId465"/>
    <hyperlink xmlns:r="http://schemas.openxmlformats.org/officeDocument/2006/relationships" ref="G241" display="https://pgy.xiaohongshu.com/solar/pre-trade/blogger-detail/60841d2400000000010036f8?track_id=kolMatch_8582aea41f874173a0e71d9e62ab079e&amp;source=Advertiser_Kol" r:id="rId466"/>
    <hyperlink xmlns:r="http://schemas.openxmlformats.org/officeDocument/2006/relationships" ref="H241" display="https://www.xiaohongshu.com/user/profile/60841d2400000000010036f8" r:id="rId467"/>
    <hyperlink xmlns:r="http://schemas.openxmlformats.org/officeDocument/2006/relationships" ref="G242" display="https://pgy.xiaohongshu.com/solar/pre-trade/blogger-detail/640c4e7b0000000029016d9d?track_id=kolMatch_8582aea41f874173a0e71d9e62ab079e&amp;source=Advertiser_Kol" r:id="rId468"/>
    <hyperlink xmlns:r="http://schemas.openxmlformats.org/officeDocument/2006/relationships" ref="H242" display="https://www.xiaohongshu.com/user/profile/640c4e7b0000000029016d9d" r:id="rId469"/>
    <hyperlink xmlns:r="http://schemas.openxmlformats.org/officeDocument/2006/relationships" ref="G243" display="https://pgy.xiaohongshu.com/solar/pre-trade/blogger-detail/5b658b3a6b58b759ac289145?track_id=kolMatch_8582aea41f874173a0e71d9e62ab079e&amp;source=Advertiser_Kol" r:id="rId470"/>
    <hyperlink xmlns:r="http://schemas.openxmlformats.org/officeDocument/2006/relationships" ref="H243" display="https://www.xiaohongshu.com/user/profile/5b658b3a6b58b759ac289145" r:id="rId471"/>
    <hyperlink xmlns:r="http://schemas.openxmlformats.org/officeDocument/2006/relationships" ref="G244" display="https://pgy.xiaohongshu.com/solar/pre-trade/blogger-detail/67ab2991000000000a03c237?track_id=kolMatch_8582aea41f874173a0e71d9e62ab079e&amp;source=Advertiser_Kol" r:id="rId472"/>
    <hyperlink xmlns:r="http://schemas.openxmlformats.org/officeDocument/2006/relationships" ref="H244" display="https://www.xiaohongshu.com/user/profile/67ab2991000000000a03c237" r:id="rId473"/>
    <hyperlink xmlns:r="http://schemas.openxmlformats.org/officeDocument/2006/relationships" ref="G245" display="https://pgy.xiaohongshu.com/solar/pre-trade/blogger-detail/60c8902a000000000101f71f?track_id=kolMatch_16460b883e1d43c1842f9886e2922097&amp;source=Advertiser_Kol" r:id="rId474"/>
    <hyperlink xmlns:r="http://schemas.openxmlformats.org/officeDocument/2006/relationships" ref="H245" display="https://www.xiaohongshu.com/user/profile/60c8902a000000000101f71f" r:id="rId475"/>
    <hyperlink xmlns:r="http://schemas.openxmlformats.org/officeDocument/2006/relationships" ref="G246" display="https://pgy.xiaohongshu.com/solar/pre-trade/blogger-detail/667014f100000000030310f3?track_id=kolMatch_16460b883e1d43c1842f9886e2922097&amp;source=Advertiser_Kol" r:id="rId476"/>
    <hyperlink xmlns:r="http://schemas.openxmlformats.org/officeDocument/2006/relationships" ref="H246" display="https://www.xiaohongshu.com/user/profile/667014f100000000030310f3" r:id="rId477"/>
    <hyperlink xmlns:r="http://schemas.openxmlformats.org/officeDocument/2006/relationships" ref="G247" display="https://pgy.xiaohongshu.com/solar/pre-trade/blogger-detail/66a3ada0000000001d033f1e?track_id=kolMatch_584bbfe61f5a4fb0bfac5af502bd4c66&amp;source=Advertiser_Kol" r:id="rId478"/>
    <hyperlink xmlns:r="http://schemas.openxmlformats.org/officeDocument/2006/relationships" ref="H247" display="https://www.xiaohongshu.com/user/profile/66a3ada0000000001d033f1e" r:id="rId479"/>
    <hyperlink xmlns:r="http://schemas.openxmlformats.org/officeDocument/2006/relationships" ref="G248" display="https://pgy.xiaohongshu.com/solar/pre-trade/blogger-detail/5b1cdfeee8ac2b04cd661722?track_id=kolMatch_584bbfe61f5a4fb0bfac5af502bd4c66&amp;source=Advertiser_Kol" r:id="rId480"/>
    <hyperlink xmlns:r="http://schemas.openxmlformats.org/officeDocument/2006/relationships" ref="H248" display="https://www.xiaohongshu.com/user/profile/5b1cdfeee8ac2b04cd661722" r:id="rId481"/>
    <hyperlink xmlns:r="http://schemas.openxmlformats.org/officeDocument/2006/relationships" ref="G250" display="https://pgy.xiaohongshu.com/solar/pre-trade/blogger-detail/5ae13bd44eacab3462d33018?track_id=kolMatch_380851593b5949d38472d708c9404697&amp;source=Advertiser_Kol" r:id="rId482"/>
    <hyperlink xmlns:r="http://schemas.openxmlformats.org/officeDocument/2006/relationships" ref="H250" display="https://www.xiaohongshu.com/user/profile/5ae13bd44eacab3462d33018" r:id="rId483"/>
    <hyperlink xmlns:r="http://schemas.openxmlformats.org/officeDocument/2006/relationships" ref="G251" display="https://pgy.xiaohongshu.com/solar/pre-trade/blogger-detail/593fe36e50c4b45723f17280?track_id=kolMatch_380851593b5949d38472d708c9404697&amp;source=Advertiser_Kol" r:id="rId484"/>
    <hyperlink xmlns:r="http://schemas.openxmlformats.org/officeDocument/2006/relationships" ref="H251" display="https://www.xiaohongshu.com/user/profile/593fe36e50c4b45723f17280" r:id="rId485"/>
    <hyperlink xmlns:r="http://schemas.openxmlformats.org/officeDocument/2006/relationships" ref="G252" display="https://pgy.xiaohongshu.com/solar/pre-trade/blogger-detail/5b65678c3af703000169fede?track_id=kolMatch_2052b719e5d24036a913e9f5cd6a151d&amp;source=Advertiser_Kol" r:id="rId486"/>
    <hyperlink xmlns:r="http://schemas.openxmlformats.org/officeDocument/2006/relationships" ref="H252" display="https://www.xiaohongshu.com/user/profile/5b65678c3af703000169fede" r:id="rId487"/>
    <hyperlink xmlns:r="http://schemas.openxmlformats.org/officeDocument/2006/relationships" ref="G253" display="https://pgy.xiaohongshu.com/solar/pre-trade/blogger-detail/5af0f03411be10477403ea28?track_id=kolMatch_2052b719e5d24036a913e9f5cd6a151d&amp;source=Advertiser_Kol" r:id="rId488"/>
    <hyperlink xmlns:r="http://schemas.openxmlformats.org/officeDocument/2006/relationships" ref="H253" display="https://www.xiaohongshu.com/user/profile/5af0f03411be10477403ea28" r:id="rId489"/>
    <hyperlink xmlns:r="http://schemas.openxmlformats.org/officeDocument/2006/relationships" ref="G254" display="https://pgy.xiaohongshu.com/solar/pre-trade/blogger-detail/5fc7795300000000010011de?track_id=kolSimilar_116173e5367e49c18618235a2f9284db&amp;source=Advertiser_Similar_Kol" r:id="rId490"/>
    <hyperlink xmlns:r="http://schemas.openxmlformats.org/officeDocument/2006/relationships" ref="H254" display="https://www.xiaohongshu.com/user/profile/5fc7795300000000010011de" r:id="rId491"/>
    <hyperlink xmlns:r="http://schemas.openxmlformats.org/officeDocument/2006/relationships" ref="G255" display="https://pgy.xiaohongshu.com/solar/pre-trade/blogger-detail/5c0a911d000000000500831e?track_id=kolMatch_2052b719e5d24036a913e9f5cd6a151d&amp;source=Advertiser_Kol" r:id="rId492"/>
    <hyperlink xmlns:r="http://schemas.openxmlformats.org/officeDocument/2006/relationships" ref="H255" display="https://www.xiaohongshu.com/user/profile/5c0a911d000000000500831e" r:id="rId493"/>
    <hyperlink xmlns:r="http://schemas.openxmlformats.org/officeDocument/2006/relationships" ref="G256" display="https://pgy.xiaohongshu.com/solar/pre-trade/blogger-detail/667e310300000000070046cb?track_id=kolSimilar_1c943b8bf5a0435880345511e38da7f6&amp;source=Advertiser_Similar_Kol" r:id="rId494"/>
    <hyperlink xmlns:r="http://schemas.openxmlformats.org/officeDocument/2006/relationships" ref="H256" display="https://www.xiaohongshu.com/user/profile/667e310300000000070046cb" r:id="rId495"/>
    <hyperlink xmlns:r="http://schemas.openxmlformats.org/officeDocument/2006/relationships" ref="G257" display="https://pgy.xiaohongshu.com/solar/pre-trade/blogger-detail/5ff3e4ca00000000010087a0?track_id=kolSimilar_1c943b8bf5a0435880345511e38da7f6&amp;source=Advertiser_Similar_Kol" r:id="rId496"/>
    <hyperlink xmlns:r="http://schemas.openxmlformats.org/officeDocument/2006/relationships" ref="H257" display="https://www.xiaohongshu.com/user/profile/5ff3e4ca00000000010087a0" r:id="rId497"/>
    <hyperlink xmlns:r="http://schemas.openxmlformats.org/officeDocument/2006/relationships" ref="G258" display="https://pgy.xiaohongshu.com/solar/pre-trade/blogger-detail/5fc0d0370000000001004536?track_id=kolMatch_2052b719e5d24036a913e9f5cd6a151d&amp;source=Advertiser_Kol" r:id="rId498"/>
    <hyperlink xmlns:r="http://schemas.openxmlformats.org/officeDocument/2006/relationships" ref="H258" display="https://www.xiaohongshu.com/user/profile/5fc0d0370000000001004536" r:id="rId499"/>
    <hyperlink xmlns:r="http://schemas.openxmlformats.org/officeDocument/2006/relationships" ref="G259" display="https://pgy.xiaohongshu.com/solar/pre-trade/blogger-detail/65d4a743000000000d024bd1?track_id=kolSimilar_f9e0d9f46f6b4ff6b6c4ffac0dd6e0f2&amp;source=Advertiser_Similar_Kol" r:id="rId500"/>
    <hyperlink xmlns:r="http://schemas.openxmlformats.org/officeDocument/2006/relationships" ref="H259" display="https://www.xiaohongshu.com/user/profile/65d4a743000000000d024bd1" r:id="rId501"/>
    <hyperlink xmlns:r="http://schemas.openxmlformats.org/officeDocument/2006/relationships" ref="G260" display="https://pgy.xiaohongshu.com/solar/pre-trade/blogger-detail/563f56179eb5781de464f403?track_id=kolMatch_2052b719e5d24036a913e9f5cd6a151d&amp;source=Advertiser_Kol" r:id="rId502"/>
    <hyperlink xmlns:r="http://schemas.openxmlformats.org/officeDocument/2006/relationships" ref="H260" display="https://www.xiaohongshu.com/user/profile/563f56179eb5781de464f403" r:id="rId503"/>
    <hyperlink xmlns:r="http://schemas.openxmlformats.org/officeDocument/2006/relationships" ref="G261" display="https://pgy.xiaohongshu.com/solar/pre-trade/blogger-detail/67bae2e00000000008015785?track_id=kolMatch_b2d36be9ebf3459f95d50154f8eb49c6&amp;source=Advertiser_Kol" r:id="rId504"/>
    <hyperlink xmlns:r="http://schemas.openxmlformats.org/officeDocument/2006/relationships" ref="H261" display="https://www.xiaohongshu.com/user/profile/67bae2e00000000008015785" r:id="rId505"/>
    <hyperlink xmlns:r="http://schemas.openxmlformats.org/officeDocument/2006/relationships" ref="G262" display="https://pgy.xiaohongshu.com/solar/pre-trade/blogger-detail/59befa5151783a239233413b?track_id=kolMatch_b2d36be9ebf3459f95d50154f8eb49c6&amp;source=Advertiser_Kol" r:id="rId506"/>
    <hyperlink xmlns:r="http://schemas.openxmlformats.org/officeDocument/2006/relationships" ref="H262" display="https://www.xiaohongshu.com/user/profile/59befa5151783a239233413b" r:id="rId507"/>
    <hyperlink xmlns:r="http://schemas.openxmlformats.org/officeDocument/2006/relationships" ref="G263" display="https://pgy.xiaohongshu.com/solar/pre-trade/blogger-detail/61a9c0080000000010009ffa?track_id=kolMatch_b2d36be9ebf3459f95d50154f8eb49c6&amp;source=Advertiser_Kol" r:id="rId508"/>
    <hyperlink xmlns:r="http://schemas.openxmlformats.org/officeDocument/2006/relationships" ref="H263" display="https://www.xiaohongshu.com/user/profile/61a9c0080000000010009ffa" r:id="rId509"/>
    <hyperlink xmlns:r="http://schemas.openxmlformats.org/officeDocument/2006/relationships" ref="G264" display="https://pgy.xiaohongshu.com/solar/pre-trade/blogger-detail/6275160c0000000021020a99?track_id=kolSearch_62a4a4131a9143d0a2804384970217ad&amp;source=Advertiser_Kol" r:id="rId510"/>
    <hyperlink xmlns:r="http://schemas.openxmlformats.org/officeDocument/2006/relationships" ref="H264" display="https://www.xiaohongshu.com/user/profile/6275160c0000000021020a99" r:id="rId511"/>
    <hyperlink xmlns:r="http://schemas.openxmlformats.org/officeDocument/2006/relationships" ref="G265" display="https://pgy.xiaohongshu.com/solar/pre-trade/blogger-detail/6222daf60000000010008efd?track_id=kolMatch_e537f5a5d271477e95a6b3639552c90f&amp;source=Advertiser_Kol" r:id="rId512"/>
    <hyperlink xmlns:r="http://schemas.openxmlformats.org/officeDocument/2006/relationships" ref="H265" display="https://www.xiaohongshu.com/user/profile/6222daf60000000010008efd" r:id="rId513"/>
    <hyperlink xmlns:r="http://schemas.openxmlformats.org/officeDocument/2006/relationships" ref="G266" display="https://pgy.xiaohongshu.com/solar/pre-trade/blogger-detail/6030d541000000000101cc9c?track_id=kolMatch_e537f5a5d271477e95a6b3639552c90f&amp;source=Advertiser_Kol" r:id="rId514"/>
    <hyperlink xmlns:r="http://schemas.openxmlformats.org/officeDocument/2006/relationships" ref="H266" display="https://www.xiaohongshu.com/user/profile/6030d541000000000101cc9c" r:id="rId515"/>
    <hyperlink xmlns:r="http://schemas.openxmlformats.org/officeDocument/2006/relationships" ref="G267" display="https://pgy.xiaohongshu.com/solar/pre-trade/blogger-detail/68294f6d000000000e0121c5?track_id=kolMatch_e537f5a5d271477e95a6b3639552c90f&amp;source=Advertiser_Kol" r:id="rId516"/>
    <hyperlink xmlns:r="http://schemas.openxmlformats.org/officeDocument/2006/relationships" ref="H267" display="https://www.xiaohongshu.com/user/profile/68294f6d000000000e0121c5" r:id="rId517"/>
    <hyperlink xmlns:r="http://schemas.openxmlformats.org/officeDocument/2006/relationships" ref="G268" display="https://pgy.xiaohongshu.com/solar/pre-trade/blogger-detail/67dafeed000000000a03f4ea?track_id=kolMatch_c1f0a61264524609927a82460c87b14f&amp;source=Advertiser_Kol" r:id="rId518"/>
    <hyperlink xmlns:r="http://schemas.openxmlformats.org/officeDocument/2006/relationships" ref="H268" display="https://www.xiaohongshu.com/user/profile/67dafeed000000000a03f4ea" r:id="rId519"/>
    <hyperlink xmlns:r="http://schemas.openxmlformats.org/officeDocument/2006/relationships" ref="G269" display="https://pgy.xiaohongshu.com/solar/pre-trade/blogger-detail/65a4be2c0000000003027450?track_id=kolMatch_c1f0a61264524609927a82460c87b14f&amp;source=Advertiser_Kol" r:id="rId520"/>
    <hyperlink xmlns:r="http://schemas.openxmlformats.org/officeDocument/2006/relationships" ref="H269" display="https://www.xiaohongshu.com/user/profile/65a4be2c0000000003027450" r:id="rId521"/>
    <hyperlink xmlns:r="http://schemas.openxmlformats.org/officeDocument/2006/relationships" ref="G270" display="https://pgy.xiaohongshu.com/solar/pre-trade/blogger-detail/666fe6b700000000030316f0?track_id=kolMatch_2052b719e5d24036a913e9f5cd6a151d&amp;source=Advertiser_Kol" r:id="rId522"/>
    <hyperlink xmlns:r="http://schemas.openxmlformats.org/officeDocument/2006/relationships" ref="H270" display="https://www.xiaohongshu.com/user/profile/666fe6b700000000030316f0" r:id="rId523"/>
    <hyperlink xmlns:r="http://schemas.openxmlformats.org/officeDocument/2006/relationships" ref="G271" display="https://pgy.xiaohongshu.com/solar/pre-trade/blogger-detail/5ed46d26000000000101cfa0?track_id=kolMatch_c1f0a61264524609927a82460c87b14f&amp;source=Advertiser_Kol" r:id="rId524"/>
    <hyperlink xmlns:r="http://schemas.openxmlformats.org/officeDocument/2006/relationships" ref="H271" display="https://www.xiaohongshu.com/user/profile/5ed46d26000000000101cfa0" r:id="rId525"/>
    <hyperlink xmlns:r="http://schemas.openxmlformats.org/officeDocument/2006/relationships" ref="G272" display="https://pgy.xiaohongshu.com/solar/pre-trade/blogger-detail/60644e3100000000010030a5?track_id=kolMatch_c1f0a61264524609927a82460c87b14f&amp;source=Advertiser_Kol" r:id="rId526"/>
    <hyperlink xmlns:r="http://schemas.openxmlformats.org/officeDocument/2006/relationships" ref="H272" display="https://www.xiaohongshu.com/user/profile/60644e3100000000010030a5" r:id="rId527"/>
    <hyperlink xmlns:r="http://schemas.openxmlformats.org/officeDocument/2006/relationships" ref="G273" display="https://pgy.xiaohongshu.com/solar/pre-trade/blogger-detail/5659c2ab44760852c355e9c6?track_id=kolMatch_b2d36be9ebf3459f95d50154f8eb49c6&amp;source=Advertiser_Kol" r:id="rId528"/>
    <hyperlink xmlns:r="http://schemas.openxmlformats.org/officeDocument/2006/relationships" ref="H273" display="https://www.xiaohongshu.com/user/profile/5659c2ab44760852c355e9c6" r:id="rId529"/>
    <hyperlink xmlns:r="http://schemas.openxmlformats.org/officeDocument/2006/relationships" ref="G274" display="https://pgy.xiaohongshu.com/solar/pre-trade/blogger-detail/682dae24000000000e0108e5?track_id=kolMatch_b2d36be9ebf3459f95d50154f8eb49c6&amp;source=Advertiser_Kol" r:id="rId530"/>
    <hyperlink xmlns:r="http://schemas.openxmlformats.org/officeDocument/2006/relationships" ref="H274" display="https://www.xiaohongshu.com/user/profile/682dae24000000000e0108e5" r:id="rId531"/>
    <hyperlink xmlns:r="http://schemas.openxmlformats.org/officeDocument/2006/relationships" ref="G275" display="https://pgy.xiaohongshu.com/solar/pre-trade/blogger-detail/6544c47d000000000d005098?track_id=kolSimilar_fb779faba42246f38b62156cf7dbda60&amp;source=Advertiser_Similar_Kol" r:id="rId532"/>
    <hyperlink xmlns:r="http://schemas.openxmlformats.org/officeDocument/2006/relationships" ref="H275" display="https://www.xiaohongshu.com/user/profile/6544c47d000000000d005098" r:id="rId533"/>
    <hyperlink xmlns:r="http://schemas.openxmlformats.org/officeDocument/2006/relationships" ref="G276" display="https://pgy.xiaohongshu.com/solar/pre-trade/blogger-detail/58ece54d82ec39342ce3ac0b?track_id=kolMatch_2052b719e5d24036a913e9f5cd6a151d&amp;source=Advertiser_Kol" r:id="rId534"/>
    <hyperlink xmlns:r="http://schemas.openxmlformats.org/officeDocument/2006/relationships" ref="H276" display="https://www.xiaohongshu.com/user/profile/58ece54d82ec39342ce3ac0b" r:id="rId535"/>
    <hyperlink xmlns:r="http://schemas.openxmlformats.org/officeDocument/2006/relationships" ref="G277" display="https://pgy.xiaohongshu.com/solar/pre-trade/blogger-detail/5af43e81f7e8b979a5ac0bba?track_id=kolSimilar_fb779faba42246f38b62156cf7dbda60&amp;source=Advertiser_Similar_Kol" r:id="rId536"/>
    <hyperlink xmlns:r="http://schemas.openxmlformats.org/officeDocument/2006/relationships" ref="H277" display="https://www.xiaohongshu.com/user/profile/5af43e81f7e8b979a5ac0bba" r:id="rId537"/>
    <hyperlink xmlns:r="http://schemas.openxmlformats.org/officeDocument/2006/relationships" ref="G278" display="https://pgy.xiaohongshu.com/solar/pre-trade/blogger-detail/66a09fb20000000024022d34?track_id=kolMatch_c1f0a61264524609927a82460c87b14f&amp;source=Advertiser_Kol" r:id="rId538"/>
    <hyperlink xmlns:r="http://schemas.openxmlformats.org/officeDocument/2006/relationships" ref="H278" display="https://www.xiaohongshu.com/user/profile/66a09fb20000000024022d34" r:id="rId539"/>
    <hyperlink xmlns:r="http://schemas.openxmlformats.org/officeDocument/2006/relationships" ref="G279" display="https://pgy.xiaohongshu.com/solar/pre-trade/blogger-detail/658d486e0000000022010279?track_id=kolSimilar_fb779faba42246f38b62156cf7dbda60&amp;source=Advertiser_Similar_Kol" r:id="rId540"/>
    <hyperlink xmlns:r="http://schemas.openxmlformats.org/officeDocument/2006/relationships" ref="H279" display="https://www.xiaohongshu.com/user/profile/658d486e0000000022010279" r:id="rId541"/>
    <hyperlink xmlns:r="http://schemas.openxmlformats.org/officeDocument/2006/relationships" ref="G280" display="https://pgy.xiaohongshu.com/solar/pre-trade/blogger-detail/59ba5e4c51783a3e626beefd?track_id=kolSimilar_fb779faba42246f38b62156cf7dbda60&amp;source=Advertiser_Similar_Kol" r:id="rId542"/>
    <hyperlink xmlns:r="http://schemas.openxmlformats.org/officeDocument/2006/relationships" ref="H280" display="https://www.xiaohongshu.com/user/profile/59ba5e4c51783a3e626beefd" r:id="rId543"/>
    <hyperlink xmlns:r="http://schemas.openxmlformats.org/officeDocument/2006/relationships" ref="G281" display="https://pgy.xiaohongshu.com/solar/pre-trade/blogger-detail/5b361cebe8ac2b7f8f9b1c56?track_id=kolSimilar_fb779faba42246f38b62156cf7dbda60&amp;source=Advertiser_Similar_Kol" r:id="rId544"/>
    <hyperlink xmlns:r="http://schemas.openxmlformats.org/officeDocument/2006/relationships" ref="H281" display="https://www.xiaohongshu.com/user/profile/5b361cebe8ac2b7f8f9b1c56" r:id="rId545"/>
    <hyperlink xmlns:r="http://schemas.openxmlformats.org/officeDocument/2006/relationships" ref="G282" display="https://pgy.xiaohongshu.com/solar/pre-trade/blogger-detail/5f990bdd000000000101c307?track_id=kolMatch_4ad8c83b2e1841c1893f4c3561de1d64&amp;source=Advertiser_Kol" r:id="rId546"/>
    <hyperlink xmlns:r="http://schemas.openxmlformats.org/officeDocument/2006/relationships" ref="H282" display="https://www.xiaohongshu.com/user/profile/5f990bdd000000000101c307" r:id="rId547"/>
    <hyperlink xmlns:r="http://schemas.openxmlformats.org/officeDocument/2006/relationships" ref="G283" display="https://pgy.xiaohongshu.com/solar/pre-trade/blogger-detail/65d83c430000000005031bbb?track_id=kolMatch_4ad8c83b2e1841c1893f4c3561de1d64&amp;source=Advertiser_Kol" r:id="rId548"/>
    <hyperlink xmlns:r="http://schemas.openxmlformats.org/officeDocument/2006/relationships" ref="H283" display="https://www.xiaohongshu.com/user/profile/65d83c430000000005031bbb" r:id="rId549"/>
    <hyperlink xmlns:r="http://schemas.openxmlformats.org/officeDocument/2006/relationships" ref="G285" display="https://pgy.xiaohongshu.com/solar/pre-trade/blogger-detail/668ab210000000000b03036c?track_id=kolMatch_c87142a7924c4525addbb0128f5fe4f0&amp;source=Advertiser_Kol" r:id="rId550"/>
    <hyperlink xmlns:r="http://schemas.openxmlformats.org/officeDocument/2006/relationships" ref="H285" display="https://www.xiaohongshu.com/user/profile/668ab210000000000b03036c" r:id="rId551"/>
    <hyperlink xmlns:r="http://schemas.openxmlformats.org/officeDocument/2006/relationships" ref="G286" display="https://pgy.xiaohongshu.com/solar/pre-trade/blogger-detail/6030d21800000000010029be?track_id=kolSimilar_79217c7acaa64b89a428a6ea804cbfc9&amp;source=Advertiser_Similar_Kol" r:id="rId552"/>
    <hyperlink xmlns:r="http://schemas.openxmlformats.org/officeDocument/2006/relationships" ref="H286" display="https://www.xiaohongshu.com/user/profile/6030d21800000000010029be" r:id="rId553"/>
    <hyperlink xmlns:r="http://schemas.openxmlformats.org/officeDocument/2006/relationships" ref="G287" display="https://pgy.xiaohongshu.com/solar/pre-trade/blogger-detail/60c5aa0b00000000010014c0?track_id=kolSimilar_e30558116ae34fe9a154008bf6a55e25&amp;source=Advertiser_Similar_Kol" r:id="rId554"/>
    <hyperlink xmlns:r="http://schemas.openxmlformats.org/officeDocument/2006/relationships" ref="H287" display="https://www.xiaohongshu.com/user/profile/60c5aa0b00000000010014c0" r:id="rId555"/>
    <hyperlink xmlns:r="http://schemas.openxmlformats.org/officeDocument/2006/relationships" ref="G288" display="https://pgy.xiaohongshu.com/solar/pre-trade/blogger-detail/5c40866c0000000005006554?track_id=kolMatch_33a6211a510e462b8d3fc7b4dd0e311a&amp;source=Advertiser_Kol" r:id="rId556"/>
    <hyperlink xmlns:r="http://schemas.openxmlformats.org/officeDocument/2006/relationships" ref="H288" display="https://www.xiaohongshu.com/user/profile/5c40866c0000000005006554" r:id="rId557"/>
    <hyperlink xmlns:r="http://schemas.openxmlformats.org/officeDocument/2006/relationships" ref="G289" display="https://pgy.xiaohongshu.com/solar/pre-trade/blogger-detail/67a5e3b9000000000e01c7f4?track_id=kolSimilar_6671f97ff6eb48299cf3d2c7bd7125de&amp;source=Advertiser_Similar_Kol" r:id="rId558"/>
    <hyperlink xmlns:r="http://schemas.openxmlformats.org/officeDocument/2006/relationships" ref="H289" display="https://www.xiaohongshu.com/user/profile/67a5e3b9000000000e01c7f4" r:id="rId559"/>
    <hyperlink xmlns:r="http://schemas.openxmlformats.org/officeDocument/2006/relationships" ref="G290" display="https://pgy.xiaohongshu.com/solar/pre-trade/blogger-detail/6555e89f000000001000928e?track_id=kolSimilar_6671f97ff6eb48299cf3d2c7bd7125de&amp;source=Advertiser_Similar_Kol" r:id="rId560"/>
    <hyperlink xmlns:r="http://schemas.openxmlformats.org/officeDocument/2006/relationships" ref="H290" display="https://www.xiaohongshu.com/user/profile/6555e89f000000001000928e" r:id="rId561"/>
    <hyperlink xmlns:r="http://schemas.openxmlformats.org/officeDocument/2006/relationships" ref="G291" display="https://pgy.xiaohongshu.com/solar/pre-trade/blogger-detail/67e5269d000000000e013fa1?track_id=kolSimilar_4e2e4aae42714958844451fc0954d28e&amp;source=Advertiser_Similar_Kol" r:id="rId562"/>
    <hyperlink xmlns:r="http://schemas.openxmlformats.org/officeDocument/2006/relationships" ref="H291" display="https://www.xiaohongshu.com/user/profile/67e5269d000000000e013fa1" r:id="rId563"/>
    <hyperlink xmlns:r="http://schemas.openxmlformats.org/officeDocument/2006/relationships" ref="G292" display="https://pgy.xiaohongshu.com/solar/pre-trade/blogger-detail/68be2c670000000019010e85?track_id=kolSimilar_4e2e4aae42714958844451fc0954d28e&amp;source=Advertiser_Similar_Kol" r:id="rId564"/>
    <hyperlink xmlns:r="http://schemas.openxmlformats.org/officeDocument/2006/relationships" ref="H292" display="https://www.xiaohongshu.com/user/profile/68be2c670000000019010e85" r:id="rId565"/>
    <hyperlink xmlns:r="http://schemas.openxmlformats.org/officeDocument/2006/relationships" ref="G293" display="https://pgy.xiaohongshu.com/solar/pre-trade/blogger-detail/66cfc946000000000d027156?track_id=kolSimilar_34ec22b7a34d41748fba1228a9cbd27f&amp;source=Advertiser_Similar_Kol" r:id="rId566"/>
    <hyperlink xmlns:r="http://schemas.openxmlformats.org/officeDocument/2006/relationships" ref="H293" display="https://www.xiaohongshu.com/user/profile/66cfc946000000000d027156" r:id="rId567"/>
    <hyperlink xmlns:r="http://schemas.openxmlformats.org/officeDocument/2006/relationships" ref="G294" display="https://pgy.xiaohongshu.com/solar/pre-trade/blogger-detail/5e17ff890000000001001d86?track_id=kolSimilar_34ec22b7a34d41748fba1228a9cbd27f&amp;source=Advertiser_Similar_Kol" r:id="rId568"/>
    <hyperlink xmlns:r="http://schemas.openxmlformats.org/officeDocument/2006/relationships" ref="H294" display="https://www.xiaohongshu.com/user/profile/5e17ff890000000001001d86" r:id="rId569"/>
    <hyperlink xmlns:r="http://schemas.openxmlformats.org/officeDocument/2006/relationships" ref="G295" display="https://pgy.xiaohongshu.com/solar/pre-trade/blogger-detail/5f378bdd0000000001009ec2?track_id=kolSimilar_34ec22b7a34d41748fba1228a9cbd27f&amp;source=Advertiser_Similar_Kol" r:id="rId570"/>
    <hyperlink xmlns:r="http://schemas.openxmlformats.org/officeDocument/2006/relationships" ref="H295" display="https://www.xiaohongshu.com/user/profile/5f378bdd0000000001009ec2" r:id="rId571"/>
    <hyperlink xmlns:r="http://schemas.openxmlformats.org/officeDocument/2006/relationships" ref="G296" display="https://pgy.xiaohongshu.com/solar/pre-trade/blogger-detail/57be5b9250c4b456668f66e0?track_id=kolMatch_33a6211a510e462b8d3fc7b4dd0e311a&amp;source=Advertiser_Kol" r:id="rId572"/>
    <hyperlink xmlns:r="http://schemas.openxmlformats.org/officeDocument/2006/relationships" ref="H296" display="https://www.xiaohongshu.com/user/profile/57be5b9250c4b456668f66e0" r:id="rId573"/>
    <hyperlink xmlns:r="http://schemas.openxmlformats.org/officeDocument/2006/relationships" ref="G297" display="https://pgy.xiaohongshu.com/solar/pre-trade/blogger-detail/68fe20200000000037009411?track_id=kolSimilar_34ec22b7a34d41748fba1228a9cbd27f&amp;source=Advertiser_Similar_Kol" r:id="rId574"/>
    <hyperlink xmlns:r="http://schemas.openxmlformats.org/officeDocument/2006/relationships" ref="H297" display="https://www.xiaohongshu.com/user/profile/68fe20200000000037009411" r:id="rId575"/>
    <hyperlink xmlns:r="http://schemas.openxmlformats.org/officeDocument/2006/relationships" ref="G298" display="https://pgy.xiaohongshu.com/solar/pre-trade/blogger-detail/679b18fe0000000006011a4b?track_id=kolSimilar_dd30ef63e9ad4559aa010add8176bccc&amp;source=Advertiser_Similar_Kol" r:id="rId576"/>
    <hyperlink xmlns:r="http://schemas.openxmlformats.org/officeDocument/2006/relationships" ref="H298" display="https://www.xiaohongshu.com/user/profile/679b18fe0000000006011a4b" r:id="rId577"/>
    <hyperlink xmlns:r="http://schemas.openxmlformats.org/officeDocument/2006/relationships" ref="G299" display="https://pgy.xiaohongshu.com/solar/pre-trade/blogger-detail/63a1cb0c00000000260044df?track_id=kolSimilar_dd30ef63e9ad4559aa010add8176bccc&amp;source=Advertiser_Similar_Kol" r:id="rId578"/>
    <hyperlink xmlns:r="http://schemas.openxmlformats.org/officeDocument/2006/relationships" ref="H299" display="https://www.xiaohongshu.com/user/profile/63a1cb0c00000000260044df" r:id="rId579"/>
    <hyperlink xmlns:r="http://schemas.openxmlformats.org/officeDocument/2006/relationships" ref="G300" display="https://pgy.xiaohongshu.com/solar/pre-trade/blogger-detail/6389f847000000001f01562b?track_id=kolSimilar_dd30ef63e9ad4559aa010add8176bccc&amp;source=Advertiser_Similar_Kol" r:id="rId580"/>
    <hyperlink xmlns:r="http://schemas.openxmlformats.org/officeDocument/2006/relationships" ref="H300" display="https://www.xiaohongshu.com/user/profile/6389f847000000001f01562b" r:id="rId581"/>
    <hyperlink xmlns:r="http://schemas.openxmlformats.org/officeDocument/2006/relationships" ref="G301" display="https://pgy.xiaohongshu.com/solar/pre-trade/blogger-detail/60c5e694000000000100a847?track_id=kolSimilar_22bb85893a074a6093921c45a41a3b6c&amp;source=Advertiser_Similar_Kol" r:id="rId582"/>
    <hyperlink xmlns:r="http://schemas.openxmlformats.org/officeDocument/2006/relationships" ref="H301" display="https://www.xiaohongshu.com/user/profile/60c5e694000000000100a847" r:id="rId583"/>
    <hyperlink xmlns:r="http://schemas.openxmlformats.org/officeDocument/2006/relationships" ref="G302" display="https://pgy.xiaohongshu.com/solar/pre-trade/blogger-detail/65ff0ee7000000000b00ecd3?track_id=kolSimilar_79217c7acaa64b89a428a6ea804cbfc9&amp;source=Advertiser_Similar_Kol" r:id="rId584"/>
    <hyperlink xmlns:r="http://schemas.openxmlformats.org/officeDocument/2006/relationships" ref="H302" display="https://www.xiaohongshu.com/user/profile/65ff0ee7000000000b00ecd3" r:id="rId585"/>
    <hyperlink xmlns:r="http://schemas.openxmlformats.org/officeDocument/2006/relationships" ref="G303" display="https://pgy.xiaohongshu.com/solar/pre-trade/blogger-detail/66f57192000000000b0314ad?track_id=kolSimilar_79217c7acaa64b89a428a6ea804cbfc9&amp;source=Advertiser_Similar_Kol" r:id="rId586"/>
    <hyperlink xmlns:r="http://schemas.openxmlformats.org/officeDocument/2006/relationships" ref="H303" display="https://www.xiaohongshu.com/user/profile/66f57192000000000b0314ad" r:id="rId587"/>
    <hyperlink xmlns:r="http://schemas.openxmlformats.org/officeDocument/2006/relationships" ref="G304" display="https://pgy.xiaohongshu.com/solar/pre-trade/blogger-detail/58bfd91f5e87e716a97ba069?track_id=kolMatch_1bec4b38fc9043e992c62a2561bb4093&amp;source=Advertiser_Kol" r:id="rId588"/>
    <hyperlink xmlns:r="http://schemas.openxmlformats.org/officeDocument/2006/relationships" ref="H304" display="https://www.xiaohongshu.com/user/profile/58bfd91f5e87e716a97ba069" r:id="rId589"/>
    <hyperlink xmlns:r="http://schemas.openxmlformats.org/officeDocument/2006/relationships" ref="G305" display="https://pgy.xiaohongshu.com/solar/pre-trade/blogger-detail/5e3db75200000000010039f2?track_id=kolMatch_1bec4b38fc9043e992c62a2561bb4093&amp;source=Advertiser_Kol" r:id="rId590"/>
    <hyperlink xmlns:r="http://schemas.openxmlformats.org/officeDocument/2006/relationships" ref="H305" display="https://www.xiaohongshu.com/user/profile/5e3db75200000000010039f2" r:id="rId591"/>
    <hyperlink xmlns:r="http://schemas.openxmlformats.org/officeDocument/2006/relationships" ref="G306" display="https://pgy.xiaohongshu.com/solar/pre-trade/blogger-detail/65407518000000000200d0a7?track_id=kolMatch_19089dbfb93a405aa84a56ddcde2d055&amp;source=Advertiser_Kol" r:id="rId592"/>
    <hyperlink xmlns:r="http://schemas.openxmlformats.org/officeDocument/2006/relationships" ref="H306" display="https://www.xiaohongshu.com/user/profile/65407518000000000200d0a7" r:id="rId593"/>
    <hyperlink xmlns:r="http://schemas.openxmlformats.org/officeDocument/2006/relationships" ref="G307" display="https://pgy.xiaohongshu.com/solar/pre-trade/blogger-detail/5daee48a000000000100233c?track_id=kolMatch_6e6da988d8824bf7b8dfa407556c985a&amp;source=Advertiser_Kol" r:id="rId594"/>
    <hyperlink xmlns:r="http://schemas.openxmlformats.org/officeDocument/2006/relationships" ref="H307" display="https://www.xiaohongshu.com/user/profile/5daee48a000000000100233c" r:id="rId595"/>
    <hyperlink xmlns:r="http://schemas.openxmlformats.org/officeDocument/2006/relationships" ref="G308" display="https://pgy.xiaohongshu.com/solar/pre-trade/blogger-detail/64e030200000000001011a2f?track_id=kolMatch_6e6da988d8824bf7b8dfa407556c985a&amp;source=Advertiser_Kol" r:id="rId596"/>
    <hyperlink xmlns:r="http://schemas.openxmlformats.org/officeDocument/2006/relationships" ref="H308" display="https://www.xiaohongshu.com/user/profile/64e030200000000001011a2f" r:id="rId597"/>
    <hyperlink xmlns:r="http://schemas.openxmlformats.org/officeDocument/2006/relationships" ref="G309" display="https://pgy.xiaohongshu.com/solar/pre-trade/blogger-detail/5bd555b06dd37b00016f9072?track_id=kolMatch_ef4c0070bab04539a9a2097f7a7769ca&amp;source=Advertiser_Kol" r:id="rId598"/>
    <hyperlink xmlns:r="http://schemas.openxmlformats.org/officeDocument/2006/relationships" ref="H309" display="https://www.xiaohongshu.com/user/profile/5bd555b06dd37b00016f9072" r:id="rId599"/>
    <hyperlink xmlns:r="http://schemas.openxmlformats.org/officeDocument/2006/relationships" ref="G310" display="https://pgy.xiaohongshu.com/solar/pre-trade/blogger-detail/60ac89fd000000000100aaa4?track_id=kolMatch_ef4c0070bab04539a9a2097f7a7769ca&amp;source=Advertiser_Kol" r:id="rId600"/>
    <hyperlink xmlns:r="http://schemas.openxmlformats.org/officeDocument/2006/relationships" ref="H310" display="https://www.xiaohongshu.com/user/profile/60ac89fd000000000100aaa4" r:id="rId601"/>
    <hyperlink xmlns:r="http://schemas.openxmlformats.org/officeDocument/2006/relationships" ref="G311" display="https://pgy.xiaohongshu.com/solar/pre-trade/blogger-detail/651d3cd3000000002402f725?track_id=kolMatch_ef4c0070bab04539a9a2097f7a7769ca&amp;source=Advertiser_Kol" r:id="rId602"/>
    <hyperlink xmlns:r="http://schemas.openxmlformats.org/officeDocument/2006/relationships" ref="H311" display="https://www.xiaohongshu.com/user/profile/651d3cd3000000002402f725" r:id="rId603"/>
    <hyperlink xmlns:r="http://schemas.openxmlformats.org/officeDocument/2006/relationships" ref="G312" display="https://pgy.xiaohongshu.com/solar/pre-trade/blogger-detail/5bdec839b50d3b0001388627?track_id=kolMatch_082226d533274b0ab63e4f947937f008&amp;source=Advertiser_Kol" r:id="rId604"/>
    <hyperlink xmlns:r="http://schemas.openxmlformats.org/officeDocument/2006/relationships" ref="H312" display="https://www.xiaohongshu.com/user/profile/5bdec839b50d3b0001388627" r:id="rId605"/>
    <hyperlink xmlns:r="http://schemas.openxmlformats.org/officeDocument/2006/relationships" ref="G313" display="https://pgy.xiaohongshu.com/solar/pre-trade/blogger-detail/68cd8c1700000000210210b9?track_id=kolMatch_ef4c0070bab04539a9a2097f7a7769ca&amp;source=Advertiser_Kol" r:id="rId606"/>
    <hyperlink xmlns:r="http://schemas.openxmlformats.org/officeDocument/2006/relationships" ref="H313" display="https://www.xiaohongshu.com/user/profile/68cd8c1700000000210210b9" r:id="rId607"/>
    <hyperlink xmlns:r="http://schemas.openxmlformats.org/officeDocument/2006/relationships" ref="G314" display="https://pgy.xiaohongshu.com/solar/pre-trade/blogger-detail/5afd19faf7e8b9037d661bfb?track_id=kolMatch_19089dbfb93a405aa84a56ddcde2d055&amp;source=Advertiser_Kol" r:id="rId608"/>
    <hyperlink xmlns:r="http://schemas.openxmlformats.org/officeDocument/2006/relationships" ref="H314" display="https://www.xiaohongshu.com/user/profile/5afd19faf7e8b9037d661bfb" r:id="rId609"/>
    <hyperlink xmlns:r="http://schemas.openxmlformats.org/officeDocument/2006/relationships" ref="G315" display="https://pgy.xiaohongshu.com/solar/pre-trade/blogger-detail/5c3080e9000000000600575f?track_id=kolMatch_6cd495ae008641f4a9b896fb2299be1f&amp;source=Advertiser_Kol" r:id="rId610"/>
    <hyperlink xmlns:r="http://schemas.openxmlformats.org/officeDocument/2006/relationships" ref="H315" display="https://www.xiaohongshu.com/user/profile/5c3080e9000000000600575f" r:id="rId611"/>
    <hyperlink xmlns:r="http://schemas.openxmlformats.org/officeDocument/2006/relationships" ref="G316" display="https://pgy.xiaohongshu.com/solar/pre-trade/blogger-detail/5adb4c6fe8ac2b5b6b504d3b?track_id=kolMatch_19089dbfb93a405aa84a56ddcde2d055&amp;source=Advertiser_Kol" r:id="rId612"/>
    <hyperlink xmlns:r="http://schemas.openxmlformats.org/officeDocument/2006/relationships" ref="H316" display="https://www.xiaohongshu.com/user/profile/5adb4c6fe8ac2b5b6b504d3b" r:id="rId613"/>
    <hyperlink xmlns:r="http://schemas.openxmlformats.org/officeDocument/2006/relationships" ref="G317" display="https://pgy.xiaohongshu.com/solar/pre-trade/blogger-detail/5ab386d54eacab17bef119b8?track_id=kolMatch_19089dbfb93a405aa84a56ddcde2d055&amp;source=Advertiser_Kol" r:id="rId614"/>
    <hyperlink xmlns:r="http://schemas.openxmlformats.org/officeDocument/2006/relationships" ref="H317" display="https://www.xiaohongshu.com/user/profile/5ab386d54eacab17bef119b8" r:id="rId615"/>
    <hyperlink xmlns:r="http://schemas.openxmlformats.org/officeDocument/2006/relationships" ref="G318" display="https://pgy.xiaohongshu.com/solar/pre-trade/blogger-detail/5ab7cd53e8ac2b6eca5d793c?track_id=kolMatch_19089dbfb93a405aa84a56ddcde2d055&amp;source=Advertiser_Kol" r:id="rId616"/>
    <hyperlink xmlns:r="http://schemas.openxmlformats.org/officeDocument/2006/relationships" ref="H318" display="https://www.xiaohongshu.com/user/profile/5ab7cd53e8ac2b6eca5d793c" r:id="rId617"/>
    <hyperlink xmlns:r="http://schemas.openxmlformats.org/officeDocument/2006/relationships" ref="G319" display="https://pgy.xiaohongshu.com/solar/pre-trade/blogger-detail/62c95a50000000000200383d?track_id=kolMatch_34b52967eb884e39b60a07e600ac9d0d&amp;source=Advertiser_Kol" r:id="rId618"/>
    <hyperlink xmlns:r="http://schemas.openxmlformats.org/officeDocument/2006/relationships" ref="H319" display="https://www.xiaohongshu.com/user/profile/62c95a50000000000200383d" r:id="rId619"/>
    <hyperlink xmlns:r="http://schemas.openxmlformats.org/officeDocument/2006/relationships" ref="G320" display="https://pgy.xiaohongshu.com/solar/pre-trade/blogger-detail/60d7de87000000000101d09c?track_id=kolMatch_3f4040ae30144d67a64efcbbf8a1968c&amp;source=Advertiser_Kol" r:id="rId620"/>
    <hyperlink xmlns:r="http://schemas.openxmlformats.org/officeDocument/2006/relationships" ref="H320" display="https://www.xiaohongshu.com/user/profile/60d7de87000000000101d09c" r:id="rId621"/>
    <hyperlink xmlns:r="http://schemas.openxmlformats.org/officeDocument/2006/relationships" ref="G321" display="https://pgy.xiaohongshu.com/solar/pre-trade/blogger-detail/67a17842000000000d008178?track_id=kolMatch_34b52967eb884e39b60a07e600ac9d0d&amp;source=Advertiser_Kol" r:id="rId622"/>
    <hyperlink xmlns:r="http://schemas.openxmlformats.org/officeDocument/2006/relationships" ref="H321" display="https://www.xiaohongshu.com/user/profile/67a17842000000000d008178" r:id="rId623"/>
    <hyperlink xmlns:r="http://schemas.openxmlformats.org/officeDocument/2006/relationships" ref="G322" display="https://pgy.xiaohongshu.com/solar/pre-trade/blogger-detail/5de4bb600000000001006c21?track_id=kolMatch_34b52967eb884e39b60a07e600ac9d0d&amp;source=Advertiser_Kol" r:id="rId624"/>
    <hyperlink xmlns:r="http://schemas.openxmlformats.org/officeDocument/2006/relationships" ref="H322" display="https://www.xiaohongshu.com/user/profile/5de4bb600000000001006c21" r:id="rId625"/>
    <hyperlink xmlns:r="http://schemas.openxmlformats.org/officeDocument/2006/relationships" ref="G323" display="https://pgy.xiaohongshu.com/solar/pre-trade/blogger-detail/664732630000000003032234?track_id=kolMatch_c2c296f317134918895845abf502d42f&amp;source=Advertiser_Kol" r:id="rId626"/>
    <hyperlink xmlns:r="http://schemas.openxmlformats.org/officeDocument/2006/relationships" ref="H323" display="https://www.xiaohongshu.com/user/profile/664732630000000003032234" r:id="rId627"/>
    <hyperlink xmlns:r="http://schemas.openxmlformats.org/officeDocument/2006/relationships" ref="G324" display="https://pgy.xiaohongshu.com/solar/pre-trade/blogger-detail/5bfbef8344363b179c0b85cb?track_id=kolMatch_c2c296f317134918895845abf502d42f&amp;source=Advertiser_Kol" r:id="rId628"/>
    <hyperlink xmlns:r="http://schemas.openxmlformats.org/officeDocument/2006/relationships" ref="H324" display="https://www.xiaohongshu.com/user/profile/5bfbef8344363b179c0b85cb" r:id="rId629"/>
    <hyperlink xmlns:r="http://schemas.openxmlformats.org/officeDocument/2006/relationships" ref="G325" display="https://pgy.xiaohongshu.com/solar/pre-trade/blogger-detail/59aa51046a6a6932d62fa702?track_id=kolMatch_c2c296f317134918895845abf502d42f&amp;source=Advertiser_Kol" r:id="rId630"/>
    <hyperlink xmlns:r="http://schemas.openxmlformats.org/officeDocument/2006/relationships" ref="H325" display="https://www.xiaohongshu.com/user/profile/59aa51046a6a6932d62fa702" r:id="rId631"/>
    <hyperlink xmlns:r="http://schemas.openxmlformats.org/officeDocument/2006/relationships" ref="G326" display="https://pgy.xiaohongshu.com/solar/pre-trade/blogger-detail/5d2067a2000000001202fffd?track_id=kolMatch_c2c296f317134918895845abf502d42f&amp;source=Advertiser_Kol" r:id="rId632"/>
    <hyperlink xmlns:r="http://schemas.openxmlformats.org/officeDocument/2006/relationships" ref="H326" display="https://www.xiaohongshu.com/user/profile/5d2067a2000000001202fffd" r:id="rId633"/>
    <hyperlink xmlns:r="http://schemas.openxmlformats.org/officeDocument/2006/relationships" ref="G327" display="https://pgy.xiaohongshu.com/solar/pre-trade/blogger-detail/64a23f59000000001c02aafd?track_id=kolMatch_c2c296f317134918895845abf502d42f&amp;source=Advertiser_Kol" r:id="rId634"/>
    <hyperlink xmlns:r="http://schemas.openxmlformats.org/officeDocument/2006/relationships" ref="H327" display="https://www.xiaohongshu.com/user/profile/64a23f59000000001c02aafd" r:id="rId635"/>
    <hyperlink xmlns:r="http://schemas.openxmlformats.org/officeDocument/2006/relationships" ref="G328" display="https://pgy.xiaohongshu.com/solar/pre-trade/blogger-detail/65bba2d9000000000e02483c?track_id=kolMatch_3631ac3d5f0f408896797a084bca4d90&amp;source=Advertiser_Kol" r:id="rId636"/>
    <hyperlink xmlns:r="http://schemas.openxmlformats.org/officeDocument/2006/relationships" ref="H328" display="https://www.xiaohongshu.com/user/profile/65bba2d9000000000e02483c" r:id="rId637"/>
    <hyperlink xmlns:r="http://schemas.openxmlformats.org/officeDocument/2006/relationships" ref="G329" display="https://pgy.xiaohongshu.com/solar/pre-trade/blogger-detail/636e3998000000001f01df16?track_id=kolMatch_3631ac3d5f0f408896797a084bca4d90&amp;source=Advertiser_Kol" r:id="rId638"/>
    <hyperlink xmlns:r="http://schemas.openxmlformats.org/officeDocument/2006/relationships" ref="H329" display="https://www.xiaohongshu.com/user/profile/636e3998000000001f01df16" r:id="rId639"/>
    <hyperlink xmlns:r="http://schemas.openxmlformats.org/officeDocument/2006/relationships" ref="G330" display="https://pgy.xiaohongshu.com/solar/pre-trade/blogger-detail/5b6e2d5cf9d8f10001bb24fe?track_id=kolMatch_3631ac3d5f0f408896797a084bca4d90&amp;source=Advertiser_Kol" r:id="rId640"/>
    <hyperlink xmlns:r="http://schemas.openxmlformats.org/officeDocument/2006/relationships" ref="H330" display="https://www.xiaohongshu.com/user/profile/5b6e2d5cf9d8f10001bb24fe" r:id="rId641"/>
    <hyperlink xmlns:r="http://schemas.openxmlformats.org/officeDocument/2006/relationships" ref="G331" display="https://pgy.xiaohongshu.com/solar/pre-trade/blogger-detail/5a3133d6db2e606dc879dc3b?track_id=kolMatch_3631ac3d5f0f408896797a084bca4d90&amp;source=Advertiser_Kol" r:id="rId642"/>
    <hyperlink xmlns:r="http://schemas.openxmlformats.org/officeDocument/2006/relationships" ref="H331" display="https://www.xiaohongshu.com/user/profile/5a3133d6db2e606dc879dc3b" r:id="rId643"/>
    <hyperlink xmlns:r="http://schemas.openxmlformats.org/officeDocument/2006/relationships" ref="G334" display="https://pgy.xiaohongshu.com/solar/pre-trade/blogger-detail/5fe9d273000000000100a344?track_id=kolSimilar_bb22de4373e74319bc7f146dd9d46e6b&amp;source=Advertiser_Similar_Kol" r:id="rId644"/>
    <hyperlink xmlns:r="http://schemas.openxmlformats.org/officeDocument/2006/relationships" ref="H334" display="https://www.xiaohongshu.com/user/profile/5fe9d273000000000100a344" r:id="rId645"/>
    <hyperlink xmlns:r="http://schemas.openxmlformats.org/officeDocument/2006/relationships" ref="G335" display="https://pgy.xiaohongshu.com/solar/pre-trade/blogger-detail/68f4e2a5000000003702bb8b?track_id=kolSimilar_7939d42537224cb38b1ddf8cb8340b50&amp;source=Advertiser_Similar_Kol" r:id="rId646"/>
    <hyperlink xmlns:r="http://schemas.openxmlformats.org/officeDocument/2006/relationships" ref="H335" display="https://www.xiaohongshu.com/user/profile/68f4e2a5000000003702bb8b" r:id="rId647"/>
    <hyperlink xmlns:r="http://schemas.openxmlformats.org/officeDocument/2006/relationships" ref="G336" display="https://pgy.xiaohongshu.com/solar/pre-trade/blogger-detail/682e63e6000000000e01d1f8?track_id=kolSimilar_7939d42537224cb38b1ddf8cb8340b50&amp;source=Advertiser_Similar_Kol" r:id="rId648"/>
    <hyperlink xmlns:r="http://schemas.openxmlformats.org/officeDocument/2006/relationships" ref="H336" display="https://www.xiaohongshu.com/user/profile/682e63e6000000000e01d1f8" r:id="rId649"/>
    <hyperlink xmlns:r="http://schemas.openxmlformats.org/officeDocument/2006/relationships" ref="G337" display="https://pgy.xiaohongshu.com/solar/pre-trade/blogger-detail/5ebd648c0000000001001369?track_id=kolSimilar_7939d42537224cb38b1ddf8cb8340b50&amp;source=Advertiser_Similar_Kol" r:id="rId650"/>
    <hyperlink xmlns:r="http://schemas.openxmlformats.org/officeDocument/2006/relationships" ref="H337" display="https://www.xiaohongshu.com/user/profile/5ebd648c0000000001001369" r:id="rId651"/>
    <hyperlink xmlns:r="http://schemas.openxmlformats.org/officeDocument/2006/relationships" ref="G338" display="https://pgy.xiaohongshu.com/solar/pre-trade/blogger-detail/65e4a125000000000500d3ab?track_id=kolSimilar_7939d42537224cb38b1ddf8cb8340b50&amp;source=Advertiser_Similar_Kol" r:id="rId652"/>
    <hyperlink xmlns:r="http://schemas.openxmlformats.org/officeDocument/2006/relationships" ref="H338" display="https://www.xiaohongshu.com/user/profile/65e4a125000000000500d3ab" r:id="rId653"/>
    <hyperlink xmlns:r="http://schemas.openxmlformats.org/officeDocument/2006/relationships" ref="G339" display="https://pgy.xiaohongshu.com/solar/pre-trade/blogger-detail/5fe55df1000000000101cae2?track_id=kolSimilar_318713611a2a476a811b6443dd862de4&amp;source=Advertiser_Similar_Kol" r:id="rId654"/>
    <hyperlink xmlns:r="http://schemas.openxmlformats.org/officeDocument/2006/relationships" ref="H339" display="https://www.xiaohongshu.com/user/profile/5fe55df1000000000101cae2" r:id="rId655"/>
    <hyperlink xmlns:r="http://schemas.openxmlformats.org/officeDocument/2006/relationships" ref="G340" display="https://pgy.xiaohongshu.com/solar/pre-trade/blogger-detail/68725b47000000001e03d82a?track_id=kolSimilar_7939d42537224cb38b1ddf8cb8340b50&amp;source=Advertiser_Similar_Kol" r:id="rId656"/>
    <hyperlink xmlns:r="http://schemas.openxmlformats.org/officeDocument/2006/relationships" ref="H340" display="https://www.xiaohongshu.com/user/profile/68725b47000000001e03d82a" r:id="rId657"/>
    <hyperlink xmlns:r="http://schemas.openxmlformats.org/officeDocument/2006/relationships" ref="G341" display="https://pgy.xiaohongshu.com/solar/pre-trade/blogger-detail/61e6da3a000000002102bd84?track_id=kolSimilar_318713611a2a476a811b6443dd862de4&amp;source=Advertiser_Similar_Kol" r:id="rId658"/>
    <hyperlink xmlns:r="http://schemas.openxmlformats.org/officeDocument/2006/relationships" ref="H341" display="https://www.xiaohongshu.com/user/profile/61e6da3a000000002102bd84" r:id="rId659"/>
    <hyperlink xmlns:r="http://schemas.openxmlformats.org/officeDocument/2006/relationships" ref="G342" display="https://pgy.xiaohongshu.com/solar/pre-trade/blogger-detail/67e0eed1000000000a03fa2e?track_id=kolSimilar_318713611a2a476a811b6443dd862de4&amp;source=Advertiser_Similar_Kol" r:id="rId660"/>
    <hyperlink xmlns:r="http://schemas.openxmlformats.org/officeDocument/2006/relationships" ref="H342" display="https://www.xiaohongshu.com/user/profile/67e0eed1000000000a03fa2e" r:id="rId661"/>
    <hyperlink xmlns:r="http://schemas.openxmlformats.org/officeDocument/2006/relationships" ref="G343" display="https://pgy.xiaohongshu.com/solar/pre-trade/blogger-detail/67a8a08a000000000d009731?track_id=kolSimilar_0482c495394f4cf097258cc03826caa9&amp;source=Advertiser_Similar_Kol" r:id="rId662"/>
    <hyperlink xmlns:r="http://schemas.openxmlformats.org/officeDocument/2006/relationships" ref="H343" display="https://www.xiaohongshu.com/user/profile/67a8a08a000000000d009731" r:id="rId663"/>
    <hyperlink xmlns:r="http://schemas.openxmlformats.org/officeDocument/2006/relationships" ref="G344" display="https://pgy.xiaohongshu.com/solar/pre-trade/blogger-detail/670a3093000000001d020a74?track_id=kolSimilar_318713611a2a476a811b6443dd862de4&amp;source=Advertiser_Similar_Kol" r:id="rId664"/>
    <hyperlink xmlns:r="http://schemas.openxmlformats.org/officeDocument/2006/relationships" ref="H344" display="https://www.xiaohongshu.com/user/profile/670a3093000000001d020a74" r:id="rId665"/>
    <hyperlink xmlns:r="http://schemas.openxmlformats.org/officeDocument/2006/relationships" ref="G345" display="https://pgy.xiaohongshu.com/solar/pre-trade/blogger-detail/62082ed70000000010008f03?track_id=kolSimilar_7939d42537224cb38b1ddf8cb8340b50&amp;source=Advertiser_Similar_Kol" r:id="rId666"/>
    <hyperlink xmlns:r="http://schemas.openxmlformats.org/officeDocument/2006/relationships" ref="H345" display="https://www.xiaohongshu.com/user/profile/62082ed70000000010008f03" r:id="rId667"/>
    <hyperlink xmlns:r="http://schemas.openxmlformats.org/officeDocument/2006/relationships" ref="G346" display="https://pgy.xiaohongshu.com/solar/pre-trade/blogger-detail/5a39fbf94eacab460b9d999b?track_id=kolSimilar_318713611a2a476a811b6443dd862de4&amp;source=Advertiser_Similar_Kol" r:id="rId668"/>
    <hyperlink xmlns:r="http://schemas.openxmlformats.org/officeDocument/2006/relationships" ref="H346" display="https://www.xiaohongshu.com/user/profile/5a39fbf94eacab460b9d999b" r:id="rId669"/>
    <hyperlink xmlns:r="http://schemas.openxmlformats.org/officeDocument/2006/relationships" ref="G347" display="https://pgy.xiaohongshu.com/solar/pre-trade/blogger-detail/6513c35e0000000023027fa0?track_id=kolSimilar_4ee96c096bc6407dbf2caa3fccaed394&amp;source=Advertiser_Similar_Kol" r:id="rId670"/>
    <hyperlink xmlns:r="http://schemas.openxmlformats.org/officeDocument/2006/relationships" ref="H347" display="https://www.xiaohongshu.com/user/profile/6513c35e0000000023027fa0" r:id="rId671"/>
    <hyperlink xmlns:r="http://schemas.openxmlformats.org/officeDocument/2006/relationships" ref="G348" display="https://pgy.xiaohongshu.com/solar/pre-trade/blogger-detail/5dc7caf500000000010057ca?track_id=kolSimilar_318713611a2a476a811b6443dd862de4&amp;source=Advertiser_Similar_Kol" r:id="rId672"/>
    <hyperlink xmlns:r="http://schemas.openxmlformats.org/officeDocument/2006/relationships" ref="H348" display="https://www.xiaohongshu.com/user/profile/5dc7caf500000000010057ca" r:id="rId673"/>
    <hyperlink xmlns:r="http://schemas.openxmlformats.org/officeDocument/2006/relationships" ref="G349" display="https://pgy.xiaohongshu.com/solar/pre-trade/blogger-detail/6823605f000000000a03ec8a?track_id=kolSimilar_7939d42537224cb38b1ddf8cb8340b50&amp;source=Advertiser_Similar_Kol" r:id="rId674"/>
    <hyperlink xmlns:r="http://schemas.openxmlformats.org/officeDocument/2006/relationships" ref="H349" display="https://www.xiaohongshu.com/user/profile/6823605f000000000a03ec8a" r:id="rId675"/>
    <hyperlink xmlns:r="http://schemas.openxmlformats.org/officeDocument/2006/relationships" ref="G350" display="https://pgy.xiaohongshu.com/solar/pre-trade/blogger-detail/682b5d95000000000e01e2eb?track_id=kolSimilar_c7c5797771384bbf8912ee88b10c2357&amp;source=Advertiser_Similar_Kol" r:id="rId676"/>
    <hyperlink xmlns:r="http://schemas.openxmlformats.org/officeDocument/2006/relationships" ref="H350" display="https://www.xiaohongshu.com/user/profile/682b5d95000000000e01e2eb" r:id="rId677"/>
    <hyperlink xmlns:r="http://schemas.openxmlformats.org/officeDocument/2006/relationships" ref="G351" display="https://pgy.xiaohongshu.com/solar/pre-trade/blogger-detail/6525725c000000002b003b31?track_id=kolSimilar_0482c495394f4cf097258cc03826caa9&amp;source=Advertiser_Similar_Kol" r:id="rId678"/>
    <hyperlink xmlns:r="http://schemas.openxmlformats.org/officeDocument/2006/relationships" ref="H351" display="https://www.xiaohongshu.com/user/profile/6525725c000000002b003b31" r:id="rId679"/>
    <hyperlink xmlns:r="http://schemas.openxmlformats.org/officeDocument/2006/relationships" ref="G352" display="https://pgy.xiaohongshu.com/solar/pre-trade/blogger-detail/6684166f00000000030308ed?track_id=kolSimilar_7939d42537224cb38b1ddf8cb8340b50&amp;source=Advertiser_Similar_Kol" r:id="rId680"/>
    <hyperlink xmlns:r="http://schemas.openxmlformats.org/officeDocument/2006/relationships" ref="H352" display="https://www.xiaohongshu.com/user/profile/6684166f00000000030308ed" r:id="rId681"/>
    <hyperlink xmlns:r="http://schemas.openxmlformats.org/officeDocument/2006/relationships" ref="G353" display="https://pgy.xiaohongshu.com/solar/pre-trade/blogger-detail/5a87cf7edb2e605505d43453?track_id=kolSimilar_fdba72124421487888a91227e9650202&amp;source=Advertiser_Similar_Kol" r:id="rId682"/>
    <hyperlink xmlns:r="http://schemas.openxmlformats.org/officeDocument/2006/relationships" ref="H353" display="https://www.xiaohongshu.com/user/profile/5a87cf7edb2e605505d43453" r:id="rId683"/>
    <hyperlink xmlns:r="http://schemas.openxmlformats.org/officeDocument/2006/relationships" ref="G354" display="https://pgy.xiaohongshu.com/solar/pre-trade/blogger-detail/67265f57000000001d02efc4?track_id=kolSimilar_f5588e1a22ef44799bcd2465c02f2bf3&amp;source=Advertiser_Similar_Kol" r:id="rId684"/>
    <hyperlink xmlns:r="http://schemas.openxmlformats.org/officeDocument/2006/relationships" ref="H354" display="https://www.xiaohongshu.com/user/profile/67265f57000000001d02efc4" r:id="rId685"/>
    <hyperlink xmlns:r="http://schemas.openxmlformats.org/officeDocument/2006/relationships" ref="G356" display="https://pgy.xiaohongshu.com/solar/pre-trade/blogger-detail/689fadcb000000001903f016?track_id=kolMatch_fee0f9ba65af49f2ab77338c39bfe5e8&amp;source=Advertiser_Kol" r:id="rId686"/>
    <hyperlink xmlns:r="http://schemas.openxmlformats.org/officeDocument/2006/relationships" ref="H356" display="https://www.xiaohongshu.com/user/profile/689fadcb000000001903f016" r:id="rId687"/>
    <hyperlink xmlns:r="http://schemas.openxmlformats.org/officeDocument/2006/relationships" ref="G357" display="https://pgy.xiaohongshu.com/solar/pre-trade/blogger-detail/6256a6cc0000000021021397?track_id=kolSimilar_23d71bc4949744b191f5f44f19caf762&amp;source=Advertiser_Similar_Kol" r:id="rId688"/>
    <hyperlink xmlns:r="http://schemas.openxmlformats.org/officeDocument/2006/relationships" ref="H357" display="https://www.xiaohongshu.com/user/profile/6256a6cc0000000021021397" r:id="rId689"/>
    <hyperlink xmlns:r="http://schemas.openxmlformats.org/officeDocument/2006/relationships" ref="G358" display="https://pgy.xiaohongshu.com/solar/pre-trade/blogger-detail/6283aefb0000000021022cb9?track_id=kolSimilar_23d71bc4949744b191f5f44f19caf762&amp;source=Advertiser_Similar_Kol" r:id="rId690"/>
    <hyperlink xmlns:r="http://schemas.openxmlformats.org/officeDocument/2006/relationships" ref="H358" display="https://www.xiaohongshu.com/user/profile/6283aefb0000000021022cb9" r:id="rId691"/>
    <hyperlink xmlns:r="http://schemas.openxmlformats.org/officeDocument/2006/relationships" ref="G359" display="https://pgy.xiaohongshu.com/solar/pre-trade/blogger-detail/627215a900000000210217ae?track_id=kolSimilar_55ddd1eb81a84983a3402eee899760a8&amp;source=Advertiser_Similar_Kol" r:id="rId692"/>
    <hyperlink xmlns:r="http://schemas.openxmlformats.org/officeDocument/2006/relationships" ref="H359" display="https://www.xiaohongshu.com/user/profile/627215a900000000210217ae" r:id="rId693"/>
    <hyperlink xmlns:r="http://schemas.openxmlformats.org/officeDocument/2006/relationships" ref="G360" display="https://pgy.xiaohongshu.com/solar/pre-trade/blogger-detail/5a6c3b3b11be101f9d2c63e3?track_id=kolSimilar_40b9d6c04a2c46cc9dbee56ed345075f&amp;source=Advertiser_Similar_Kol" r:id="rId694"/>
    <hyperlink xmlns:r="http://schemas.openxmlformats.org/officeDocument/2006/relationships" ref="H360" display="https://www.xiaohongshu.com/user/profile/5a6c3b3b11be101f9d2c63e3" r:id="rId695"/>
    <hyperlink xmlns:r="http://schemas.openxmlformats.org/officeDocument/2006/relationships" ref="G361" display="https://pgy.xiaohongshu.com/solar/pre-trade/blogger-detail/59b5082550c4b436f9a36817?track_id=kolSimilar_40b9d6c04a2c46cc9dbee56ed345075f&amp;source=Advertiser_Similar_Kol" r:id="rId696"/>
    <hyperlink xmlns:r="http://schemas.openxmlformats.org/officeDocument/2006/relationships" ref="H361" display="https://www.xiaohongshu.com/user/profile/59b5082550c4b436f9a36817" r:id="rId697"/>
    <hyperlink xmlns:r="http://schemas.openxmlformats.org/officeDocument/2006/relationships" ref="G362" display="https://pgy.xiaohongshu.com/solar/pre-trade/blogger-detail/66fe946c000000001d02309a?track_id=kolSimilar_9e026bd5b5ab456bb8c7d56724b954fa&amp;source=Advertiser_Similar_Kol" r:id="rId698"/>
    <hyperlink xmlns:r="http://schemas.openxmlformats.org/officeDocument/2006/relationships" ref="H362" display="https://www.xiaohongshu.com/user/profile/66fe946c000000001d02309a" r:id="rId699"/>
    <hyperlink xmlns:r="http://schemas.openxmlformats.org/officeDocument/2006/relationships" ref="G363" display="https://pgy.xiaohongshu.com/solar/pre-trade/blogger-detail/60c5807e000000000101d659?track_id=kolSimilar_9e026bd5b5ab456bb8c7d56724b954fa&amp;source=Advertiser_Similar_Kol" r:id="rId700"/>
    <hyperlink xmlns:r="http://schemas.openxmlformats.org/officeDocument/2006/relationships" ref="H363" display="https://www.xiaohongshu.com/user/profile/60c5807e000000000101d659" r:id="rId701"/>
    <hyperlink xmlns:r="http://schemas.openxmlformats.org/officeDocument/2006/relationships" ref="G364" display="https://pgy.xiaohongshu.com/solar/pre-trade/blogger-detail/66062df9000000000600e71d?track_id=kolSimilar_01e1b077c704490584e82ccbdd4d8fb5&amp;source=Advertiser_Similar_Kol" r:id="rId702"/>
    <hyperlink xmlns:r="http://schemas.openxmlformats.org/officeDocument/2006/relationships" ref="H364" display="https://www.xiaohongshu.com/user/profile/66062df9000000000600e71d" r:id="rId703"/>
    <hyperlink xmlns:r="http://schemas.openxmlformats.org/officeDocument/2006/relationships" ref="G365" display="https://pgy.xiaohongshu.com/solar/pre-trade/blogger-detail/607272950000000001001bdc?track_id=kolSimilar_d2cab73ff93f436a8e6d71a44fbda001&amp;source=Advertiser_Similar_Kol" r:id="rId704"/>
    <hyperlink xmlns:r="http://schemas.openxmlformats.org/officeDocument/2006/relationships" ref="H365" display="https://www.xiaohongshu.com/user/profile/607272950000000001001bdc" r:id="rId705"/>
    <hyperlink xmlns:r="http://schemas.openxmlformats.org/officeDocument/2006/relationships" ref="G366" display="https://pgy.xiaohongshu.com/solar/pre-trade/blogger-detail/65990ad30000000022004589?track_id=kolSimilar_d2cab73ff93f436a8e6d71a44fbda001&amp;source=Advertiser_Similar_Kol" r:id="rId706"/>
    <hyperlink xmlns:r="http://schemas.openxmlformats.org/officeDocument/2006/relationships" ref="H366" display="https://www.xiaohongshu.com/user/profile/65990ad30000000022004589" r:id="rId707"/>
    <hyperlink xmlns:r="http://schemas.openxmlformats.org/officeDocument/2006/relationships" ref="G367" display="https://pgy.xiaohongshu.com/solar/pre-trade/blogger-detail/66f50997000000000d025366?track_id=kolSimilar_d2cab73ff93f436a8e6d71a44fbda001&amp;source=Advertiser_Similar_Kol" r:id="rId708"/>
    <hyperlink xmlns:r="http://schemas.openxmlformats.org/officeDocument/2006/relationships" ref="H367" display="https://www.xiaohongshu.com/user/profile/66f50997000000000d025366" r:id="rId709"/>
    <hyperlink xmlns:r="http://schemas.openxmlformats.org/officeDocument/2006/relationships" ref="G368" display="https://pgy.xiaohongshu.com/solar/pre-trade/blogger-detail/61605db50000000002019b17?track_id=kolSimilar_d2cab73ff93f436a8e6d71a44fbda001&amp;source=Advertiser_Similar_Kol" r:id="rId710"/>
    <hyperlink xmlns:r="http://schemas.openxmlformats.org/officeDocument/2006/relationships" ref="H368" display="https://www.xiaohongshu.com/user/profile/61605db50000000002019b17" r:id="rId711"/>
    <hyperlink xmlns:r="http://schemas.openxmlformats.org/officeDocument/2006/relationships" ref="G369" display="https://pgy.xiaohongshu.com/solar/pre-trade/blogger-detail/66e58184000000000b0334d7?track_id=kolSimilar_cc149ca614d744adb740f05eb2e68fd8&amp;source=Advertiser_Similar_Kol" r:id="rId712"/>
    <hyperlink xmlns:r="http://schemas.openxmlformats.org/officeDocument/2006/relationships" ref="H369" display="https://www.xiaohongshu.com/user/profile/66e58184000000000b0334d7" r:id="rId713"/>
    <hyperlink xmlns:r="http://schemas.openxmlformats.org/officeDocument/2006/relationships" ref="G370" display="https://pgy.xiaohongshu.com/solar/pre-trade/blogger-detail/5924fbe76a6a6969c8a9c0bc?track_id=kolSimilar_47dab58e8b6549a5ab766cacb6a37c56&amp;source=Advertiser_Similar_Kol" r:id="rId714"/>
    <hyperlink xmlns:r="http://schemas.openxmlformats.org/officeDocument/2006/relationships" ref="H370" display="https://www.xiaohongshu.com/user/profile/5924fbe76a6a6969c8a9c0bc" r:id="rId715"/>
    <hyperlink xmlns:r="http://schemas.openxmlformats.org/officeDocument/2006/relationships" ref="G371" display="https://pgy.xiaohongshu.com/solar/pre-trade/blogger-detail/671a3a5b000000001d03067d?track_id=kolSimilar_47dab58e8b6549a5ab766cacb6a37c56&amp;source=Advertiser_Similar_Kol" r:id="rId716"/>
    <hyperlink xmlns:r="http://schemas.openxmlformats.org/officeDocument/2006/relationships" ref="H371" display="https://www.xiaohongshu.com/user/profile/671a3a5b000000001d03067d" r:id="rId717"/>
    <hyperlink xmlns:r="http://schemas.openxmlformats.org/officeDocument/2006/relationships" ref="G372" display="https://pgy.xiaohongshu.com/solar/pre-trade/blogger-detail/632020d4000000002303f68b?track_id=kolSimilar_903a2dfffbd34961b164c6b8999c1972&amp;source=Advertiser_Similar_Kol" r:id="rId718"/>
    <hyperlink xmlns:r="http://schemas.openxmlformats.org/officeDocument/2006/relationships" ref="H372" display="https://www.xiaohongshu.com/user/profile/632020d4000000002303f68b" r:id="rId719"/>
    <hyperlink xmlns:r="http://schemas.openxmlformats.org/officeDocument/2006/relationships" ref="G373" display="https://pgy.xiaohongshu.com/solar/pre-trade/blogger-detail/6872400c000000001b01a12b?track_id=kolSimilar_903a2dfffbd34961b164c6b8999c1972&amp;source=Advertiser_Similar_Kol" r:id="rId720"/>
    <hyperlink xmlns:r="http://schemas.openxmlformats.org/officeDocument/2006/relationships" ref="H373" display="https://www.xiaohongshu.com/user/profile/6872400c000000001b01a12b" r:id="rId721"/>
    <hyperlink xmlns:r="http://schemas.openxmlformats.org/officeDocument/2006/relationships" ref="G374" display="https://pgy.xiaohongshu.com/solar/pre-trade/blogger-detail/60b7b8450000000001008ff1?track_id=kolSimilar_7d2240e5fea24041b114cf3ee28ac069&amp;source=Advertiser_Similar_Kol" r:id="rId722"/>
    <hyperlink xmlns:r="http://schemas.openxmlformats.org/officeDocument/2006/relationships" ref="H374" display="https://www.xiaohongshu.com/user/profile/60b7b8450000000001008ff1" r:id="rId723"/>
    <hyperlink xmlns:r="http://schemas.openxmlformats.org/officeDocument/2006/relationships" ref="G375" display="https://pgy.xiaohongshu.com/solar/pre-trade/blogger-detail/60d72512000000000101f0d5?track_id=kolSimilar_0888721fcad446c4baa42681da076613&amp;source=Advertiser_Similar_Kol" r:id="rId724"/>
    <hyperlink xmlns:r="http://schemas.openxmlformats.org/officeDocument/2006/relationships" ref="H375" display="https://www.xiaohongshu.com/user/profile/60d72512000000000101f0d5" r:id="rId725"/>
    <hyperlink xmlns:r="http://schemas.openxmlformats.org/officeDocument/2006/relationships" ref="G376" display="https://pgy.xiaohongshu.com/solar/pre-trade/blogger-detail/65288c82000000002b001baf?track_id=kolSimilar_63be4b37b89e466b9e7943614a78521d&amp;source=Advertiser_Similar_Kol" r:id="rId726"/>
    <hyperlink xmlns:r="http://schemas.openxmlformats.org/officeDocument/2006/relationships" ref="H376" display="https://www.xiaohongshu.com/user/profile/65288c82000000002b001baf" r:id="rId727"/>
    <hyperlink xmlns:r="http://schemas.openxmlformats.org/officeDocument/2006/relationships" ref="G377" display="https://pgy.xiaohongshu.com/solar/pre-trade/blogger-detail/65a915dd000000000803d203?track_id=kolSimilar_00b0c63d2d8b462fa698f57e6c1f211f&amp;source=Advertiser_Similar_Kol" r:id="rId728"/>
    <hyperlink xmlns:r="http://schemas.openxmlformats.org/officeDocument/2006/relationships" ref="H377" display="https://www.xiaohongshu.com/user/profile/65a915dd000000000803d203" r:id="rId729"/>
    <hyperlink xmlns:r="http://schemas.openxmlformats.org/officeDocument/2006/relationships" ref="G378" display="https://pgy.xiaohongshu.com/solar/pre-trade/blogger-detail/63b04429000000002702be94?track_id=kolSimilar_63be4b37b89e466b9e7943614a78521d&amp;source=Advertiser_Similar_Kol" r:id="rId730"/>
    <hyperlink xmlns:r="http://schemas.openxmlformats.org/officeDocument/2006/relationships" ref="H378" display="https://www.xiaohongshu.com/user/profile/63b04429000000002702be94" r:id="rId731"/>
    <hyperlink xmlns:r="http://schemas.openxmlformats.org/officeDocument/2006/relationships" ref="G379" display="https://pgy.xiaohongshu.com/solar/pre-trade/blogger-detail/6412a4190000000011021d47?track_id=kolSimilar_00b0c63d2d8b462fa698f57e6c1f211f&amp;source=Advertiser_Similar_Kol" r:id="rId732"/>
    <hyperlink xmlns:r="http://schemas.openxmlformats.org/officeDocument/2006/relationships" ref="H379" display="https://www.xiaohongshu.com/user/profile/6412a4190000000011021d47" r:id="rId733"/>
    <hyperlink xmlns:r="http://schemas.openxmlformats.org/officeDocument/2006/relationships" ref="G380" display="https://pgy.xiaohongshu.com/solar/pre-trade/blogger-detail/5a65d271e8ac2b777c317cb9?track_id=kolSimilar_63be4b37b89e466b9e7943614a78521d&amp;source=Advertiser_Similar_Kol" r:id="rId734"/>
    <hyperlink xmlns:r="http://schemas.openxmlformats.org/officeDocument/2006/relationships" ref="H380" display="https://www.xiaohongshu.com/user/profile/5a65d271e8ac2b777c317cb9" r:id="rId735"/>
    <hyperlink xmlns:r="http://schemas.openxmlformats.org/officeDocument/2006/relationships" ref="G381" display="https://pgy.xiaohongshu.com/solar/pre-trade/blogger-detail/67daa439000000000801480a?track_id=kolSimilar_7946a6419faf47d590df5cb7c5316858&amp;source=Advertiser_Similar_Kol" r:id="rId736"/>
    <hyperlink xmlns:r="http://schemas.openxmlformats.org/officeDocument/2006/relationships" ref="H381" display="https://www.xiaohongshu.com/user/profile/67daa439000000000801480a" r:id="rId737"/>
    <hyperlink xmlns:r="http://schemas.openxmlformats.org/officeDocument/2006/relationships" ref="G382" display="https://pgy.xiaohongshu.com/solar/pre-trade/blogger-detail/5483d137d6e4a95ed7e1b464?track_id=kolSimilar_0add94f521d246999bc430c8b6978b8b&amp;source=Advertiser_Similar_Kol" r:id="rId738"/>
    <hyperlink xmlns:r="http://schemas.openxmlformats.org/officeDocument/2006/relationships" ref="H382" display="https://www.xiaohongshu.com/user/profile/5483d137d6e4a95ed7e1b464" r:id="rId739"/>
    <hyperlink xmlns:r="http://schemas.openxmlformats.org/officeDocument/2006/relationships" ref="G383" display="https://pgy.xiaohongshu.com/solar/pre-trade/blogger-detail/68371487000000001d00b4b7?track_id=kolSimilar_cc3b27a3c03948e68c83d8ea40aa0f34&amp;source=Advertiser_Similar_Kol" r:id="rId740"/>
    <hyperlink xmlns:r="http://schemas.openxmlformats.org/officeDocument/2006/relationships" ref="H383" display="https://www.xiaohongshu.com/user/profile/68371487000000001d00b4b7" r:id="rId741"/>
    <hyperlink xmlns:r="http://schemas.openxmlformats.org/officeDocument/2006/relationships" ref="G384" display="https://pgy.xiaohongshu.com/solar/pre-trade/blogger-detail/573bb2d45e87e7074bea2b35?track_id=kolSimilar_e719015b1e1047888d8236f3695b4058&amp;source=Advertiser_Similar_Kol" r:id="rId742"/>
    <hyperlink xmlns:r="http://schemas.openxmlformats.org/officeDocument/2006/relationships" ref="H384" display="https://www.xiaohongshu.com/user/profile/573bb2d45e87e7074bea2b35" r:id="rId743"/>
    <hyperlink xmlns:r="http://schemas.openxmlformats.org/officeDocument/2006/relationships" ref="G385" display="https://pgy.xiaohongshu.com/solar/pre-trade/blogger-detail/635887bb000000001901eee9?track_id=kolSimilar_7d2240e5fea24041b114cf3ee28ac069&amp;source=Advertiser_Similar_Kol" r:id="rId744"/>
    <hyperlink xmlns:r="http://schemas.openxmlformats.org/officeDocument/2006/relationships" ref="H385" display="https://www.xiaohongshu.com/user/profile/635887bb000000001901eee9" r:id="rId745"/>
    <hyperlink xmlns:r="http://schemas.openxmlformats.org/officeDocument/2006/relationships" ref="G386" display="https://pgy.xiaohongshu.com/solar/pre-trade/blogger-detail/58e7723e6a6a697afa226317?track_id=kolSimilar_0fcc49c63c5d4d6786801684198c6b37&amp;source=Advertiser_Similar_Kol" r:id="rId746"/>
    <hyperlink xmlns:r="http://schemas.openxmlformats.org/officeDocument/2006/relationships" ref="H386" display="https://www.xiaohongshu.com/user/profile/58e7723e6a6a697afa226317" r:id="rId747"/>
    <hyperlink xmlns:r="http://schemas.openxmlformats.org/officeDocument/2006/relationships" ref="G387" display="https://pgy.xiaohongshu.com/solar/pre-trade/blogger-detail/5cdd419f00000000180280ec?track_id=kolSimilar_e719015b1e1047888d8236f3695b4058&amp;source=Advertiser_Similar_Kol" r:id="rId748"/>
    <hyperlink xmlns:r="http://schemas.openxmlformats.org/officeDocument/2006/relationships" ref="H387" display="https://www.xiaohongshu.com/user/profile/5cdd419f00000000180280ec" r:id="rId749"/>
    <hyperlink xmlns:r="http://schemas.openxmlformats.org/officeDocument/2006/relationships" ref="G388" display="https://pgy.xiaohongshu.com/solar/pre-trade/blogger-detail/6406999300000000290115a8?track_id=kolSimilar_7946a6419faf47d590df5cb7c5316858&amp;source=Advertiser_Similar_Kol" r:id="rId750"/>
    <hyperlink xmlns:r="http://schemas.openxmlformats.org/officeDocument/2006/relationships" ref="H388" display="https://www.xiaohongshu.com/user/profile/6406999300000000290115a8" r:id="rId751"/>
    <hyperlink xmlns:r="http://schemas.openxmlformats.org/officeDocument/2006/relationships" ref="G389" display="https://pgy.xiaohongshu.com/solar/pre-trade/blogger-detail/59102a385e87e756920abafb?track_id=kolSimilar_c9e5ef974ff6459a92f4f31e3e6e4437&amp;source=Advertiser_Similar_Kol" r:id="rId752"/>
    <hyperlink xmlns:r="http://schemas.openxmlformats.org/officeDocument/2006/relationships" ref="H389" display="https://www.xiaohongshu.com/user/profile/59102a385e87e756920abafb" r:id="rId753"/>
    <hyperlink xmlns:r="http://schemas.openxmlformats.org/officeDocument/2006/relationships" ref="G390" display="https://pgy.xiaohongshu.com/solar/pre-trade/blogger-detail/600bb34500000000010032f4?track_id=kolSimilar_d63955a422f64f3ea24bc61e5d613366&amp;source=Advertiser_Similar_Kol" r:id="rId754"/>
    <hyperlink xmlns:r="http://schemas.openxmlformats.org/officeDocument/2006/relationships" ref="H390" display="https://www.xiaohongshu.com/user/profile/600bb34500000000010032f4" r:id="rId755"/>
    <hyperlink xmlns:r="http://schemas.openxmlformats.org/officeDocument/2006/relationships" ref="G391" display="https://pgy.xiaohongshu.com/solar/pre-trade/blogger-detail/5aa767374eacab62a3dd8800?track_id=kolSimilar_d63955a422f64f3ea24bc61e5d613366&amp;source=Advertiser_Similar_Kol" r:id="rId756"/>
    <hyperlink xmlns:r="http://schemas.openxmlformats.org/officeDocument/2006/relationships" ref="H391" display="https://www.xiaohongshu.com/user/profile/5aa767374eacab62a3dd8800" r:id="rId757"/>
    <hyperlink xmlns:r="http://schemas.openxmlformats.org/officeDocument/2006/relationships" ref="G392" display="https://pgy.xiaohongshu.com/solar/pre-trade/blogger-detail/66ee6ab6000000001b038b43?track_id=kolSimilar_d63955a422f64f3ea24bc61e5d613366&amp;source=Advertiser_Similar_Kol" r:id="rId758"/>
    <hyperlink xmlns:r="http://schemas.openxmlformats.org/officeDocument/2006/relationships" ref="H392" display="https://www.xiaohongshu.com/user/profile/66ee6ab6000000001b038b43" r:id="rId759"/>
    <hyperlink xmlns:r="http://schemas.openxmlformats.org/officeDocument/2006/relationships" ref="G394" display="https://pgy.xiaohongshu.com/solar/pre-trade/blogger-detail/55fa39cd67bc6561c88d225d?track_id=kolSearch_18911159b0c746399e39eaf33004f79c&amp;source=Advertiser_Kol" r:id="rId760"/>
    <hyperlink xmlns:r="http://schemas.openxmlformats.org/officeDocument/2006/relationships" ref="H394" display="https://www.xiaohongshu.com/user/profile/55fa39cd67bc6561c88d225d" r:id="rId761"/>
    <hyperlink xmlns:r="http://schemas.openxmlformats.org/officeDocument/2006/relationships" ref="G395" display="https://pgy.xiaohongshu.com/solar/pre-trade/blogger-detail/59362c3eb1da141f2b7f500a?track_id=kolSimilar_437256d2c60c4bfba8f5eaa9e82dc64c&amp;source=Advertiser_Similar_Kol" r:id="rId762"/>
    <hyperlink xmlns:r="http://schemas.openxmlformats.org/officeDocument/2006/relationships" ref="H395" display="https://www.xiaohongshu.com/user/profile/59362c3eb1da141f2b7f500a" r:id="rId763"/>
    <hyperlink xmlns:r="http://schemas.openxmlformats.org/officeDocument/2006/relationships" ref="G396" display="https://pgy.xiaohongshu.com/solar/pre-trade/blogger-detail/5e533bda0000000001005572?track_id=kolSimilar_437256d2c60c4bfba8f5eaa9e82dc64c&amp;source=Advertiser_Similar_Kol" r:id="rId764"/>
    <hyperlink xmlns:r="http://schemas.openxmlformats.org/officeDocument/2006/relationships" ref="H396" display="https://www.xiaohongshu.com/user/profile/5e533bda0000000001005572" r:id="rId765"/>
    <hyperlink xmlns:r="http://schemas.openxmlformats.org/officeDocument/2006/relationships" ref="G397" display="https://pgy.xiaohongshu.com/solar/pre-trade/blogger-detail/602a8b180000000001002eac?track_id=kolSimilar_437256d2c60c4bfba8f5eaa9e82dc64c&amp;source=Advertiser_Similar_Kol" r:id="rId766"/>
    <hyperlink xmlns:r="http://schemas.openxmlformats.org/officeDocument/2006/relationships" ref="H397" display="https://www.xiaohongshu.com/user/profile/602a8b180000000001002eac" r:id="rId767"/>
    <hyperlink xmlns:r="http://schemas.openxmlformats.org/officeDocument/2006/relationships" ref="G398" display="https://pgy.xiaohongshu.com/solar/pre-trade/blogger-detail/56f8a1f41c07df1a01df0389?track_id=kolSimilar_437256d2c60c4bfba8f5eaa9e82dc64c&amp;source=Advertiser_Similar_Kol" r:id="rId768"/>
    <hyperlink xmlns:r="http://schemas.openxmlformats.org/officeDocument/2006/relationships" ref="H398" display="https://www.xiaohongshu.com/user/profile/56f8a1f41c07df1a01df0389" r:id="rId769"/>
    <hyperlink xmlns:r="http://schemas.openxmlformats.org/officeDocument/2006/relationships" ref="G399" display="https://pgy.xiaohongshu.com/solar/pre-trade/blogger-detail/59c7633e51783a665429dfaa?track_id=kolSimilar_437256d2c60c4bfba8f5eaa9e82dc64c&amp;source=Advertiser_Similar_Kol" r:id="rId770"/>
    <hyperlink xmlns:r="http://schemas.openxmlformats.org/officeDocument/2006/relationships" ref="H399" display="https://www.xiaohongshu.com/user/profile/59c7633e51783a665429dfaa" r:id="rId771"/>
    <hyperlink xmlns:r="http://schemas.openxmlformats.org/officeDocument/2006/relationships" ref="G400" display="https://pgy.xiaohongshu.com/solar/pre-trade/blogger-detail/561ddba73f0f3c54015447ad?track_id=kolSimilar_437256d2c60c4bfba8f5eaa9e82dc64c&amp;source=Advertiser_Similar_Kol" r:id="rId772"/>
    <hyperlink xmlns:r="http://schemas.openxmlformats.org/officeDocument/2006/relationships" ref="H400" display="https://www.xiaohongshu.com/user/profile/561ddba73f0f3c54015447ad" r:id="rId773"/>
    <hyperlink xmlns:r="http://schemas.openxmlformats.org/officeDocument/2006/relationships" ref="G401" display="https://pgy.xiaohongshu.com/solar/pre-trade/blogger-detail/5e54f2c9000000000100566b?track_id=kolSimilar_437256d2c60c4bfba8f5eaa9e82dc64c&amp;source=Advertiser_Similar_Kol" r:id="rId774"/>
    <hyperlink xmlns:r="http://schemas.openxmlformats.org/officeDocument/2006/relationships" ref="H401" display="https://www.xiaohongshu.com/user/profile/5e54f2c9000000000100566b" r:id="rId775"/>
    <hyperlink xmlns:r="http://schemas.openxmlformats.org/officeDocument/2006/relationships" ref="G402" display="https://pgy.xiaohongshu.com/solar/pre-trade/blogger-detail/67c318df000000000a03e88a?track_id=kolSimilar_437256d2c60c4bfba8f5eaa9e82dc64c&amp;source=Advertiser_Similar_Kol" r:id="rId776"/>
    <hyperlink xmlns:r="http://schemas.openxmlformats.org/officeDocument/2006/relationships" ref="H402" display="https://www.xiaohongshu.com/user/profile/67c318df000000000a03e88a" r:id="rId777"/>
    <hyperlink xmlns:r="http://schemas.openxmlformats.org/officeDocument/2006/relationships" ref="G403" display="https://pgy.xiaohongshu.com/solar/pre-trade/blogger-detail/668e43f7000000000d024d59?track_id=kolSimilar_60877fa9c5ca4e89b2b162450d47e050&amp;source=Advertiser_Similar_Kol" r:id="rId778"/>
    <hyperlink xmlns:r="http://schemas.openxmlformats.org/officeDocument/2006/relationships" ref="H403" display="https://www.xiaohongshu.com/user/profile/668e43f7000000000d024d59" r:id="rId779"/>
    <hyperlink xmlns:r="http://schemas.openxmlformats.org/officeDocument/2006/relationships" ref="G404" display="https://pgy.xiaohongshu.com/solar/pre-trade/blogger-detail/59e389b96b645522282aaa37?track_id=kolSimilar_60877fa9c5ca4e89b2b162450d47e050&amp;source=Advertiser_Similar_Kol" r:id="rId780"/>
    <hyperlink xmlns:r="http://schemas.openxmlformats.org/officeDocument/2006/relationships" ref="H404" display="https://www.xiaohongshu.com/user/profile/59e389b96b645522282aaa37" r:id="rId781"/>
    <hyperlink xmlns:r="http://schemas.openxmlformats.org/officeDocument/2006/relationships" ref="G405" display="https://pgy.xiaohongshu.com/solar/pre-trade/blogger-detail/66f413f0000000001d022644?track_id=kolSimilar_77d0c7ed463146fcbe2cd2fb972d6000&amp;source=Advertiser_Similar_Kol" r:id="rId782"/>
    <hyperlink xmlns:r="http://schemas.openxmlformats.org/officeDocument/2006/relationships" ref="H405" display="https://www.xiaohongshu.com/user/profile/66f413f0000000001d022644" r:id="rId783"/>
    <hyperlink xmlns:r="http://schemas.openxmlformats.org/officeDocument/2006/relationships" ref="G406" display="https://pgy.xiaohongshu.com/solar/pre-trade/blogger-detail/63f862ad000000000f011cb9?track_id=kolSimilar_77d0c7ed463146fcbe2cd2fb972d6000&amp;source=Advertiser_Similar_Kol" r:id="rId784"/>
    <hyperlink xmlns:r="http://schemas.openxmlformats.org/officeDocument/2006/relationships" ref="H406" display="https://www.xiaohongshu.com/user/profile/63f862ad000000000f011cb9" r:id="rId785"/>
    <hyperlink xmlns:r="http://schemas.openxmlformats.org/officeDocument/2006/relationships" ref="G407" display="https://pgy.xiaohongshu.com/solar/pre-trade/blogger-detail/5c8a07060000000016000146?track_id=kolSimilar_77d0c7ed463146fcbe2cd2fb972d6000&amp;source=Advertiser_Similar_Kol" r:id="rId786"/>
    <hyperlink xmlns:r="http://schemas.openxmlformats.org/officeDocument/2006/relationships" ref="H407" display="https://www.xiaohongshu.com/user/profile/5c8a07060000000016000146" r:id="rId787"/>
    <hyperlink xmlns:r="http://schemas.openxmlformats.org/officeDocument/2006/relationships" ref="G408" display="https://pgy.xiaohongshu.com/solar/pre-trade/blogger-detail/5b220a236b58b710f77c1e07?track_id=kolSimilar_77d0c7ed463146fcbe2cd2fb972d6000&amp;source=Advertiser_Similar_Kol" r:id="rId788"/>
    <hyperlink xmlns:r="http://schemas.openxmlformats.org/officeDocument/2006/relationships" ref="H408" display="https://www.xiaohongshu.com/user/profile/5b220a236b58b710f77c1e07" r:id="rId789"/>
    <hyperlink xmlns:r="http://schemas.openxmlformats.org/officeDocument/2006/relationships" ref="G409" display="https://pgy.xiaohongshu.com/solar/pre-trade/blogger-detail/5abc4aa811be10672e30cbde?track_id=kolSimilar_77d0c7ed463146fcbe2cd2fb972d6000&amp;source=Advertiser_Similar_Kol" r:id="rId790"/>
    <hyperlink xmlns:r="http://schemas.openxmlformats.org/officeDocument/2006/relationships" ref="H409" display="https://www.xiaohongshu.com/user/profile/5abc4aa811be10672e30cbde" r:id="rId791"/>
    <hyperlink xmlns:r="http://schemas.openxmlformats.org/officeDocument/2006/relationships" ref="G410" display="https://pgy.xiaohongshu.com/solar/pre-trade/blogger-detail/6006865c000000000100a999?track_id=kolSimilar_77d0c7ed463146fcbe2cd2fb972d6000&amp;source=Advertiser_Similar_Kol" r:id="rId792"/>
    <hyperlink xmlns:r="http://schemas.openxmlformats.org/officeDocument/2006/relationships" ref="H410" display="https://www.xiaohongshu.com/user/profile/6006865c000000000100a999" r:id="rId793"/>
    <hyperlink xmlns:r="http://schemas.openxmlformats.org/officeDocument/2006/relationships" ref="G411" display="https://pgy.xiaohongshu.com/solar/pre-trade/blogger-detail/5c25af600000000006027254?track_id=kolSimilar_77d0c7ed463146fcbe2cd2fb972d6000&amp;source=Advertiser_Similar_Kol" r:id="rId794"/>
    <hyperlink xmlns:r="http://schemas.openxmlformats.org/officeDocument/2006/relationships" ref="H411" display="https://www.xiaohongshu.com/user/profile/5c25af600000000006027254" r:id="rId795"/>
    <hyperlink xmlns:r="http://schemas.openxmlformats.org/officeDocument/2006/relationships" ref="G412" display="https://pgy.xiaohongshu.com/solar/pre-trade/blogger-detail/5cf7affb000000000603419f?track_id=kolSimilar_77d0c7ed463146fcbe2cd2fb972d6000&amp;source=Advertiser_Similar_Kol" r:id="rId796"/>
    <hyperlink xmlns:r="http://schemas.openxmlformats.org/officeDocument/2006/relationships" ref="H412" display="https://www.xiaohongshu.com/user/profile/5cf7affb000000000603419f" r:id="rId797"/>
    <hyperlink xmlns:r="http://schemas.openxmlformats.org/officeDocument/2006/relationships" ref="G413" display="https://pgy.xiaohongshu.com/solar/pre-trade/blogger-detail/6882e5c6000000001e03cd80?track_id=kolSimilar_77d0c7ed463146fcbe2cd2fb972d6000&amp;source=Advertiser_Similar_Kol" r:id="rId798"/>
    <hyperlink xmlns:r="http://schemas.openxmlformats.org/officeDocument/2006/relationships" ref="H413" display="https://www.xiaohongshu.com/user/profile/6882e5c6000000001e03cd80" r:id="rId799"/>
    <hyperlink xmlns:r="http://schemas.openxmlformats.org/officeDocument/2006/relationships" ref="G414" display="https://pgy.xiaohongshu.com/solar/pre-trade/blogger-detail/5fd3778e0000000001004dfe?track_id=kolSimilar_77d0c7ed463146fcbe2cd2fb972d6000&amp;source=Advertiser_Similar_Kol" r:id="rId800"/>
    <hyperlink xmlns:r="http://schemas.openxmlformats.org/officeDocument/2006/relationships" ref="H414" display="https://www.xiaohongshu.com/user/profile/5fd3778e0000000001004dfe" r:id="rId801"/>
    <hyperlink xmlns:r="http://schemas.openxmlformats.org/officeDocument/2006/relationships" ref="G416" display="https://pgy.xiaohongshu.com/solar/pre-trade/blogger-detail/5d77430a000000000101b81f?track_id=kolSimilar_032e389fecaa425a8d32e120dc50999b&amp;source=Advertiser_Kol" r:id="rId802"/>
    <hyperlink xmlns:r="http://schemas.openxmlformats.org/officeDocument/2006/relationships" ref="H416" display="https://www.xiaohongshu.com/user/profile/5d77430a000000000101b81f" r:id="rId803"/>
    <hyperlink xmlns:r="http://schemas.openxmlformats.org/officeDocument/2006/relationships" ref="G417" display="https://pgy.xiaohongshu.com/solar/pre-trade/blogger-detail/6432cb4700000000290118f6?track_id=kolSimilar_032e389fecaa425a8d32e120dc50999b&amp;source=Advertiser_Kol" r:id="rId804"/>
    <hyperlink xmlns:r="http://schemas.openxmlformats.org/officeDocument/2006/relationships" ref="H417" display="https://www.xiaohongshu.com/user/profile/6432cb4700000000290118f6" r:id="rId805"/>
    <hyperlink xmlns:r="http://schemas.openxmlformats.org/officeDocument/2006/relationships" ref="G418" display="https://pgy.xiaohongshu.com/solar/pre-trade/blogger-detail/5926f0f450c4b45ab48d214f?track_id=kolSimilar_032e389fecaa425a8d32e120dc50999b&amp;source=Advertiser_Kol" r:id="rId806"/>
    <hyperlink xmlns:r="http://schemas.openxmlformats.org/officeDocument/2006/relationships" ref="H418" display="https://www.xiaohongshu.com/user/profile/5926f0f450c4b45ab48d214f" r:id="rId807"/>
    <hyperlink xmlns:r="http://schemas.openxmlformats.org/officeDocument/2006/relationships" ref="G419" display="https://pgy.xiaohongshu.com/solar/pre-trade/blogger-detail/6108c02b000000000100967a?track_id=kolSimilar_032e389fecaa425a8d32e120dc50999b&amp;source=Advertiser_Kol" r:id="rId808"/>
    <hyperlink xmlns:r="http://schemas.openxmlformats.org/officeDocument/2006/relationships" ref="H419" display="https://www.xiaohongshu.com/user/profile/6108c02b000000000100967a" r:id="rId809"/>
    <hyperlink xmlns:r="http://schemas.openxmlformats.org/officeDocument/2006/relationships" ref="G420" display="https://pgy.xiaohongshu.com/solar/pre-trade/blogger-detail/5ca93e000000000011017c64?track_id=kolSimilar_fb7e5cc258924fce8045cc4aadb8dc02&amp;source=Advertiser_Kol" r:id="rId810"/>
    <hyperlink xmlns:r="http://schemas.openxmlformats.org/officeDocument/2006/relationships" ref="H420" display="https://www.xiaohongshu.com/user/profile/5ca93e000000000011017c64" r:id="rId811"/>
    <hyperlink xmlns:r="http://schemas.openxmlformats.org/officeDocument/2006/relationships" ref="G421" display="https://pgy.xiaohongshu.com/solar/pre-trade/blogger-detail/582d061850c4b4270363405a?track_id=kolSimilar_fb7e5cc258924fce8045cc4aadb8dc02&amp;source=Advertiser_Kol" r:id="rId812"/>
    <hyperlink xmlns:r="http://schemas.openxmlformats.org/officeDocument/2006/relationships" ref="H421" display="https://www.xiaohongshu.com/user/profile/582d061850c4b4270363405a" r:id="rId813"/>
    <hyperlink xmlns:r="http://schemas.openxmlformats.org/officeDocument/2006/relationships" ref="G422" display="https://pgy.xiaohongshu.com/solar/pre-trade/blogger-detail/674d7b20000000001d02c11c?track_id=kolSimilar_fb7e5cc258924fce8045cc4aadb8dc02&amp;source=Advertiser_Kol" r:id="rId814"/>
    <hyperlink xmlns:r="http://schemas.openxmlformats.org/officeDocument/2006/relationships" ref="H422" display="https://www.xiaohongshu.com/user/profile/674d7b20000000001d02c11c" r:id="rId815"/>
    <hyperlink xmlns:r="http://schemas.openxmlformats.org/officeDocument/2006/relationships" ref="G423" display="https://pgy.xiaohongshu.com/solar/pre-trade/blogger-detail/662f160c000000000700702e?track_id=kolMatch_e6d78e722cd3414a9b0d3543dd51ed5e&amp;source=Advertiser_Kol" r:id="rId816"/>
    <hyperlink xmlns:r="http://schemas.openxmlformats.org/officeDocument/2006/relationships" ref="H423" display="https://www.xiaohongshu.com/user/profile/662f160c000000000700702e" r:id="rId817"/>
    <hyperlink xmlns:r="http://schemas.openxmlformats.org/officeDocument/2006/relationships" ref="G424" display="https://pgy.xiaohongshu.com/solar/pre-trade/blogger-detail/603db003000000000100b55e?track_id=kolMatch_e6d78e722cd3414a9b0d3543dd51ed5e&amp;source=Advertiser_Kol" r:id="rId818"/>
    <hyperlink xmlns:r="http://schemas.openxmlformats.org/officeDocument/2006/relationships" ref="H424" display="https://www.xiaohongshu.com/user/profile/603db003000000000100b55e" r:id="rId819"/>
    <hyperlink xmlns:r="http://schemas.openxmlformats.org/officeDocument/2006/relationships" ref="G425" display="https://pgy.xiaohongshu.com/solar/pre-trade/blogger-detail/66068688000000000600fd72?track_id=kolMatch_e6d78e722cd3414a9b0d3543dd51ed5e&amp;source=Advertiser_Kol" r:id="rId820"/>
    <hyperlink xmlns:r="http://schemas.openxmlformats.org/officeDocument/2006/relationships" ref="H425" display="https://www.xiaohongshu.com/user/profile/66068688000000000600fd72" r:id="rId821"/>
    <hyperlink xmlns:r="http://schemas.openxmlformats.org/officeDocument/2006/relationships" ref="G426" display="https://pgy.xiaohongshu.com/solar/pre-trade/blogger-detail/5d0a4d800000000016039582?track_id=kolMatch_e6d78e722cd3414a9b0d3543dd51ed5e&amp;source=Advertiser_Kol" r:id="rId822"/>
    <hyperlink xmlns:r="http://schemas.openxmlformats.org/officeDocument/2006/relationships" ref="H426" display="https://www.xiaohongshu.com/user/profile/5d0a4d800000000016039582" r:id="rId823"/>
    <hyperlink xmlns:r="http://schemas.openxmlformats.org/officeDocument/2006/relationships" ref="G427" display="https://pgy.xiaohongshu.com/solar/pre-trade/blogger-detail/5e1004680000000001005829?track_id=kolMatch_e6d78e722cd3414a9b0d3543dd51ed5e&amp;source=Advertiser_Kol" r:id="rId824"/>
    <hyperlink xmlns:r="http://schemas.openxmlformats.org/officeDocument/2006/relationships" ref="H427" display="https://www.xiaohongshu.com/user/profile/5e1004680000000001005829" r:id="rId825"/>
    <hyperlink xmlns:r="http://schemas.openxmlformats.org/officeDocument/2006/relationships" ref="G428" display="https://pgy.xiaohongshu.com/solar/pre-trade/blogger-detail/5db3f93c0000000001006765?track_id=kolMatch_e6d78e722cd3414a9b0d3543dd51ed5e&amp;source=Advertiser_Kol" r:id="rId826"/>
    <hyperlink xmlns:r="http://schemas.openxmlformats.org/officeDocument/2006/relationships" ref="H428" display="https://www.xiaohongshu.com/user/profile/5db3f93c0000000001006765" r:id="rId827"/>
    <hyperlink xmlns:r="http://schemas.openxmlformats.org/officeDocument/2006/relationships" ref="G430" display="https://pgy.xiaohongshu.com/solar/pre-trade/blogger-detail/650ea51500000000120078d8?track_id=kolSimilar_013b5b6b9f08455f857f489ec61dcdb8&amp;source=Advertiser_Kol" r:id="rId828"/>
    <hyperlink xmlns:r="http://schemas.openxmlformats.org/officeDocument/2006/relationships" ref="H430" display="https://www.xiaohongshu.com/user/profile/650ea51500000000120078d8" r:id="rId829"/>
    <hyperlink xmlns:r="http://schemas.openxmlformats.org/officeDocument/2006/relationships" ref="G431" display="https://pgy.xiaohongshu.com/solar/pre-trade/blogger-detail/66114bc5000000000b033b98?track_id=kolSimilar_e4f9fed00191488eb4c3db3b580a1ab9&amp;source=Advertiser_Kol" r:id="rId830"/>
    <hyperlink xmlns:r="http://schemas.openxmlformats.org/officeDocument/2006/relationships" ref="H431" display="https://www.xiaohongshu.com/user/profile/66114bc5000000000b033b98" r:id="rId831"/>
    <hyperlink xmlns:r="http://schemas.openxmlformats.org/officeDocument/2006/relationships" ref="G432" display="https://pgy.xiaohongshu.com/solar/pre-trade/blogger-detail/5432b9ced6e4a978331c1f2a?track_id=kolSimilar_e4f9fed00191488eb4c3db3b580a1ab9&amp;source=Advertiser_Kol" r:id="rId832"/>
    <hyperlink xmlns:r="http://schemas.openxmlformats.org/officeDocument/2006/relationships" ref="H432" display="https://www.xiaohongshu.com/user/profile/5432b9ced6e4a978331c1f2a" r:id="rId833"/>
    <hyperlink xmlns:r="http://schemas.openxmlformats.org/officeDocument/2006/relationships" ref="G433" display="https://pgy.xiaohongshu.com/solar/pre-trade/blogger-detail/67f1da8f000000000e011be7?track_id=kolSimilar_c1ec9582edbb4a8a8bb08a65eec8644a&amp;source=Advertiser_Kol" r:id="rId834"/>
    <hyperlink xmlns:r="http://schemas.openxmlformats.org/officeDocument/2006/relationships" ref="H433" display="https://www.xiaohongshu.com/user/profile/67f1da8f000000000e011be7" r:id="rId835"/>
    <hyperlink xmlns:r="http://schemas.openxmlformats.org/officeDocument/2006/relationships" ref="G434" display="https://pgy.xiaohongshu.com/solar/pre-trade/blogger-detail/62b1884c000000001b02845e?track_id=kolSimilar_7de27e9505c84d8da9f6bc3bd0f7052d&amp;source=Advertiser_Kol" r:id="rId836"/>
    <hyperlink xmlns:r="http://schemas.openxmlformats.org/officeDocument/2006/relationships" ref="H434" display="https://www.xiaohongshu.com/user/profile/62b1884c000000001b02845e" r:id="rId837"/>
    <hyperlink xmlns:r="http://schemas.openxmlformats.org/officeDocument/2006/relationships" ref="G435" display="https://pgy.xiaohongshu.com/solar/pre-trade/blogger-detail/6755b46d00000000010032eb?track_id=kolSimilar_7fdcd60241cc49c1a47554718ccfebeb&amp;source=Advertiser_Kol" r:id="rId838"/>
    <hyperlink xmlns:r="http://schemas.openxmlformats.org/officeDocument/2006/relationships" ref="H435" display="https://www.xiaohongshu.com/user/profile/6755b46d00000000010032eb" r:id="rId839"/>
    <hyperlink xmlns:r="http://schemas.openxmlformats.org/officeDocument/2006/relationships" ref="G436" display="https://pgy.xiaohongshu.com/solar/pre-trade/blogger-detail/66fa1f36000000001d033cb7?track_id=kolSimilar_7fdcd60241cc49c1a47554718ccfebeb&amp;source=Advertiser_Kol" r:id="rId840"/>
    <hyperlink xmlns:r="http://schemas.openxmlformats.org/officeDocument/2006/relationships" ref="H436" display="https://www.xiaohongshu.com/user/profile/66fa1f36000000001d033cb7" r:id="rId841"/>
    <hyperlink xmlns:r="http://schemas.openxmlformats.org/officeDocument/2006/relationships" ref="G437" display="https://pgy.xiaohongshu.com/solar/pre-trade/blogger-detail/5b1e46c94eacab13d1c8b97c?track_id=kolSimilar_1db6f42425f0414ca2d9cd4356be6036&amp;source=Advertiser_Kol" r:id="rId842"/>
    <hyperlink xmlns:r="http://schemas.openxmlformats.org/officeDocument/2006/relationships" ref="H437" display="https://www.xiaohongshu.com/user/profile/5b1e46c94eacab13d1c8b97c" r:id="rId843"/>
    <hyperlink xmlns:r="http://schemas.openxmlformats.org/officeDocument/2006/relationships" ref="G438" display="https://pgy.xiaohongshu.com/solar/pre-trade/blogger-detail/59c0a26751783a0278e8c59c?track_id=kolSimilar_34a6216e46894f14811db04c0cc239de&amp;source=Advertiser_Kol" r:id="rId844"/>
    <hyperlink xmlns:r="http://schemas.openxmlformats.org/officeDocument/2006/relationships" ref="H438" display="https://www.xiaohongshu.com/user/profile/59c0a26751783a0278e8c59c" r:id="rId845"/>
    <hyperlink xmlns:r="http://schemas.openxmlformats.org/officeDocument/2006/relationships" ref="G439" display="https://pgy.xiaohongshu.com/solar/pre-trade/blogger-detail/65337fca000000002a029291?track_id=kolSimilar_bbee699d9f614db89ed0fac7f4b60ed3&amp;source=Advertiser_Kol" r:id="rId846"/>
    <hyperlink xmlns:r="http://schemas.openxmlformats.org/officeDocument/2006/relationships" ref="H439" display="https://www.xiaohongshu.com/user/profile/65337fca000000002a029291" r:id="rId847"/>
    <hyperlink xmlns:r="http://schemas.openxmlformats.org/officeDocument/2006/relationships" ref="G440" display="https://pgy.xiaohongshu.com/solar/pre-trade/blogger-detail/680a38f5000000000e01242f?track_id=kolSimilar_6c3a91249c7c403395e6867fdcd975a7&amp;source=Advertiser_Kol" r:id="rId848"/>
    <hyperlink xmlns:r="http://schemas.openxmlformats.org/officeDocument/2006/relationships" ref="H440" display="https://www.xiaohongshu.com/user/profile/680a38f5000000000e01242f" r:id="rId849"/>
    <hyperlink xmlns:r="http://schemas.openxmlformats.org/officeDocument/2006/relationships" ref="G441" display="https://pgy.xiaohongshu.com/solar/pre-trade/blogger-detail/6379b31d000000001f01df33?track_id=kolSimilar_fbfeb5b558ec4f4ea68598399869bf26&amp;source=Advertiser_Kol" r:id="rId850"/>
    <hyperlink xmlns:r="http://schemas.openxmlformats.org/officeDocument/2006/relationships" ref="H441" display="https://www.xiaohongshu.com/user/profile/6379b31d000000001f01df33" r:id="rId851"/>
    <hyperlink xmlns:r="http://schemas.openxmlformats.org/officeDocument/2006/relationships" ref="G442" display="https://pgy.xiaohongshu.com/solar/pre-trade/blogger-detail/60a74513000000000101ee4c?track_id=kolSimilar_0757f9a7d1394d319300407b55016ae9&amp;source=Advertiser_Kol" r:id="rId852"/>
    <hyperlink xmlns:r="http://schemas.openxmlformats.org/officeDocument/2006/relationships" ref="H442" display="https://www.xiaohongshu.com/user/profile/60a74513000000000101ee4c" r:id="rId853"/>
    <hyperlink xmlns:r="http://schemas.openxmlformats.org/officeDocument/2006/relationships" ref="G443" display="https://pgy.xiaohongshu.com/solar/pre-trade/blogger-detail/680d726f000000000a03f4d1?track_id=kolMatch_d799ae91abf847af8603caa9fff592b0&amp;source=Advertiser_Kol" r:id="rId854"/>
    <hyperlink xmlns:r="http://schemas.openxmlformats.org/officeDocument/2006/relationships" ref="H443" display="https://www.xiaohongshu.com/user/profile/680d726f000000000a03f4d1" r:id="rId855"/>
    <hyperlink xmlns:r="http://schemas.openxmlformats.org/officeDocument/2006/relationships" ref="G444" display="https://pgy.xiaohongshu.com/solar/pre-trade/blogger-detail/66781e1d000000000b030323?track_id=kolSimilar_1eb8a6e33812485da7d688d5368bb0ed&amp;source=Advertiser_Kol" r:id="rId856"/>
    <hyperlink xmlns:r="http://schemas.openxmlformats.org/officeDocument/2006/relationships" ref="H444" display="https://www.xiaohongshu.com/user/profile/66781e1d000000000b030323" r:id="rId857"/>
    <hyperlink xmlns:r="http://schemas.openxmlformats.org/officeDocument/2006/relationships" ref="G445" display="https://pgy.xiaohongshu.com/solar/pre-trade/blogger-detail/686cb593000000001d0098c8?track_id=kolSimilar_1eb8a6e33812485da7d688d5368bb0ed&amp;source=Advertiser_Kol" r:id="rId858"/>
    <hyperlink xmlns:r="http://schemas.openxmlformats.org/officeDocument/2006/relationships" ref="H445" display="https://www.xiaohongshu.com/user/profile/686cb593000000001d0098c8" r:id="rId859"/>
    <hyperlink xmlns:r="http://schemas.openxmlformats.org/officeDocument/2006/relationships" ref="G446" display="https://pgy.xiaohongshu.com/solar/pre-trade/blogger-detail/6579cc4200000000190104fb?track_id=kolSimilar_f2b7c64459d740b4a9c92ad26077597e&amp;source=Advertiser_Kol" r:id="rId860"/>
    <hyperlink xmlns:r="http://schemas.openxmlformats.org/officeDocument/2006/relationships" ref="H446" display="https://www.xiaohongshu.com/user/profile/6579cc4200000000190104fb" r:id="rId861"/>
    <hyperlink xmlns:r="http://schemas.openxmlformats.org/officeDocument/2006/relationships" ref="G447" display="https://pgy.xiaohongshu.com/solar/pre-trade/blogger-detail/6704d0e4000000001e00dbdf?track_id=kolSimilar_f2b7c64459d740b4a9c92ad26077597e&amp;source=Advertiser_Kol" r:id="rId862"/>
    <hyperlink xmlns:r="http://schemas.openxmlformats.org/officeDocument/2006/relationships" ref="H447" display="https://www.xiaohongshu.com/user/profile/6704d0e4000000001e00dbdf" r:id="rId863"/>
    <hyperlink xmlns:r="http://schemas.openxmlformats.org/officeDocument/2006/relationships" ref="G448" display="https://pgy.xiaohongshu.com/solar/pre-trade/blogger-detail/6857c3d2000000001e00bb6b?track_id=kolSimilar_2bc09894548e4108b55c4233fa35c94e&amp;source=Advertiser_Kol" r:id="rId864"/>
    <hyperlink xmlns:r="http://schemas.openxmlformats.org/officeDocument/2006/relationships" ref="H448" display="https://www.xiaohongshu.com/user/profile/6857c3d2000000001e00bb6b" r:id="rId865"/>
    <hyperlink xmlns:r="http://schemas.openxmlformats.org/officeDocument/2006/relationships" ref="G449" display="https://pgy.xiaohongshu.com/solar/pre-trade/blogger-detail/5acac214e8ac2b505416be43?track_id=kolSimilar_2bc09894548e4108b55c4233fa35c94e&amp;source=Advertiser_Kol" r:id="rId866"/>
    <hyperlink xmlns:r="http://schemas.openxmlformats.org/officeDocument/2006/relationships" ref="H449" display="https://www.xiaohongshu.com/user/profile/5acac214e8ac2b505416be43" r:id="rId867"/>
    <hyperlink xmlns:r="http://schemas.openxmlformats.org/officeDocument/2006/relationships" ref="G450" display="https://pgy.xiaohongshu.com/solar/pre-trade/blogger-detail/643e530e000000000e01f780?track_id=kolSimilar_b46f6156e0ef40f78512d15c8bcc4a26&amp;source=Advertiser_Kol" r:id="rId868"/>
    <hyperlink xmlns:r="http://schemas.openxmlformats.org/officeDocument/2006/relationships" ref="H450" display="https://www.xiaohongshu.com/user/profile/643e530e000000000e01f780" r:id="rId869"/>
    <hyperlink xmlns:r="http://schemas.openxmlformats.org/officeDocument/2006/relationships" ref="G451" display="https://pgy.xiaohongshu.com/solar/pre-trade/blogger-detail/66b17f28000000001d0228c8?track_id=kolSimilar_b46f6156e0ef40f78512d15c8bcc4a26&amp;source=Advertiser_Kol" r:id="rId870"/>
    <hyperlink xmlns:r="http://schemas.openxmlformats.org/officeDocument/2006/relationships" ref="H451" display="https://www.xiaohongshu.com/user/profile/66b17f28000000001d0228c8" r:id="rId871"/>
    <hyperlink xmlns:r="http://schemas.openxmlformats.org/officeDocument/2006/relationships" ref="G452" display="https://pgy.xiaohongshu.com/solar/pre-trade/blogger-detail/65d464f0000000000401cb90?track_id=kolSimilar_b46f6156e0ef40f78512d15c8bcc4a26&amp;source=Advertiser_Kol" r:id="rId872"/>
    <hyperlink xmlns:r="http://schemas.openxmlformats.org/officeDocument/2006/relationships" ref="H452" display="https://www.xiaohongshu.com/user/profile/65d464f0000000000401cb90" r:id="rId873"/>
    <hyperlink xmlns:r="http://schemas.openxmlformats.org/officeDocument/2006/relationships" ref="G453" display="https://pgy.xiaohongshu.com/solar/pre-trade/blogger-detail/5e43f1f500000000010082f0?track_id=kolSimilar_609d8fd2380e422dbeaf63ebfb5e67e9&amp;source=Advertiser_Kol" r:id="rId874"/>
    <hyperlink xmlns:r="http://schemas.openxmlformats.org/officeDocument/2006/relationships" ref="H453" display="https://www.xiaohongshu.com/user/profile/5e43f1f500000000010082f0" r:id="rId875"/>
    <hyperlink xmlns:r="http://schemas.openxmlformats.org/officeDocument/2006/relationships" ref="G454" display="https://pgy.xiaohongshu.com/solar/pre-trade/blogger-detail/5cf3851d000000001701b655?track_id=kolSimilar_7ef226c14d4c45d2bf642e13fda08e87&amp;source=Advertiser_Kol" r:id="rId876"/>
    <hyperlink xmlns:r="http://schemas.openxmlformats.org/officeDocument/2006/relationships" ref="H454" display="https://www.xiaohongshu.com/user/profile/5cf3851d000000001701b655" r:id="rId877"/>
    <hyperlink xmlns:r="http://schemas.openxmlformats.org/officeDocument/2006/relationships" ref="G455" display="https://pgy.xiaohongshu.com/solar/pre-trade/blogger-detail/67bde509000000000601ce3b?track_id=kolSimilar_7ef226c14d4c45d2bf642e13fda08e87&amp;source=Advertiser_Kol" r:id="rId878"/>
    <hyperlink xmlns:r="http://schemas.openxmlformats.org/officeDocument/2006/relationships" ref="H455" display="https://www.xiaohongshu.com/user/profile/67bde509000000000601ce3b" r:id="rId879"/>
    <hyperlink xmlns:r="http://schemas.openxmlformats.org/officeDocument/2006/relationships" ref="G457" display="https://pgy.xiaohongshu.com/solar/pre-trade/blogger-detail/655c800a0000000002028ae1?track_id=kolSearch_e5114f43139e4c9b88ac15d6e14cd0b2&amp;source=Advertiser_Kol" r:id="rId880"/>
    <hyperlink xmlns:r="http://schemas.openxmlformats.org/officeDocument/2006/relationships" ref="H457" display="https://www.xiaohongshu.com/user/profile/655c800a0000000002028ae1" r:id="rId881"/>
    <hyperlink xmlns:r="http://schemas.openxmlformats.org/officeDocument/2006/relationships" ref="G458" display="https://pgy.xiaohongshu.com/solar/pre-trade/blogger-detail/5e500318000000000100baac?track_id=kolSearch_19d1f77fc703487c9b1cefe7dc5ff4dc&amp;source=Advertiser_Kol" r:id="rId882"/>
    <hyperlink xmlns:r="http://schemas.openxmlformats.org/officeDocument/2006/relationships" ref="H458" display="https://www.xiaohongshu.com/user/profile/5e500318000000000100baac" r:id="rId883"/>
    <hyperlink xmlns:r="http://schemas.openxmlformats.org/officeDocument/2006/relationships" ref="G459" display="https://pgy.xiaohongshu.com/solar/pre-trade/blogger-detail/66cec1e0000000001d0237cc?track_id=kolSearch_0be61ce7ad5a465693045c326dd0a215&amp;source=Advertiser_Kol" r:id="rId884"/>
    <hyperlink xmlns:r="http://schemas.openxmlformats.org/officeDocument/2006/relationships" ref="H459" display="https://www.xiaohongshu.com/user/profile/66cec1e0000000001d0237cc" r:id="rId885"/>
    <hyperlink xmlns:r="http://schemas.openxmlformats.org/officeDocument/2006/relationships" ref="G460" display="https://pgy.xiaohongshu.com/solar/pre-trade/blogger-detail/676555c20000000014032476?track_id=kolSearch_dd819fab0481445b99fa28fadfbaec95&amp;source=Advertiser_Kol" r:id="rId886"/>
    <hyperlink xmlns:r="http://schemas.openxmlformats.org/officeDocument/2006/relationships" ref="H460" display="https://www.xiaohongshu.com/user/profile/676555c20000000014032476" r:id="rId887"/>
    <hyperlink xmlns:r="http://schemas.openxmlformats.org/officeDocument/2006/relationships" ref="G461" display="https://pgy.xiaohongshu.com/solar/pre-trade/blogger-detail/6729e07a000000001c01b2ea?track_id=kolSearch_3d1dbedceaba4821aadb0eb9bc96a0a6&amp;source=Advertiser_Kol" r:id="rId888"/>
    <hyperlink xmlns:r="http://schemas.openxmlformats.org/officeDocument/2006/relationships" ref="H461" display="https://www.xiaohongshu.com/user/profile/6729e07a000000001c01b2ea" r:id="rId889"/>
    <hyperlink xmlns:r="http://schemas.openxmlformats.org/officeDocument/2006/relationships" ref="G462" display="https://pgy.xiaohongshu.com/solar/pre-trade/blogger-detail/67342146000000001c01a209?track_id=kolSearch_d773aaa8e5154e869bc06cec876091c5&amp;source=Advertiser_Kol" r:id="rId890"/>
    <hyperlink xmlns:r="http://schemas.openxmlformats.org/officeDocument/2006/relationships" ref="H462" display="https://www.xiaohongshu.com/user/profile/67342146000000001c01a209" r:id="rId891"/>
    <hyperlink xmlns:r="http://schemas.openxmlformats.org/officeDocument/2006/relationships" ref="G463" display="https://pgy.xiaohongshu.com/solar/pre-trade/blogger-detail/66f642cd000000001d022522?track_id=kolSearch_08a648d9ac84453f8acd8023a960dcdd&amp;source=Advertiser_Kol" r:id="rId892"/>
    <hyperlink xmlns:r="http://schemas.openxmlformats.org/officeDocument/2006/relationships" ref="H463" display="https://www.xiaohongshu.com/user/profile/66f642cd000000001d022522" r:id="rId893"/>
    <hyperlink xmlns:r="http://schemas.openxmlformats.org/officeDocument/2006/relationships" ref="G464" display="https://pgy.xiaohongshu.com/solar/pre-trade/blogger-detail/6373890a000000001f01c80e?track_id=kolMatch_beb46a50baae4dc79ef0cc38a11e9a63&amp;source=Advertiser_Kol" r:id="rId894"/>
    <hyperlink xmlns:r="http://schemas.openxmlformats.org/officeDocument/2006/relationships" ref="H464" display="https://www.xiaohongshu.com/user/profile/6373890a000000001f01c80e" r:id="rId895"/>
    <hyperlink xmlns:r="http://schemas.openxmlformats.org/officeDocument/2006/relationships" ref="G465" display="https://pgy.xiaohongshu.com/solar/pre-trade/blogger-detail/67ec8250000000000e02def8?track_id=kolMatch_beb46a50baae4dc79ef0cc38a11e9a63&amp;source=Advertiser_Kol" r:id="rId896"/>
    <hyperlink xmlns:r="http://schemas.openxmlformats.org/officeDocument/2006/relationships" ref="H465" display="https://www.xiaohongshu.com/user/profile/67ec8250000000000e02def8" r:id="rId897"/>
    <hyperlink xmlns:r="http://schemas.openxmlformats.org/officeDocument/2006/relationships" ref="G466" display="https://pgy.xiaohongshu.com/solar/pre-trade/blogger-detail/59125735a9b2ed7bb6260890?track_id=kolMatch_b62cf4138cc14665b9c8390189c1174c&amp;source=Advertiser_Kol" r:id="rId898"/>
    <hyperlink xmlns:r="http://schemas.openxmlformats.org/officeDocument/2006/relationships" ref="H466" display="https://www.xiaohongshu.com/user/profile/59125735a9b2ed7bb6260890" r:id="rId899"/>
    <hyperlink xmlns:r="http://schemas.openxmlformats.org/officeDocument/2006/relationships" ref="G467" display="https://pgy.xiaohongshu.com/solar/pre-trade/blogger-detail/67e279f0000000000d0080e6?track_id=kolMatch_b62cf4138cc14665b9c8390189c1174c&amp;source=Advertiser_Kol" r:id="rId900"/>
    <hyperlink xmlns:r="http://schemas.openxmlformats.org/officeDocument/2006/relationships" ref="H467" display="https://www.xiaohongshu.com/user/profile/67e279f0000000000d0080e6" r:id="rId901"/>
    <hyperlink xmlns:r="http://schemas.openxmlformats.org/officeDocument/2006/relationships" ref="G468" display="https://pgy.xiaohongshu.com/solar/pre-trade/blogger-detail/5858de6082ec3903a9fd7c99?track_id=kolMatch_b62cf4138cc14665b9c8390189c1174c&amp;source=Advertiser_Kol" r:id="rId902"/>
    <hyperlink xmlns:r="http://schemas.openxmlformats.org/officeDocument/2006/relationships" ref="H468" display="https://www.xiaohongshu.com/user/profile/5858de6082ec3903a9fd7c99" r:id="rId903"/>
    <hyperlink xmlns:r="http://schemas.openxmlformats.org/officeDocument/2006/relationships" ref="G469" display="https://pgy.xiaohongshu.com/solar/pre-trade/blogger-detail/657e7fe8000000001c01a5b8?track_id=kolMatch_b62cf4138cc14665b9c8390189c1174c&amp;source=Advertiser_Kol" r:id="rId904"/>
    <hyperlink xmlns:r="http://schemas.openxmlformats.org/officeDocument/2006/relationships" ref="H469" display="https://www.xiaohongshu.com/user/profile/657e7fe8000000001c01a5b8" r:id="rId905"/>
    <hyperlink xmlns:r="http://schemas.openxmlformats.org/officeDocument/2006/relationships" ref="G470" display="https://pgy.xiaohongshu.com/solar/pre-trade/blogger-detail/5f05e0f8000000000101de53?track_id=kolMatch_a28209deaec7483786b4ca78ca2cb24d&amp;source=Advertiser_Kol" r:id="rId906"/>
    <hyperlink xmlns:r="http://schemas.openxmlformats.org/officeDocument/2006/relationships" ref="H470" display="https://www.xiaohongshu.com/user/profile/5f05e0f8000000000101de53" r:id="rId907"/>
    <hyperlink xmlns:r="http://schemas.openxmlformats.org/officeDocument/2006/relationships" ref="G471" display="https://pgy.xiaohongshu.com/solar/pre-trade/blogger-detail/676e5a8a000000001900a6fe?track_id=kolMatch_a7c394937a0143cbb7503ee992f0743d&amp;source=Advertiser_Kol" r:id="rId908"/>
    <hyperlink xmlns:r="http://schemas.openxmlformats.org/officeDocument/2006/relationships" ref="H471" display="https://www.xiaohongshu.com/user/profile/676e5a8a000000001900a6fe" r:id="rId909"/>
    <hyperlink xmlns:r="http://schemas.openxmlformats.org/officeDocument/2006/relationships" ref="G472" display="https://pgy.xiaohongshu.com/solar/pre-trade/blogger-detail/6579acba0000000020033819?track_id=kolMatch_a7c394937a0143cbb7503ee992f0743d&amp;source=Advertiser_Kol" r:id="rId910"/>
    <hyperlink xmlns:r="http://schemas.openxmlformats.org/officeDocument/2006/relationships" ref="H472" display="https://www.xiaohongshu.com/user/profile/6579acba0000000020033819" r:id="rId911"/>
    <hyperlink xmlns:r="http://schemas.openxmlformats.org/officeDocument/2006/relationships" ref="G473" display="https://pgy.xiaohongshu.com/solar/pre-trade/blogger-detail/5a0d40104eacab4b37daf5a0?track_id=kolMatch_8e178e7df9b84efab9982af353add6db&amp;source=Advertiser_Kol" r:id="rId912"/>
    <hyperlink xmlns:r="http://schemas.openxmlformats.org/officeDocument/2006/relationships" ref="G474" display="https://pgy.xiaohongshu.com/solar/pre-trade/blogger-detail/63c7f2030000000026013433?track_id=kolMatch_8e178e7df9b84efab9982af353add6db&amp;source=Advertiser_Kol" r:id="rId913"/>
    <hyperlink xmlns:r="http://schemas.openxmlformats.org/officeDocument/2006/relationships" ref="G475" display="https://pgy.xiaohongshu.com/solar/pre-trade/blogger-detail/614072aa00000000020257a5?track_id=kolMatch_1c352172a9954b30a6a14b3ccd4185be&amp;source=Advertiser_Kol" r:id="rId914"/>
    <hyperlink xmlns:r="http://schemas.openxmlformats.org/officeDocument/2006/relationships" ref="G476" display="https://pgy.xiaohongshu.com/solar/pre-trade/blogger-detail/605f0e7c000000000101c1b1?track_id=kolMatch_1c352172a9954b30a6a14b3ccd4185be&amp;source=Advertiser_Kol" r:id="rId915"/>
    <hyperlink xmlns:r="http://schemas.openxmlformats.org/officeDocument/2006/relationships" ref="G477" display="https://pgy.xiaohongshu.com/solar/pre-trade/blogger-detail/589009ea5e87e705c57132f5?track_id=kolMatch_6cbc2efd76184abc96f45adfd99170f0&amp;source=Advertiser_Kol" r:id="rId916"/>
    <hyperlink xmlns:r="http://schemas.openxmlformats.org/officeDocument/2006/relationships" ref="G478" display="https://pgy.xiaohongshu.com/solar/pre-trade/blogger-detail/655529a200000000080018d4?track_id=kolMatch_6cbc2efd76184abc96f45adfd99170f0&amp;source=Advertiser_Kol" r:id="rId917"/>
    <hyperlink xmlns:r="http://schemas.openxmlformats.org/officeDocument/2006/relationships" ref="G479" display="https://pgy.xiaohongshu.com/solar/pre-trade/blogger-detail/60c348b700000000010007a3?track_id=kolMatch_6cbc2efd76184abc96f45adfd99170f0&amp;source=Advertiser_Kol" r:id="rId9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R663"/>
  <sheetViews>
    <sheetView showGridLines="0" workbookViewId="0">
      <pane xSplit="6" ySplit="1" topLeftCell="G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4" defaultRowHeight="12.75"/>
  <cols>
    <col width="14" customWidth="1" style="151" min="1" max="1"/>
    <col width="10" customWidth="1" style="151" min="2" max="2"/>
    <col width="11" customWidth="1" style="151" min="3" max="3"/>
    <col width="10" customWidth="1" style="151" min="4" max="4"/>
    <col width="30" customWidth="1" style="151" min="5" max="6"/>
    <col width="22" customWidth="1" style="151" min="7" max="7"/>
    <col width="17" customWidth="1" style="151" min="11" max="11"/>
    <col width="19" customWidth="1" style="151" min="12" max="12"/>
    <col width="23" customWidth="1" style="151" min="13" max="13"/>
    <col width="32" customWidth="1" style="151" min="14" max="14"/>
    <col width="33" customWidth="1" style="151" min="15" max="16"/>
    <col width="14" customWidth="1" style="151" min="17" max="18"/>
    <col width="14" customWidth="1" style="151" min="24" max="25"/>
    <col width="14" customWidth="1" style="151" min="27" max="27"/>
  </cols>
  <sheetData>
    <row r="1" ht="24.75" customHeight="1" s="151">
      <c r="A1" s="25" t="inlineStr">
        <is>
          <t>提报日期</t>
        </is>
      </c>
      <c r="B1" s="25" t="inlineStr">
        <is>
          <t>客户反馈</t>
        </is>
      </c>
      <c r="C1" s="26" t="inlineStr">
        <is>
          <t>达人反馈</t>
        </is>
      </c>
      <c r="D1" s="27" t="inlineStr">
        <is>
          <t>品牌/电商</t>
        </is>
      </c>
      <c r="E1" s="28" t="inlineStr">
        <is>
          <t>推荐理由</t>
        </is>
      </c>
      <c r="F1" s="28" t="inlineStr">
        <is>
          <t>KOL名称</t>
        </is>
      </c>
      <c r="G1" s="27" t="inlineStr">
        <is>
          <t>星图链接</t>
        </is>
      </c>
      <c r="H1" s="27" t="inlineStr">
        <is>
          <t>主页链接</t>
        </is>
      </c>
      <c r="I1" s="28" t="inlineStr">
        <is>
          <t>ID</t>
        </is>
      </c>
      <c r="J1" s="27" t="inlineStr">
        <is>
          <t>KOL类型</t>
        </is>
      </c>
      <c r="K1" s="27" t="inlineStr">
        <is>
          <t>量级</t>
        </is>
      </c>
      <c r="L1" s="29" t="inlineStr">
        <is>
          <t>粉丝量（w）</t>
        </is>
      </c>
      <c r="M1" s="29" t="inlineStr">
        <is>
          <t>A3指数</t>
        </is>
      </c>
      <c r="N1" s="29" t="inlineStr">
        <is>
          <t>八大人群TOP3</t>
        </is>
      </c>
      <c r="O1" s="30" t="inlineStr">
        <is>
          <t>三大高收入群体占比加总
（资深中产+精致妈妈+新锐白领）</t>
        </is>
      </c>
      <c r="P1" s="30" t="inlineStr">
        <is>
          <t>播放量中位数</t>
        </is>
      </c>
      <c r="Q1" s="31" t="inlineStr">
        <is>
          <t>60s+报备价格
（含平台费5%）</t>
        </is>
      </c>
      <c r="R1" s="29" t="inlineStr">
        <is>
          <t>60S+ CPE</t>
        </is>
      </c>
      <c r="S1" s="27" t="inlineStr">
        <is>
          <t>合作形式</t>
        </is>
      </c>
      <c r="T1" s="27" t="inlineStr">
        <is>
          <t>女粉占比</t>
        </is>
      </c>
      <c r="U1" s="27" t="inlineStr">
        <is>
          <t>24-30年龄占比</t>
        </is>
      </c>
      <c r="V1" s="27" t="inlineStr">
        <is>
          <t>31-40年龄占比</t>
        </is>
      </c>
      <c r="W1" s="27" t="inlineStr">
        <is>
          <t>41-50年龄占比</t>
        </is>
      </c>
      <c r="X1" s="27" t="n"/>
      <c r="Y1" s="27" t="n"/>
      <c r="Z1" s="30" t="inlineStr">
        <is>
          <t>3月60S+视频
报价</t>
        </is>
      </c>
      <c r="AA1" s="30" t="inlineStr">
        <is>
          <t>60S+ CPM</t>
        </is>
      </c>
      <c r="AB1" s="30" t="inlineStr">
        <is>
          <t>平均点赞</t>
        </is>
      </c>
      <c r="AC1" s="30" t="inlineStr">
        <is>
          <t>平均评论</t>
        </is>
      </c>
      <c r="AD1" s="30" t="inlineStr">
        <is>
          <t>平均转发</t>
        </is>
      </c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</row>
    <row r="2" ht="37.15" customHeight="1" s="151">
      <c r="A2" s="18" t="n"/>
      <c r="B2" s="18" t="inlineStr">
        <is>
          <t>ok</t>
        </is>
      </c>
      <c r="C2" s="18" t="n"/>
      <c r="D2" s="18" t="inlineStr">
        <is>
          <t>品牌</t>
        </is>
      </c>
      <c r="E2" s="32" t="inlineStr">
        <is>
          <t>家居极简风+软装好物垂类，内容干净有质感，受众精准匹配品质家电用户，种草转化稳定。</t>
        </is>
      </c>
      <c r="F2" s="18" t="inlineStr">
        <is>
          <t>爱旅行的弟弟</t>
        </is>
      </c>
      <c r="G2" s="18" t="inlineStr">
        <is>
          <t>https://www.xingtu.cn/ad/creator/author-homepage/douyin-video/6865930306168291342?market_track_id=8PI13ORZW6DIKFVNCWUC&amp;search_session_id=7606288113703157810&amp;possessStarId&amp;active_tab=content_performance&amp;active_module=.content-video-list-panel&amp;content_key_word=%E7%94%B7%E7%94%9F%E7%8B%AC%E5%B1%85</t>
        </is>
      </c>
      <c r="H2" s="18" t="inlineStr">
        <is>
          <t>https://www.douyin.com/user/MS4wLjABAAAAbLJBPtEluthKgB5iEdHmsMZP39RVMHP2agqPtCdCXMA</t>
        </is>
      </c>
      <c r="I2" s="18" t="n">
        <v>345836633</v>
      </c>
      <c r="J2" s="18" t="inlineStr">
        <is>
          <t>生活/独居</t>
        </is>
      </c>
      <c r="K2" s="18" t="inlineStr">
        <is>
          <t>尾部</t>
        </is>
      </c>
      <c r="L2" s="18" t="n">
        <v>23.8</v>
      </c>
      <c r="M2" s="18" t="n"/>
      <c r="N2" s="18" t="n"/>
      <c r="O2" s="155" t="n"/>
      <c r="P2" s="155" t="n">
        <v>513000</v>
      </c>
      <c r="Q2" s="18">
        <f>SUM(Z2*1.05)</f>
        <v/>
      </c>
      <c r="R2" s="20">
        <f>SUM(Z2/(AB2+AC2+AD2))</f>
        <v/>
      </c>
      <c r="S2" s="18" t="inlineStr">
        <is>
          <t>视频</t>
        </is>
      </c>
      <c r="T2" s="21" t="n">
        <v>0.52</v>
      </c>
      <c r="U2" s="21" t="n">
        <v>0.32</v>
      </c>
      <c r="V2" s="21" t="n">
        <v>0.45</v>
      </c>
      <c r="W2" s="21" t="n">
        <v>0.12</v>
      </c>
      <c r="X2" s="21" t="n"/>
      <c r="Y2" s="21" t="n"/>
      <c r="Z2" s="18" t="n">
        <v>14800</v>
      </c>
      <c r="AA2" s="154">
        <f>SUM((Z2/P2)*1000)</f>
        <v/>
      </c>
      <c r="AB2" s="22" t="n">
        <v>7658</v>
      </c>
      <c r="AC2" s="18" t="n">
        <v>2284</v>
      </c>
      <c r="AD2" s="18" t="n">
        <v>6295</v>
      </c>
      <c r="AE2" s="20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</row>
    <row r="3" ht="37.15" customHeight="1" s="151">
      <c r="A3" s="18" t="n"/>
      <c r="B3" s="18" t="inlineStr">
        <is>
          <t>ok</t>
        </is>
      </c>
      <c r="C3" s="18" t="n"/>
      <c r="D3" s="18" t="inlineStr">
        <is>
          <t>品牌</t>
        </is>
      </c>
      <c r="E3" s="32" t="inlineStr">
        <is>
          <t>专注豪宅探房好物分享，粉丝对家电关注度高。老板油烟机设计可作为“厨房扩容神器”重点推荐。</t>
        </is>
      </c>
      <c r="F3" s="18" t="inlineStr">
        <is>
          <t>肥坚闲不住</t>
        </is>
      </c>
      <c r="G3" s="18" t="inlineStr">
        <is>
          <t>https://www.xingtu.cn/ad/creator/author-homepage/douyin-video/6629723095294803972?market_track_id=6Q06C4YZ12E8VGLA5LM5&amp;search_session_id=7605440788826193930&amp;possessStarId</t>
        </is>
      </c>
      <c r="H3" s="18" t="inlineStr">
        <is>
          <t>https://www.douyin.com/user/MS4wLjABAAAAw8NhdxOpRKRDinaMIQO86uMbGBiSUeWIzP2hsZhgilM</t>
        </is>
      </c>
      <c r="I3" s="18" t="inlineStr">
        <is>
          <t>spzp_03</t>
        </is>
      </c>
      <c r="J3" s="18" t="inlineStr">
        <is>
          <t>豪宅探房</t>
        </is>
      </c>
      <c r="K3" s="18" t="inlineStr">
        <is>
          <t>肩部</t>
        </is>
      </c>
      <c r="L3" s="18" t="n">
        <v>305</v>
      </c>
      <c r="M3" s="18" t="n"/>
      <c r="N3" s="18" t="n"/>
      <c r="O3" s="155" t="n"/>
      <c r="P3" s="155" t="n">
        <v>2530000</v>
      </c>
      <c r="Q3" s="18">
        <f>SUM(Z3*1.05)</f>
        <v/>
      </c>
      <c r="R3" s="20">
        <f>SUM(Z3/(AB3+AC3+AD3))</f>
        <v/>
      </c>
      <c r="S3" s="18" t="inlineStr">
        <is>
          <t>视频</t>
        </is>
      </c>
      <c r="T3" s="21" t="n">
        <v>0.41</v>
      </c>
      <c r="U3" s="21" t="n">
        <v>0.22</v>
      </c>
      <c r="V3" s="21" t="n">
        <v>0.32</v>
      </c>
      <c r="W3" s="21" t="n">
        <v>0.16</v>
      </c>
      <c r="X3" s="21" t="n"/>
      <c r="Y3" s="21" t="n"/>
      <c r="Z3" s="18" t="n">
        <v>68000</v>
      </c>
      <c r="AA3" s="154">
        <f>SUM((Z3/P3)*1000)</f>
        <v/>
      </c>
      <c r="AB3" s="18" t="n">
        <v>29000</v>
      </c>
      <c r="AC3" s="18" t="n">
        <v>1170</v>
      </c>
      <c r="AD3" s="18" t="n">
        <v>9460</v>
      </c>
      <c r="AE3" s="20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</row>
    <row r="4" ht="37.15" customHeight="1" s="151">
      <c r="A4" s="18" t="n"/>
      <c r="B4" s="18" t="inlineStr">
        <is>
          <t>ok</t>
        </is>
      </c>
      <c r="C4" s="18" t="n"/>
      <c r="D4" s="18" t="inlineStr">
        <is>
          <t>电商</t>
        </is>
      </c>
      <c r="E4" s="32" t="inlineStr">
        <is>
          <t>内容充满活力，擅长展示高效家务，能突出老板油烟机易清洁的优势。</t>
        </is>
      </c>
      <c r="F4" s="18" t="inlineStr">
        <is>
          <t>小程不摆烂</t>
        </is>
      </c>
      <c r="G4" s="18" t="inlineStr">
        <is>
          <t>https://www.xingtu.cn/ad/creator/author-homepage/douyin-video/7223968676859346983</t>
        </is>
      </c>
      <c r="H4" s="18" t="inlineStr">
        <is>
          <t>https://www.douyin.com/user/MS4wLjABAAAA-AxocquhRbdEnJgt4wwUHZvX8UjXsfFZpJkCtSsviQw</t>
        </is>
      </c>
      <c r="I4" s="18" t="n">
        <v>95823451945</v>
      </c>
      <c r="J4" s="32" t="inlineStr">
        <is>
          <t>家居科技</t>
        </is>
      </c>
      <c r="K4" s="32" t="inlineStr">
        <is>
          <t>尾部</t>
        </is>
      </c>
      <c r="L4" s="18" t="n">
        <v>22.8</v>
      </c>
      <c r="M4" s="18" t="n"/>
      <c r="N4" s="18" t="n"/>
      <c r="O4" s="155" t="n"/>
      <c r="P4" s="155" t="n">
        <v>490573</v>
      </c>
      <c r="Q4" s="18" t="n">
        <v>31290</v>
      </c>
      <c r="R4" s="32" t="n">
        <v>2.95</v>
      </c>
      <c r="S4" s="18" t="inlineStr">
        <is>
          <t>视频</t>
        </is>
      </c>
      <c r="T4" s="35" t="n">
        <v>0.5687</v>
      </c>
      <c r="U4" s="35" t="n">
        <v>0.1593</v>
      </c>
      <c r="V4" s="35" t="n">
        <v>0.3115</v>
      </c>
      <c r="W4" s="35" t="n">
        <v>0.1032</v>
      </c>
      <c r="X4" s="35" t="n"/>
      <c r="Y4" s="35" t="n"/>
      <c r="Z4" s="18" t="n">
        <v>29800</v>
      </c>
      <c r="AA4" s="32" t="n">
        <v>60.75</v>
      </c>
      <c r="AB4" s="18" t="n">
        <v>9519</v>
      </c>
      <c r="AC4" s="18" t="n">
        <v>171</v>
      </c>
      <c r="AD4" s="18" t="n">
        <v>400</v>
      </c>
      <c r="AE4" s="20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</row>
    <row r="5" ht="37.15" customHeight="1" s="151">
      <c r="A5" s="18" t="n"/>
      <c r="B5" s="18" t="inlineStr">
        <is>
          <t>ok</t>
        </is>
      </c>
      <c r="C5" s="18" t="n"/>
      <c r="D5" s="18" t="inlineStr">
        <is>
          <t>电商</t>
        </is>
      </c>
      <c r="E5" s="32" t="inlineStr">
        <is>
          <t>风格温馨治愈，适合在日常烹饪场景中自然植入老板油烟机的舒适体验。</t>
        </is>
      </c>
      <c r="F5" s="18" t="inlineStr">
        <is>
          <t>炎炎的宅家日记</t>
        </is>
      </c>
      <c r="G5" s="18" t="inlineStr">
        <is>
          <t>https://www.xingtu.cn/ad/creator/author-homepage/douyin-video/7009167040824999967</t>
        </is>
      </c>
      <c r="H5" s="36" t="inlineStr">
        <is>
          <t>https://www.douyin.com/user/MS4wLjABAAAA13sw7b10xdM6P0VHXa8RRYkgKvAw5ZH9O1zA0sWrFrA</t>
        </is>
      </c>
      <c r="I5" s="18" t="inlineStr">
        <is>
          <t>yyddnn123</t>
        </is>
      </c>
      <c r="J5" s="32" t="inlineStr">
        <is>
          <t>家居科技</t>
        </is>
      </c>
      <c r="K5" s="32" t="inlineStr">
        <is>
          <t>尾部</t>
        </is>
      </c>
      <c r="L5" s="18" t="n">
        <v>30.57</v>
      </c>
      <c r="M5" s="18" t="n"/>
      <c r="N5" s="18" t="n"/>
      <c r="O5" s="155" t="n"/>
      <c r="P5" s="155" t="n">
        <v>409084</v>
      </c>
      <c r="Q5" s="18" t="n">
        <v>24990</v>
      </c>
      <c r="R5" s="32" t="n">
        <v>1.88</v>
      </c>
      <c r="S5" s="18" t="inlineStr">
        <is>
          <t>视频</t>
        </is>
      </c>
      <c r="T5" s="35" t="n">
        <v>0.584</v>
      </c>
      <c r="U5" s="35" t="n">
        <v>0.1487</v>
      </c>
      <c r="V5" s="35" t="n">
        <v>0.3554</v>
      </c>
      <c r="W5" s="35" t="n">
        <v>0.0866</v>
      </c>
      <c r="X5" s="35" t="n"/>
      <c r="Y5" s="35" t="n"/>
      <c r="Z5" s="18" t="n">
        <v>23800</v>
      </c>
      <c r="AA5" s="32" t="n">
        <v>58.18</v>
      </c>
      <c r="AB5" s="18" t="n">
        <v>12156</v>
      </c>
      <c r="AC5" s="18" t="n">
        <v>292</v>
      </c>
      <c r="AD5" s="18" t="n">
        <v>210</v>
      </c>
      <c r="AE5" s="20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</row>
    <row r="6" ht="37.15" customHeight="1" s="151">
      <c r="A6" s="37" t="n"/>
      <c r="B6" s="37" t="inlineStr">
        <is>
          <t>ok</t>
        </is>
      </c>
      <c r="C6" s="37" t="n"/>
      <c r="D6" s="37" t="inlineStr">
        <is>
          <t>品牌</t>
        </is>
      </c>
      <c r="E6" s="38" t="inlineStr">
        <is>
          <t>其视频中常涉及大量食材处理和餐具使用，做饭油烟往往是此类视频的“隐形痛点”。</t>
        </is>
      </c>
      <c r="F6" s="37" t="inlineStr">
        <is>
          <t xml:space="preserve">
阿晨吃饱了</t>
        </is>
      </c>
      <c r="G6" s="37" t="inlineStr">
        <is>
          <t>https://www.xingtu.cn/ad/creator/author-homepage/douyin-video/6852032860858089487?market_track_id=I3AXFCO2FFOA5SYPCT78&amp;search_session_id=7605451398251888690&amp;possessStarId</t>
        </is>
      </c>
      <c r="H6" s="37" t="inlineStr">
        <is>
          <t>https://www.douyin.com/user/MS4wLjABAAAA5eWz7uX9robWyIw2haX9428cHpyuIrWUeDqFI1J7mko</t>
        </is>
      </c>
      <c r="I6" s="37" t="n">
        <v>1181235113</v>
      </c>
      <c r="J6" s="37" t="inlineStr">
        <is>
          <t>美食</t>
        </is>
      </c>
      <c r="K6" s="37" t="inlineStr">
        <is>
          <t>尾部</t>
        </is>
      </c>
      <c r="L6" s="37" t="n">
        <v>50</v>
      </c>
      <c r="M6" s="37" t="n"/>
      <c r="N6" s="37" t="n"/>
      <c r="O6" s="156" t="n"/>
      <c r="P6" s="156" t="n">
        <v>554000</v>
      </c>
      <c r="Q6" s="37">
        <f>SUM(Z6*1.05)</f>
        <v/>
      </c>
      <c r="R6" s="40">
        <f>SUM(Z6/(AB6+AC6+AD6))</f>
        <v/>
      </c>
      <c r="S6" s="37" t="inlineStr">
        <is>
          <t>视频</t>
        </is>
      </c>
      <c r="T6" s="41" t="n">
        <v>0.57</v>
      </c>
      <c r="U6" s="41" t="n">
        <v>0.24</v>
      </c>
      <c r="V6" s="41" t="n">
        <v>0.2</v>
      </c>
      <c r="W6" s="41" t="n">
        <v>0.05</v>
      </c>
      <c r="X6" s="41" t="n"/>
      <c r="Y6" s="41" t="n"/>
      <c r="Z6" s="37" t="n">
        <v>21000</v>
      </c>
      <c r="AA6" s="157">
        <f>SUM((Z6/P6)*1000)</f>
        <v/>
      </c>
      <c r="AB6" s="37" t="n">
        <v>13000</v>
      </c>
      <c r="AC6" s="37" t="n">
        <v>450</v>
      </c>
      <c r="AD6" s="37" t="n">
        <v>5500</v>
      </c>
      <c r="AE6" s="40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43" t="n"/>
      <c r="AR6" s="43" t="n"/>
    </row>
    <row r="7" ht="49.5" customHeight="1" s="151">
      <c r="A7" s="18" t="n"/>
      <c r="B7" s="18" t="inlineStr">
        <is>
          <t>ok</t>
        </is>
      </c>
      <c r="C7" s="18" t="n"/>
      <c r="D7" s="18" t="inlineStr">
        <is>
          <t>电商</t>
        </is>
      </c>
      <c r="E7" s="32" t="inlineStr">
        <is>
          <t>家电测评博主，Z世代生活方式代表，粉丝追求个性与颜值。推荐洗碗机时尚外观设计，将其包装成“提升厨房颜值的潮流单品”。</t>
        </is>
      </c>
      <c r="F7" s="18" t="inlineStr">
        <is>
          <t xml:space="preserve">
只喝百事的白白</t>
        </is>
      </c>
      <c r="G7" s="18" t="inlineStr">
        <is>
          <t>https://www.xingtu.cn/ad/creator/author-homepage/douyin-video/7392820710936150043?market_track_id=I3AXFCO2FFOA5SYPCT78&amp;search_session_id=7605461347393945650&amp;possessStarId</t>
        </is>
      </c>
      <c r="H7" s="18" t="inlineStr">
        <is>
          <t>https://www.douyin.com/user/MS4wLjABAAAAAWhAWhUAyY2CutbyZn9yXoE7ZyMpzdRzxeV72Znt5qI</t>
        </is>
      </c>
      <c r="I7" s="18" t="inlineStr">
        <is>
          <t>LeonBai.1998</t>
        </is>
      </c>
      <c r="J7" s="18" t="inlineStr">
        <is>
          <t>测评</t>
        </is>
      </c>
      <c r="K7" s="18" t="inlineStr">
        <is>
          <t>尾部</t>
        </is>
      </c>
      <c r="L7" s="18" t="n">
        <v>32.4</v>
      </c>
      <c r="M7" s="18" t="n"/>
      <c r="N7" s="18" t="n"/>
      <c r="O7" s="155" t="n"/>
      <c r="P7" s="155" t="n">
        <v>548000</v>
      </c>
      <c r="Q7" s="18">
        <f>SUM(Z7*1.05)</f>
        <v/>
      </c>
      <c r="R7" s="20">
        <f>SUM(Z7/(AB7+AC7+AD7))</f>
        <v/>
      </c>
      <c r="S7" s="18" t="inlineStr">
        <is>
          <t>视频</t>
        </is>
      </c>
      <c r="T7" s="21" t="n">
        <v>0.42</v>
      </c>
      <c r="U7" s="21" t="n">
        <v>0.23</v>
      </c>
      <c r="V7" s="21" t="n">
        <v>0.38</v>
      </c>
      <c r="W7" s="21" t="n">
        <v>0.26</v>
      </c>
      <c r="X7" s="21" t="n"/>
      <c r="Y7" s="21" t="n"/>
      <c r="Z7" s="18" t="n">
        <v>25000</v>
      </c>
      <c r="AA7" s="154">
        <f>SUM((Z7/P7)*1000)</f>
        <v/>
      </c>
      <c r="AB7" s="18" t="n">
        <v>13000</v>
      </c>
      <c r="AC7" s="18" t="n">
        <v>154</v>
      </c>
      <c r="AD7" s="18" t="n">
        <v>1931</v>
      </c>
      <c r="AE7" s="20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</row>
    <row r="8" ht="49.5" customHeight="1" s="151">
      <c r="A8" s="37" t="n"/>
      <c r="B8" s="37" t="inlineStr">
        <is>
          <t>ok</t>
        </is>
      </c>
      <c r="C8" s="37" t="n"/>
      <c r="D8" s="37" t="inlineStr">
        <is>
          <t>品牌</t>
        </is>
      </c>
      <c r="E8" s="38" t="inlineStr">
        <is>
          <t>粉丝为科技爱好者，关注家电智能化体验。重点突出老板洗碗机APP控制、智能感应等功能，契合其受众对“全屋智能”的追求。</t>
        </is>
      </c>
      <c r="F8" s="37" t="inlineStr">
        <is>
          <t>权志猴（智能家居）</t>
        </is>
      </c>
      <c r="G8" s="37" t="inlineStr">
        <is>
          <t>https://www.xingtu.cn/ad/creator/author-homepage/douyin-video/6896359756827459591?market_track_id=BU8GKV5W3XFJCTREMRGB&amp;search_session_id=7605444486264520755&amp;possessStarId</t>
        </is>
      </c>
      <c r="H8" s="37" t="inlineStr">
        <is>
          <t>https://www.douyin.com/user/MS4wLjABAAAA5iMhOQOEbK1fkp3ALCP3QrUcBfWiw-CElER1wF2ybX4</t>
        </is>
      </c>
      <c r="I8" s="37" t="inlineStr">
        <is>
          <t>quanzhihou</t>
        </is>
      </c>
      <c r="J8" s="37" t="inlineStr">
        <is>
          <t>家居</t>
        </is>
      </c>
      <c r="K8" s="37" t="inlineStr">
        <is>
          <t>腰部</t>
        </is>
      </c>
      <c r="L8" s="37" t="n">
        <v>171</v>
      </c>
      <c r="M8" s="37" t="n"/>
      <c r="N8" s="37" t="n"/>
      <c r="O8" s="156" t="n"/>
      <c r="P8" s="156" t="n">
        <v>2360000</v>
      </c>
      <c r="Q8" s="37">
        <f>SUM(Z8*1.05)</f>
        <v/>
      </c>
      <c r="R8" s="40">
        <f>SUM(Z8/(AB8+AC8+AD8))</f>
        <v/>
      </c>
      <c r="S8" s="37" t="inlineStr">
        <is>
          <t>视频</t>
        </is>
      </c>
      <c r="T8" s="41" t="n">
        <v>0.16</v>
      </c>
      <c r="U8" s="41" t="n">
        <v>0.27</v>
      </c>
      <c r="V8" s="41" t="n">
        <v>0.22</v>
      </c>
      <c r="W8" s="41" t="n">
        <v>0.04</v>
      </c>
      <c r="X8" s="41" t="n"/>
      <c r="Y8" s="41" t="n"/>
      <c r="Z8" s="37" t="n">
        <v>48000</v>
      </c>
      <c r="AA8" s="157">
        <f>SUM((Z8/P8)*1000)</f>
        <v/>
      </c>
      <c r="AB8" s="37" t="n">
        <v>16000</v>
      </c>
      <c r="AC8" s="37" t="n">
        <v>804</v>
      </c>
      <c r="AD8" s="37" t="n">
        <v>3983</v>
      </c>
      <c r="AE8" s="40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43" t="n"/>
      <c r="AR8" s="43" t="n"/>
    </row>
    <row r="9" ht="37.15" customHeight="1" s="151">
      <c r="A9" s="18" t="n"/>
      <c r="B9" s="18" t="inlineStr">
        <is>
          <t>ok</t>
        </is>
      </c>
      <c r="C9" s="18" t="n"/>
      <c r="D9" s="18" t="inlineStr">
        <is>
          <t>电商</t>
        </is>
      </c>
      <c r="E9" s="32" t="inlineStr">
        <is>
          <t>专业家装垂类达人，内容质感高级，精准匹配老板电器高端定位，家装场景种草说服力强。</t>
        </is>
      </c>
      <c r="F9" s="18" t="inlineStr">
        <is>
          <t>夏公子的家装报告</t>
        </is>
      </c>
      <c r="G9" s="44" t="inlineStr">
        <is>
          <t>https://www.xingtu.cn/ad/creator/author/douyin/7356549493598355506/1?marketType=&amp;btm_ppre=a0.b0.c0.d0&amp;btm_pre=a4738.b27311.c0.author-card&amp;btm_show_id=d06bfb35-b92e-4036-be94-128d3a1be541</t>
        </is>
      </c>
      <c r="H9" s="18" t="inlineStr">
        <is>
          <t>https://www.douyin.com/user/MS4wLjABAAAAQEr3rgm6HFh0n-GW8u1rag2L2KTnirio3s7bxv1Xhgo</t>
        </is>
      </c>
      <c r="I9" s="18" t="inlineStr">
        <is>
          <t>xiagongzi</t>
        </is>
      </c>
      <c r="J9" s="18" t="inlineStr">
        <is>
          <t>家居生活</t>
        </is>
      </c>
      <c r="K9" s="18" t="inlineStr">
        <is>
          <t>腰部</t>
        </is>
      </c>
      <c r="L9" s="18" t="n">
        <v>110.2</v>
      </c>
      <c r="M9" s="18" t="n"/>
      <c r="N9" s="18" t="n"/>
      <c r="O9" s="155" t="n"/>
      <c r="P9" s="155" t="n">
        <v>229000</v>
      </c>
      <c r="Q9" s="18">
        <f>Z9*1.05</f>
        <v/>
      </c>
      <c r="R9" s="18" t="n">
        <v>6.6</v>
      </c>
      <c r="S9" s="18" t="inlineStr">
        <is>
          <t>视频</t>
        </is>
      </c>
      <c r="T9" s="35" t="n">
        <v>0.67</v>
      </c>
      <c r="U9" s="35" t="n">
        <v>0.25</v>
      </c>
      <c r="V9" s="35" t="n">
        <v>0.44</v>
      </c>
      <c r="W9" s="35" t="n">
        <v>0.17</v>
      </c>
      <c r="X9" s="35" t="n"/>
      <c r="Y9" s="35" t="n"/>
      <c r="Z9" s="18" t="n">
        <v>32800</v>
      </c>
      <c r="AA9" s="18" t="n">
        <v>120.6</v>
      </c>
      <c r="AB9" s="18" t="n">
        <v>26000</v>
      </c>
      <c r="AC9" s="18" t="n">
        <v>285</v>
      </c>
      <c r="AD9" s="18" t="n">
        <v>295</v>
      </c>
      <c r="AE9" s="20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</row>
    <row r="10" ht="24.75" customHeight="1" s="151">
      <c r="A10" s="18" t="n"/>
      <c r="B10" s="18" t="inlineStr">
        <is>
          <t>ok</t>
        </is>
      </c>
      <c r="C10" s="18" t="n"/>
      <c r="D10" s="18" t="inlineStr">
        <is>
          <t>电商</t>
        </is>
      </c>
      <c r="E10" s="32" t="inlineStr">
        <is>
          <t>颜值党首选，诠释厨房美学与实用兼具。</t>
        </is>
      </c>
      <c r="F10" s="32" t="inlineStr">
        <is>
          <t>JoJo爱家居</t>
        </is>
      </c>
      <c r="G10" s="36" t="inlineStr">
        <is>
          <t>https://www.xingtu.cn/ad/creator/author/douyin/7205496090076905505</t>
        </is>
      </c>
      <c r="H10" s="18" t="inlineStr">
        <is>
          <t>https://www.douyin.com/user/MS4wLjABAAAAdy54iMw9v0rItTFjtmCXCXU5XTPJyBwGMm00s481eiuqFyJSLyKtT5_cU2bF4wR_</t>
        </is>
      </c>
      <c r="I10" s="32" t="inlineStr">
        <is>
          <t>yuanye.design</t>
        </is>
      </c>
      <c r="J10" s="32" t="inlineStr">
        <is>
          <t>家电测评</t>
        </is>
      </c>
      <c r="K10" s="32" t="inlineStr">
        <is>
          <t>腰部</t>
        </is>
      </c>
      <c r="L10" s="32" t="n">
        <v>87.5</v>
      </c>
      <c r="M10" s="32" t="n"/>
      <c r="N10" s="32" t="n"/>
      <c r="O10" s="158" t="n"/>
      <c r="P10" s="158" t="n">
        <v>1267000</v>
      </c>
      <c r="Q10" s="32">
        <f>Z10*1.05</f>
        <v/>
      </c>
      <c r="R10" s="32" t="n">
        <v>4.93</v>
      </c>
      <c r="S10" s="18" t="inlineStr">
        <is>
          <t>视频</t>
        </is>
      </c>
      <c r="T10" s="46" t="n">
        <v>0.603</v>
      </c>
      <c r="U10" s="47" t="n">
        <v>0.27</v>
      </c>
      <c r="V10" s="47" t="n">
        <v>0.41</v>
      </c>
      <c r="W10" s="47" t="n">
        <v>0.05</v>
      </c>
      <c r="X10" s="47" t="n"/>
      <c r="Y10" s="47" t="n"/>
      <c r="Z10" s="32" t="n">
        <v>55000</v>
      </c>
      <c r="AA10" s="32" t="n">
        <v>43.41</v>
      </c>
      <c r="AB10" s="32" t="n">
        <v>11000</v>
      </c>
      <c r="AC10" s="32" t="n">
        <v>96</v>
      </c>
      <c r="AD10" s="32" t="n">
        <v>62</v>
      </c>
      <c r="AE10" s="20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</row>
    <row r="11" ht="24.75" customHeight="1" s="151">
      <c r="A11" s="18" t="n"/>
      <c r="B11" s="18" t="inlineStr">
        <is>
          <t>ok</t>
        </is>
      </c>
      <c r="C11" s="18" t="n"/>
      <c r="D11" s="18" t="inlineStr">
        <is>
          <t>品牌</t>
        </is>
      </c>
      <c r="E11" s="32" t="inlineStr">
        <is>
          <t>创意家装博主，装修ing,自己动手改造生活日常</t>
        </is>
      </c>
      <c r="F11" s="18" t="inlineStr">
        <is>
          <t>家文枸杞</t>
        </is>
      </c>
      <c r="G11" s="18" t="inlineStr">
        <is>
          <t>https://www.xingtu.cn/ad/creator/author-homepage/douyin-video/7151686548088586254?market_track_id=FLCBD4RXT5HYWEMG7UHR&amp;search_session_id=7611816153388367918&amp;possessStarId</t>
        </is>
      </c>
      <c r="H11" s="18" t="inlineStr">
        <is>
          <t>https://www.douyin.com/user/MS4wLjABAAAA-B8K8qRcEYfVBRrGhcVxZa5o1rm4kukc7Oq3j21tEHU</t>
        </is>
      </c>
      <c r="I11" s="18" t="inlineStr">
        <is>
          <t>jiawengouqi</t>
        </is>
      </c>
      <c r="J11" s="18" t="inlineStr">
        <is>
          <t>装修、家居</t>
        </is>
      </c>
      <c r="K11" s="18" t="inlineStr">
        <is>
          <t>腰部</t>
        </is>
      </c>
      <c r="L11" s="18" t="n">
        <v>50</v>
      </c>
      <c r="M11" s="18" t="n"/>
      <c r="N11" s="18" t="n"/>
      <c r="O11" s="155" t="n"/>
      <c r="P11" s="155" t="n">
        <v>2919000</v>
      </c>
      <c r="Q11" s="18">
        <f>SUM(Z11*1.05)</f>
        <v/>
      </c>
      <c r="R11" s="20">
        <f>SUM(Z11/(AB11+AC11+AD11))</f>
        <v/>
      </c>
      <c r="S11" s="18" t="inlineStr">
        <is>
          <t>视频</t>
        </is>
      </c>
      <c r="T11" s="21" t="n">
        <v>0.54</v>
      </c>
      <c r="U11" s="21" t="n">
        <v>0.35</v>
      </c>
      <c r="V11" s="21" t="n">
        <v>0.44</v>
      </c>
      <c r="W11" s="21" t="n">
        <v>0.05</v>
      </c>
      <c r="X11" s="21" t="n"/>
      <c r="Y11" s="21" t="n"/>
      <c r="Z11" s="18" t="n">
        <v>40000</v>
      </c>
      <c r="AA11" s="154">
        <f>SUM((Z11/P11)*1000)</f>
        <v/>
      </c>
      <c r="AB11" s="18" t="n">
        <v>9612</v>
      </c>
      <c r="AC11" s="18" t="n">
        <v>276</v>
      </c>
      <c r="AD11" s="18" t="n">
        <v>746</v>
      </c>
      <c r="AE11" s="20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</row>
    <row r="12" ht="37.15" customHeight="1" s="151">
      <c r="A12" s="18" t="n"/>
      <c r="B12" s="18" t="inlineStr">
        <is>
          <t>ok</t>
        </is>
      </c>
      <c r="C12" s="18" t="n"/>
      <c r="D12" s="18" t="inlineStr">
        <is>
          <t>品牌</t>
        </is>
      </c>
      <c r="E12" s="32" t="inlineStr">
        <is>
          <t>风格简约实用，粉丝多为注重空间感的年轻群体，契合老板超薄平嵌设计。</t>
        </is>
      </c>
      <c r="F12" s="32" t="inlineStr">
        <is>
          <t>拾点</t>
        </is>
      </c>
      <c r="G12" s="36" t="inlineStr">
        <is>
          <t>https://www.xingtu.cn/ad/creator/author/douyin/7398789700661542921</t>
        </is>
      </c>
      <c r="H12" s="18" t="inlineStr">
        <is>
          <t>https://www.douyin.com/user/MS4wLjABAAAAAvf2gi6BdyGzGUhSeEVAJN2wJ5712EoZhwCZXs7u9x5grbnAcdihsJcnW72wKJ6_</t>
        </is>
      </c>
      <c r="I12" s="32" t="n">
        <v>88499778856</v>
      </c>
      <c r="J12" s="32" t="inlineStr">
        <is>
          <t>家居</t>
        </is>
      </c>
      <c r="K12" s="32" t="inlineStr">
        <is>
          <t>尾部</t>
        </is>
      </c>
      <c r="L12" s="32" t="n">
        <v>30</v>
      </c>
      <c r="M12" s="32" t="n"/>
      <c r="N12" s="32" t="n"/>
      <c r="O12" s="158" t="n"/>
      <c r="P12" s="158" t="n">
        <v>149000</v>
      </c>
      <c r="Q12" s="32">
        <f>Z12*1.05</f>
        <v/>
      </c>
      <c r="R12" s="32" t="n">
        <v>0.52</v>
      </c>
      <c r="S12" s="18" t="inlineStr">
        <is>
          <t>视频</t>
        </is>
      </c>
      <c r="T12" s="46" t="n">
        <v>0.467</v>
      </c>
      <c r="U12" s="47" t="n">
        <v>0.26</v>
      </c>
      <c r="V12" s="47" t="n">
        <v>0.34</v>
      </c>
      <c r="W12" s="47" t="n">
        <v>0.1</v>
      </c>
      <c r="X12" s="47" t="n"/>
      <c r="Y12" s="47" t="n"/>
      <c r="Z12" s="32" t="n">
        <v>15000</v>
      </c>
      <c r="AA12" s="32" t="n">
        <v>100.67</v>
      </c>
      <c r="AB12" s="32" t="n">
        <v>27000</v>
      </c>
      <c r="AC12" s="48" t="n">
        <v>1211</v>
      </c>
      <c r="AD12" s="32" t="n">
        <v>417</v>
      </c>
      <c r="AE12" s="20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</row>
    <row r="13" ht="37.15" customHeight="1" s="151">
      <c r="A13" s="18" t="n"/>
      <c r="B13" s="18" t="inlineStr">
        <is>
          <t>ok</t>
        </is>
      </c>
      <c r="C13" s="18" t="n"/>
      <c r="D13" s="18" t="inlineStr">
        <is>
          <t>电商</t>
        </is>
      </c>
      <c r="E13" s="32" t="inlineStr">
        <is>
          <t>聚焦小户型家居改造，受众年轻化，擅长用颜值与幸福感凸显厨电价值。</t>
        </is>
      </c>
      <c r="F13" s="18" t="inlineStr">
        <is>
          <t>小兰宅家梦</t>
        </is>
      </c>
      <c r="G13" s="44" t="inlineStr">
        <is>
          <t>https://www.xingtu.cn/ad/creator/author/douyin/7336866178540765193/1?marketType=&amp;btm_ppre=a0.b0.c0.d0&amp;btm_pre=a4738.b27311.c0.author-card&amp;btm_show_id=d06bfb35-b92e-4036-be94-128d3a1be541</t>
        </is>
      </c>
      <c r="H13" s="18" t="inlineStr">
        <is>
          <t>https://www.douyin.com/user/MS4wLjABAAAA8B1gm6Nu-V21Aj9faU1H1ovL0O6tKESdPfC4uuecqy0</t>
        </is>
      </c>
      <c r="I13" s="18" t="inlineStr">
        <is>
          <t>dbr1118</t>
        </is>
      </c>
      <c r="J13" s="18" t="inlineStr">
        <is>
          <t>家居生活</t>
        </is>
      </c>
      <c r="K13" s="18" t="inlineStr">
        <is>
          <t>腰部</t>
        </is>
      </c>
      <c r="L13" s="18" t="n">
        <v>143.8</v>
      </c>
      <c r="M13" s="18" t="n"/>
      <c r="N13" s="18" t="n"/>
      <c r="O13" s="18" t="n"/>
      <c r="P13" s="18" t="n">
        <v>639000</v>
      </c>
      <c r="Q13" s="18">
        <f>Z13*1.05</f>
        <v/>
      </c>
      <c r="R13" s="18" t="n">
        <v>0.3</v>
      </c>
      <c r="S13" s="18" t="inlineStr">
        <is>
          <t>视频</t>
        </is>
      </c>
      <c r="T13" s="35" t="n">
        <v>0.45</v>
      </c>
      <c r="U13" s="35" t="n">
        <v>0.1</v>
      </c>
      <c r="V13" s="35" t="n">
        <v>0.48</v>
      </c>
      <c r="W13" s="35" t="n">
        <v>0.24</v>
      </c>
      <c r="X13" s="35" t="n"/>
      <c r="Y13" s="35" t="n"/>
      <c r="Z13" s="18" t="n">
        <v>35000</v>
      </c>
      <c r="AA13" s="18" t="n">
        <v>6.6</v>
      </c>
      <c r="AB13" s="18" t="n">
        <v>16000</v>
      </c>
      <c r="AC13" s="18" t="n">
        <v>262</v>
      </c>
      <c r="AD13" s="18" t="n">
        <v>220</v>
      </c>
      <c r="AE13" s="20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</row>
    <row r="14" ht="37.15" customHeight="1" s="151">
      <c r="A14" s="18" t="n"/>
      <c r="B14" s="18" t="inlineStr">
        <is>
          <t>ok</t>
        </is>
      </c>
      <c r="C14" s="18" t="n"/>
      <c r="D14" s="18" t="inlineStr">
        <is>
          <t>电商</t>
        </is>
      </c>
      <c r="E14" s="32" t="inlineStr">
        <is>
          <t>智能家居干货达人，讲解通俗易懂，能突出智能便捷卖点，覆盖刚需家庭。</t>
        </is>
      </c>
      <c r="F14" s="18" t="inlineStr">
        <is>
          <t>林北的林</t>
        </is>
      </c>
      <c r="G14" s="44" t="inlineStr">
        <is>
          <t>https://www.xingtu.cn/ad/creator/author/douyin/6854183693821411342/1?search_session_id=7293820566220931098&amp;video_type=2&amp;_route_from=from_page%3DMarket%26search_session_id%3D7293820566220931098%26is_for_order%3D1%26platform_source%3D1%26key%3D%25E6%259E%2597%25E5%258C%2597%25E7%259A%2584%25E6%259E%2597%26order_by%3Dscore%26sort_type%3D2%26search_scene%3D1%26display_scene%3D1%26limit%3D20%26page%3D1%26regular_filter%3D%255Bobject%2BObject%255D%26task_category%3D1%26package_id%3D%26is_filter%3D0%26current_tab%3D1%26displayScene%3Dmarket%26is_limit_time_price%3D0&amp;btm_ppre=a0.b0.c0.d0&amp;btm_pre=a4738.b16016.c26503.d3332&amp;btm_show_id=49a1515b-2fec-49c9-aacf-07ac4e5fb5fb&amp;btm_pre_unit_params=%257B%2522platform_source%2522%253A1%252C%2522key%2522%253A%2522%25E6%259E%2597%25E5%258C%2597%25E7%259A%2584%25E6%259E%2597%2522%252C%2522order_by%2522%253A%2522score%2522%252C%2522sort_type%2522%253A2%252C%2522search_scene%2522%253A1%252C%2522display_scene%2522%253A1%252C%2522limit%2522%253A20%252C%2522page%2522%253A1%252C%2522regular_filter%2522%253A%257B%2522current_tab%2522%253A1%252C%2522marketing_target%2522%253A1%252C%2522task_category%2522%253A1%257D%252C%2522task_category%2522%253A%25221%2522%252C%2522package_id%2522%253A%2522%2522%252C%2522is_filter%2522%253A%25220%2522%252C%2522current_tab%2522%253A1%252C%2522displayScene%2522%253A%2522market%2522%257D</t>
        </is>
      </c>
      <c r="H14" s="18" t="inlineStr">
        <is>
          <t>https://www.douyin.com/user/MS4wLjABAAAAUmQrXVKInsrXEg3hPFSuq23ZqInyfWXUWdaHArYi2OY</t>
        </is>
      </c>
      <c r="I14" s="18" t="inlineStr">
        <is>
          <t>wmspwzzzb</t>
        </is>
      </c>
      <c r="J14" s="18" t="inlineStr">
        <is>
          <t>家居生活</t>
        </is>
      </c>
      <c r="K14" s="18" t="inlineStr">
        <is>
          <t>腰部</t>
        </is>
      </c>
      <c r="L14" s="18" t="n">
        <v>113.2</v>
      </c>
      <c r="M14" s="18" t="n"/>
      <c r="N14" s="18" t="n"/>
      <c r="O14" s="18" t="n"/>
      <c r="P14" s="18" t="n">
        <v>67000</v>
      </c>
      <c r="Q14" s="18">
        <f>Z14*1.05</f>
        <v/>
      </c>
      <c r="R14" s="18" t="n">
        <v>0.7</v>
      </c>
      <c r="S14" s="18" t="inlineStr">
        <is>
          <t>视频</t>
        </is>
      </c>
      <c r="T14" s="35" t="n">
        <v>0.43</v>
      </c>
      <c r="U14" s="35" t="n">
        <v>0.06</v>
      </c>
      <c r="V14" s="35" t="n">
        <v>0.47</v>
      </c>
      <c r="W14" s="35" t="n">
        <v>0.18</v>
      </c>
      <c r="X14" s="35" t="n"/>
      <c r="Y14" s="35" t="n"/>
      <c r="Z14" s="18" t="n">
        <v>30000</v>
      </c>
      <c r="AA14" s="18" t="n">
        <v>55.5</v>
      </c>
      <c r="AB14" s="18" t="n">
        <v>16000</v>
      </c>
      <c r="AC14" s="18" t="n">
        <v>208</v>
      </c>
      <c r="AD14" s="18" t="n">
        <v>568</v>
      </c>
      <c r="AE14" s="20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</row>
    <row r="15">
      <c r="A15" s="18" t="n"/>
      <c r="B15" s="18" t="inlineStr">
        <is>
          <t>ok</t>
        </is>
      </c>
      <c r="C15" s="18" t="n"/>
      <c r="D15" s="18" t="inlineStr">
        <is>
          <t>电商</t>
        </is>
      </c>
      <c r="E15" s="32" t="inlineStr">
        <is>
          <t>真实测评，AI智控耐用性看得见。</t>
        </is>
      </c>
      <c r="F15" s="32" t="inlineStr">
        <is>
          <t>拖米在家</t>
        </is>
      </c>
      <c r="G15" s="36" t="inlineStr">
        <is>
          <t>https://www.xingtu.cn/ad/creator/author/douyin/7401427182419247113</t>
        </is>
      </c>
      <c r="H15" s="18" t="inlineStr">
        <is>
          <t>https://www.douyin.com/user/MS4wLjABAAAAkueLcwUl-2FFXjGAkoYMxnoCK0Bx5j8CcRpYaAlpsJQ</t>
        </is>
      </c>
      <c r="I15" s="32" t="inlineStr">
        <is>
          <t>tuomizaijia</t>
        </is>
      </c>
      <c r="J15" s="32" t="inlineStr">
        <is>
          <t>智能家居</t>
        </is>
      </c>
      <c r="K15" s="32" t="inlineStr">
        <is>
          <t>尾部</t>
        </is>
      </c>
      <c r="L15" s="32" t="n">
        <v>37.6</v>
      </c>
      <c r="M15" s="32" t="n"/>
      <c r="N15" s="32" t="n"/>
      <c r="O15" s="32" t="n"/>
      <c r="P15" s="32" t="n">
        <v>1709000</v>
      </c>
      <c r="Q15" s="32">
        <f>Z15*1.05</f>
        <v/>
      </c>
      <c r="R15" s="32" t="n">
        <v>0.79</v>
      </c>
      <c r="S15" s="18" t="inlineStr">
        <is>
          <t>视频</t>
        </is>
      </c>
      <c r="T15" s="46" t="n">
        <v>0.6919999999999999</v>
      </c>
      <c r="U15" s="47" t="n">
        <v>0.18</v>
      </c>
      <c r="V15" s="47" t="n">
        <v>0.51</v>
      </c>
      <c r="W15" s="47" t="n">
        <v>0.21</v>
      </c>
      <c r="X15" s="47" t="n"/>
      <c r="Y15" s="47" t="n"/>
      <c r="Z15" s="32" t="n">
        <v>23800</v>
      </c>
      <c r="AA15" s="32" t="n">
        <v>13.93</v>
      </c>
      <c r="AB15" s="32" t="n">
        <v>28000</v>
      </c>
      <c r="AC15" s="32" t="n">
        <v>473</v>
      </c>
      <c r="AD15" s="48" t="n">
        <v>1741</v>
      </c>
      <c r="AE15" s="20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</row>
    <row r="16" ht="24.75" customHeight="1" s="151">
      <c r="A16" s="18" t="n"/>
      <c r="B16" s="18" t="n"/>
      <c r="C16" s="18" t="n"/>
      <c r="D16" s="18" t="inlineStr">
        <is>
          <t>品牌</t>
        </is>
      </c>
      <c r="E16" s="32" t="inlineStr">
        <is>
          <t>温馨三口之家，原木风装修风格，场景适配</t>
        </is>
      </c>
      <c r="F16" s="32" t="inlineStr">
        <is>
          <t>张帅小屋🏡</t>
        </is>
      </c>
      <c r="G16" s="36" t="inlineStr">
        <is>
          <t>https://www.xingtu.cn/ad/creator/author/douyin/7173687464870019076</t>
        </is>
      </c>
      <c r="H16" s="18" t="inlineStr">
        <is>
          <t>https://www.douyin.com/user/MS4wLjABAAAAIFj1JP9UPWhs18VcYR0GWnoaG0_3IuysonhEak_y-E9sMIancFJvxAv5ouUg-AfN</t>
        </is>
      </c>
      <c r="I16" s="18" t="inlineStr">
        <is>
          <t>ZhizuChangLe1017</t>
        </is>
      </c>
      <c r="J16" s="32" t="inlineStr">
        <is>
          <t>家居</t>
        </is>
      </c>
      <c r="K16" s="32" t="inlineStr">
        <is>
          <t>尾部</t>
        </is>
      </c>
      <c r="L16" s="32" t="n">
        <v>21</v>
      </c>
      <c r="M16" s="32" t="n"/>
      <c r="N16" s="32" t="n"/>
      <c r="O16" s="158" t="n"/>
      <c r="P16" s="158" t="n">
        <v>290000</v>
      </c>
      <c r="Q16" s="32">
        <f>Z16*1.05</f>
        <v/>
      </c>
      <c r="R16" s="32" t="n">
        <v>8.94</v>
      </c>
      <c r="S16" s="18" t="inlineStr">
        <is>
          <t>视频</t>
        </is>
      </c>
      <c r="T16" s="46" t="n">
        <v>0.589</v>
      </c>
      <c r="U16" s="47" t="n">
        <v>0.28</v>
      </c>
      <c r="V16" s="47" t="n">
        <v>0.4</v>
      </c>
      <c r="W16" s="47" t="n">
        <v>0.15</v>
      </c>
      <c r="X16" s="47" t="n"/>
      <c r="Y16" s="47" t="n"/>
      <c r="Z16" s="32" t="n">
        <v>21000</v>
      </c>
      <c r="AA16" s="32" t="n">
        <v>72.41</v>
      </c>
      <c r="AB16" s="48" t="n">
        <v>2004</v>
      </c>
      <c r="AC16" s="32" t="n">
        <v>136</v>
      </c>
      <c r="AD16" s="32" t="n">
        <v>209</v>
      </c>
      <c r="AE16" s="20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</row>
    <row r="17" ht="24.75" customHeight="1" s="151">
      <c r="A17" s="18" t="n"/>
      <c r="B17" s="18" t="n"/>
      <c r="C17" s="18" t="n"/>
      <c r="D17" s="18" t="inlineStr">
        <is>
          <t>品牌</t>
        </is>
      </c>
      <c r="E17" s="32" t="inlineStr">
        <is>
          <t>奶油风装修，场景干净明亮，场景适配</t>
        </is>
      </c>
      <c r="F17" s="18" t="inlineStr">
        <is>
          <t xml:space="preserve">
阿宁家</t>
        </is>
      </c>
      <c r="G17" s="18" t="inlineStr">
        <is>
          <t>https://www.xingtu.cn/ad/creator/author-homepage/douyin-video/6870163126906519565?market_track_id=FLCBD4RXT5HYWEMG7UHR&amp;search_session_id=7611812381207265326&amp;possessStarId</t>
        </is>
      </c>
      <c r="H17" s="18" t="inlineStr">
        <is>
          <t>https://www.douyin.com/user/MS4wLjABAAAAytQ5bEH0kqRGdZKusd4gNP8-Hpu2cStRb0eBe4zkekw</t>
        </is>
      </c>
      <c r="I17" s="18" t="inlineStr">
        <is>
          <t>s888288I</t>
        </is>
      </c>
      <c r="J17" s="18" t="inlineStr">
        <is>
          <t>家居</t>
        </is>
      </c>
      <c r="K17" s="18" t="inlineStr">
        <is>
          <t>腰部</t>
        </is>
      </c>
      <c r="L17" s="18" t="n">
        <v>138</v>
      </c>
      <c r="M17" s="18" t="n"/>
      <c r="N17" s="18" t="n"/>
      <c r="O17" s="155" t="n"/>
      <c r="P17" s="155" t="n">
        <v>726000</v>
      </c>
      <c r="Q17" s="18">
        <f>SUM(Z17*1.05)</f>
        <v/>
      </c>
      <c r="R17" s="20">
        <f>SUM(Z17/(AB17+AC17+AD17))</f>
        <v/>
      </c>
      <c r="S17" s="18" t="inlineStr">
        <is>
          <t>视频</t>
        </is>
      </c>
      <c r="T17" s="21" t="n">
        <v>0.4</v>
      </c>
      <c r="U17" s="21" t="n">
        <v>0.3</v>
      </c>
      <c r="V17" s="21" t="n">
        <v>0.43</v>
      </c>
      <c r="W17" s="21" t="n">
        <v>0.11</v>
      </c>
      <c r="X17" s="21" t="n"/>
      <c r="Y17" s="21" t="n"/>
      <c r="Z17" s="18" t="n">
        <v>45000</v>
      </c>
      <c r="AA17" s="154">
        <f>SUM((Z17/P17)*1000)</f>
        <v/>
      </c>
      <c r="AB17" s="22" t="n">
        <v>6621</v>
      </c>
      <c r="AC17" s="18" t="n">
        <v>298</v>
      </c>
      <c r="AD17" s="18" t="n">
        <v>151</v>
      </c>
      <c r="AE17" s="20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</row>
    <row r="18" ht="24.75" customHeight="1" s="151">
      <c r="A18" s="18" t="n"/>
      <c r="B18" s="18" t="n"/>
      <c r="C18" s="18" t="n"/>
      <c r="D18" s="18" t="inlineStr">
        <is>
          <t>品牌</t>
        </is>
      </c>
      <c r="E18" s="32" t="inlineStr">
        <is>
          <t>极简空间大师，超薄平嵌释放小户型厨房。</t>
        </is>
      </c>
      <c r="F18" s="32" t="inlineStr">
        <is>
          <t>趁路</t>
        </is>
      </c>
      <c r="G18" s="36" t="inlineStr">
        <is>
          <t>https://www.xingtu.cn/ad/creator/author/douyin/7187717265784045571</t>
        </is>
      </c>
      <c r="H18" s="18" t="inlineStr">
        <is>
          <t>https://www.douyin.com/user/MS4wLjABAAAA36ygQUleS8zQJWN96YBvSNwcASyhmwtmalAqx_BXrhQ</t>
        </is>
      </c>
      <c r="I18" s="32" t="n">
        <v>34219753</v>
      </c>
      <c r="J18" s="32" t="inlineStr">
        <is>
          <t>智能家居</t>
        </is>
      </c>
      <c r="K18" s="32" t="inlineStr">
        <is>
          <t>尾部</t>
        </is>
      </c>
      <c r="L18" s="32" t="n">
        <v>32.3</v>
      </c>
      <c r="M18" s="32" t="n"/>
      <c r="N18" s="32" t="n"/>
      <c r="O18" s="32" t="n"/>
      <c r="P18" s="32" t="n">
        <v>843000</v>
      </c>
      <c r="Q18" s="32">
        <f>Z18*1.05</f>
        <v/>
      </c>
      <c r="R18" s="32" t="n">
        <v>6.59</v>
      </c>
      <c r="S18" s="18" t="inlineStr">
        <is>
          <t>视频</t>
        </is>
      </c>
      <c r="T18" s="46" t="n">
        <v>0.636</v>
      </c>
      <c r="U18" s="47" t="n">
        <v>0.22</v>
      </c>
      <c r="V18" s="47" t="n">
        <v>0.38</v>
      </c>
      <c r="W18" s="47" t="n">
        <v>0.14</v>
      </c>
      <c r="X18" s="47" t="n"/>
      <c r="Y18" s="47" t="n"/>
      <c r="Z18" s="32" t="n">
        <v>25800</v>
      </c>
      <c r="AA18" s="32" t="n">
        <v>30.6</v>
      </c>
      <c r="AB18" s="48" t="n">
        <v>3144</v>
      </c>
      <c r="AC18" s="32" t="n">
        <v>258</v>
      </c>
      <c r="AD18" s="32" t="n">
        <v>514</v>
      </c>
      <c r="AE18" s="20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</row>
    <row r="19" ht="24.75" customHeight="1" s="151">
      <c r="A19" s="18" t="n"/>
      <c r="B19" s="18" t="n"/>
      <c r="C19" s="18" t="n"/>
      <c r="D19" s="18" t="inlineStr">
        <is>
          <t>电商</t>
        </is>
      </c>
      <c r="E19" s="32" t="inlineStr">
        <is>
          <t>专业测评博主，垂类精准，家电数码测评，符合品效要求</t>
        </is>
      </c>
      <c r="F19" s="18" t="inlineStr">
        <is>
          <t>何同学开测啦</t>
        </is>
      </c>
      <c r="G19" s="18" t="inlineStr">
        <is>
          <t>https://www.xingtu.cn/ad/creator/author-homepage/douyin-video/6845479040711655437?market_track_id=FLCBD4RXT5HYWEMG7UHR&amp;search_session_id=7611816153388367918&amp;possessStarId</t>
        </is>
      </c>
      <c r="H19" s="18" t="inlineStr">
        <is>
          <t>https://www.douyin.com/user/MS4wLjABAAAAHidCXCW5lERrbOCVnFNYPYPgMDo-3ABhbupZNm8loQHeB6nGV9d98e77DVqKhwLz</t>
        </is>
      </c>
      <c r="I19" s="18" t="inlineStr">
        <is>
          <t>htx2233</t>
        </is>
      </c>
      <c r="J19" s="18" t="inlineStr">
        <is>
          <t>测评</t>
        </is>
      </c>
      <c r="K19" s="18" t="inlineStr">
        <is>
          <t>腰部</t>
        </is>
      </c>
      <c r="L19" s="18" t="n">
        <v>253</v>
      </c>
      <c r="M19" s="18" t="n"/>
      <c r="N19" s="18" t="n"/>
      <c r="O19" s="18" t="n"/>
      <c r="P19" s="18" t="n">
        <v>1676000</v>
      </c>
      <c r="Q19" s="18">
        <f>SUM(Z19*1.05)</f>
        <v/>
      </c>
      <c r="R19" s="20">
        <f>SUM(Z19/(AB19+AC19+AD19))</f>
        <v/>
      </c>
      <c r="S19" s="18" t="inlineStr">
        <is>
          <t>视频</t>
        </is>
      </c>
      <c r="T19" s="21" t="n">
        <v>0.4</v>
      </c>
      <c r="U19" s="21" t="n">
        <v>0.23</v>
      </c>
      <c r="V19" s="21" t="n">
        <v>0.15</v>
      </c>
      <c r="W19" s="21" t="n">
        <v>0.14</v>
      </c>
      <c r="X19" s="21" t="n"/>
      <c r="Y19" s="21" t="n"/>
      <c r="Z19" s="18" t="n">
        <v>42000</v>
      </c>
      <c r="AA19" s="154">
        <f>SUM((Z19/P19)*1000)</f>
        <v/>
      </c>
      <c r="AB19" s="18" t="n">
        <v>6750</v>
      </c>
      <c r="AC19" s="18" t="n">
        <v>235</v>
      </c>
      <c r="AD19" s="18" t="n">
        <v>56</v>
      </c>
      <c r="AE19" s="20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</row>
    <row r="20" ht="24.75" customHeight="1" s="151">
      <c r="A20" s="18" t="n"/>
      <c r="B20" s="18" t="n"/>
      <c r="C20" s="18" t="n"/>
      <c r="D20" s="18" t="inlineStr">
        <is>
          <t>电商</t>
        </is>
      </c>
      <c r="E20" s="32" t="inlineStr">
        <is>
          <t>家务省力神器，一抹即净契合高效生活。</t>
        </is>
      </c>
      <c r="F20" s="32" t="inlineStr">
        <is>
          <t>璐璐的家🍉</t>
        </is>
      </c>
      <c r="G20" s="36" t="inlineStr">
        <is>
          <t>https://www.xingtu.cn/ad/creator/author/douyin/6986582519093149727</t>
        </is>
      </c>
      <c r="H20" s="18" t="inlineStr">
        <is>
          <t>https://www.douyin.com/user/MS4wLjABAAAAiqXKqFZq0zlTPzqTlkrc2n76duP8WLouphqLRgLEswk</t>
        </is>
      </c>
      <c r="I20" s="32" t="inlineStr">
        <is>
          <t>luludejia0826</t>
        </is>
      </c>
      <c r="J20" s="32" t="inlineStr">
        <is>
          <t>家电测评</t>
        </is>
      </c>
      <c r="K20" s="32" t="inlineStr">
        <is>
          <t>腰部</t>
        </is>
      </c>
      <c r="L20" s="32" t="n">
        <v>63.7</v>
      </c>
      <c r="M20" s="32" t="n"/>
      <c r="N20" s="32" t="n"/>
      <c r="O20" s="32" t="n"/>
      <c r="P20" s="32" t="n">
        <v>588000</v>
      </c>
      <c r="Q20" s="32">
        <f>Z20*1.05</f>
        <v/>
      </c>
      <c r="R20" s="32" t="n">
        <v>9.99</v>
      </c>
      <c r="S20" s="18" t="inlineStr">
        <is>
          <t>视频</t>
        </is>
      </c>
      <c r="T20" s="46" t="n">
        <v>0.627</v>
      </c>
      <c r="U20" s="47" t="n">
        <v>0.25</v>
      </c>
      <c r="V20" s="47" t="n">
        <v>0.43</v>
      </c>
      <c r="W20" s="47" t="n">
        <v>0.13</v>
      </c>
      <c r="X20" s="47" t="n"/>
      <c r="Y20" s="47" t="n"/>
      <c r="Z20" s="32" t="n">
        <v>35000</v>
      </c>
      <c r="AA20" s="32" t="n">
        <v>59.52</v>
      </c>
      <c r="AB20" s="48" t="n">
        <v>2697</v>
      </c>
      <c r="AC20" s="32" t="n">
        <v>159</v>
      </c>
      <c r="AD20" s="32" t="n">
        <v>646</v>
      </c>
      <c r="AE20" s="20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</row>
    <row r="21" ht="37.15" customHeight="1" s="151">
      <c r="A21" s="18" t="n"/>
      <c r="B21" s="18" t="n"/>
      <c r="C21" s="18" t="n"/>
      <c r="D21" s="18" t="inlineStr">
        <is>
          <t>品牌</t>
        </is>
      </c>
      <c r="E21" s="32" t="inlineStr">
        <is>
          <t>以“美食做饭+生活解压”为特色，内容风格幽默犀利，能通过“反差感场景”打破家电推广的刻板印象。</t>
        </is>
      </c>
      <c r="F21" s="18" t="inlineStr">
        <is>
          <t>想退休的W</t>
        </is>
      </c>
      <c r="G21" s="18" t="inlineStr">
        <is>
          <t>https://www.xingtu.cn/ad/creator/author-homepage/douyin-video/7056697681633673254?market_track_id=5MSRLKT79NBF9NI0VRJU&amp;search_session_id=7605882072573870089&amp;possessStarId</t>
        </is>
      </c>
      <c r="H21" s="18" t="inlineStr">
        <is>
          <t>https://www.douyin.com/user/MS4wLjABAAAAGMRZ4QN-LI4wGhJlz6QYxBmj8wo9EV9ehqyzHZvon3DoJucSdZL6W2iIXsWGjl2i</t>
        </is>
      </c>
      <c r="I21" s="18" t="inlineStr">
        <is>
          <t>xtxdw2050</t>
        </is>
      </c>
      <c r="J21" s="18" t="inlineStr">
        <is>
          <t>美食</t>
        </is>
      </c>
      <c r="K21" s="18" t="inlineStr">
        <is>
          <t>腰部</t>
        </is>
      </c>
      <c r="L21" s="18" t="n">
        <v>100</v>
      </c>
      <c r="M21" s="18" t="n"/>
      <c r="N21" s="18" t="n"/>
      <c r="O21" s="18" t="n"/>
      <c r="P21" s="18" t="n">
        <v>340000</v>
      </c>
      <c r="Q21" s="18">
        <f>SUM(Z21*1.05)</f>
        <v/>
      </c>
      <c r="R21" s="20">
        <f>SUM(Z21/(AB21+AC21+AD21))</f>
        <v/>
      </c>
      <c r="S21" s="18" t="inlineStr">
        <is>
          <t>视频</t>
        </is>
      </c>
      <c r="T21" s="21" t="n">
        <v>0.5600000000000001</v>
      </c>
      <c r="U21" s="21" t="n">
        <v>0.38</v>
      </c>
      <c r="V21" s="21" t="n">
        <v>0.22</v>
      </c>
      <c r="W21" s="21" t="n">
        <v>0.05</v>
      </c>
      <c r="X21" s="21" t="n"/>
      <c r="Y21" s="21" t="n"/>
      <c r="Z21" s="18" t="n">
        <v>26000</v>
      </c>
      <c r="AA21" s="154">
        <f>SUM((Z21/P21)*1000)</f>
        <v/>
      </c>
      <c r="AB21" s="18" t="n">
        <v>5740</v>
      </c>
      <c r="AC21" s="18" t="n">
        <v>220</v>
      </c>
      <c r="AD21" s="18" t="n">
        <v>1431</v>
      </c>
      <c r="AE21" s="20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</row>
    <row r="22" ht="46.5" customHeight="1" s="151">
      <c r="A22" s="18" t="n"/>
      <c r="B22" s="18" t="n"/>
      <c r="C22" s="18" t="n"/>
      <c r="D22" s="18" t="inlineStr">
        <is>
          <t>品牌</t>
        </is>
      </c>
      <c r="E22" s="49" t="inlineStr">
        <is>
          <t>才貌双全的律政精英，调性好，高质生活，爱做饭爱自律，西装时尚型男，今年刚换了新房子，场景很漂亮，女粉多受众比较符合</t>
        </is>
      </c>
      <c r="F22" s="50" t="inlineStr">
        <is>
          <t>汪靖宗 律师</t>
        </is>
      </c>
      <c r="G22" s="51" t="inlineStr">
        <is>
          <t>https://xingtu.cn/ad/creator/author/douyin/6947639719861682212</t>
        </is>
      </c>
      <c r="H22" s="51" t="inlineStr">
        <is>
          <t>https://v.douyin.com/i59tPD8u/</t>
        </is>
      </c>
      <c r="I22" s="50" t="n">
        <v>99773901</v>
      </c>
      <c r="J22" s="50" t="inlineStr">
        <is>
          <t>独居男性生活</t>
        </is>
      </c>
      <c r="K22" s="18" t="inlineStr">
        <is>
          <t>腰部</t>
        </is>
      </c>
      <c r="L22" s="49" t="n">
        <v>57.1</v>
      </c>
      <c r="M22" s="49" t="n"/>
      <c r="N22" s="49" t="n"/>
      <c r="O22" s="50" t="n"/>
      <c r="P22" s="50" t="n">
        <v>1841000</v>
      </c>
      <c r="Q22" s="50" t="n">
        <v>60900</v>
      </c>
      <c r="R22" s="20">
        <f>SUM(Z22/(AB22+AC22+AD22))</f>
        <v/>
      </c>
      <c r="S22" s="50" t="inlineStr">
        <is>
          <t>视频</t>
        </is>
      </c>
      <c r="T22" s="52" t="n">
        <v>0.7393</v>
      </c>
      <c r="U22" s="52" t="n">
        <v>0.3771</v>
      </c>
      <c r="V22" s="52" t="n">
        <v>0.197</v>
      </c>
      <c r="W22" s="52" t="n">
        <v>0.0537</v>
      </c>
      <c r="X22" s="52" t="n"/>
      <c r="Y22" s="52" t="n"/>
      <c r="Z22" s="50" t="n">
        <v>58000</v>
      </c>
      <c r="AA22" s="154">
        <f>SUM((Z22/P22)*1000)</f>
        <v/>
      </c>
      <c r="AB22" s="50" t="n">
        <v>24000</v>
      </c>
      <c r="AC22" s="50" t="n">
        <v>727</v>
      </c>
      <c r="AD22" s="50" t="n">
        <v>794</v>
      </c>
      <c r="AE22" s="20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</row>
    <row r="23" ht="24.75" customHeight="1" s="151">
      <c r="A23" s="53" t="n"/>
      <c r="B23" s="53" t="n"/>
      <c r="C23" s="53" t="n"/>
      <c r="D23" s="53" t="inlineStr">
        <is>
          <t>电商</t>
        </is>
      </c>
      <c r="E23" s="54" t="inlineStr">
        <is>
          <t>专业测评博主，粉丝垂性较高，大家电测评经验丰富</t>
        </is>
      </c>
      <c r="F23" s="53" t="inlineStr">
        <is>
          <t>测评老狗</t>
        </is>
      </c>
      <c r="G23" s="53" t="inlineStr">
        <is>
          <t>https://www.xingtu.cn/ad/creator/author-homepage/douyin-video/7299303437693354022?market_track_id=5W4GPBJ2JJT2E799W4F4&amp;search_session_id=7551686984231141426&amp;possessStarId&amp;active_tab=content_performance&amp;active_module=.content-video-list-panel&amp;content_key_word=%E6%B5%8B%E8%AF%84%E8%80%81%E7%8B%97</t>
        </is>
      </c>
      <c r="H23" s="53" t="inlineStr">
        <is>
          <t>https://www.douyin.com/user/MS4wLjABAAAA_1uM9bextDP_cjub5FDnHh-A-7qvt_nKvQ-QShfxEQ8pvWd4C6tEXMR9G4UhcZZA</t>
        </is>
      </c>
      <c r="I23" s="53" t="inlineStr">
        <is>
          <t>tansuoshadia</t>
        </is>
      </c>
      <c r="J23" s="53" t="inlineStr">
        <is>
          <t>家装测评</t>
        </is>
      </c>
      <c r="K23" s="53" t="inlineStr">
        <is>
          <t>腰部</t>
        </is>
      </c>
      <c r="L23" s="53" t="n">
        <v>68</v>
      </c>
      <c r="M23" s="53" t="n"/>
      <c r="N23" s="53" t="n"/>
      <c r="O23" s="53" t="n"/>
      <c r="P23" s="53" t="n">
        <v>980000</v>
      </c>
      <c r="Q23" s="53">
        <f>Z23*1.05</f>
        <v/>
      </c>
      <c r="R23" s="55">
        <f>Q23/(AB23+AC23+AD23)</f>
        <v/>
      </c>
      <c r="S23" s="53" t="inlineStr">
        <is>
          <t>视频</t>
        </is>
      </c>
      <c r="T23" s="56" t="n">
        <v>0.75</v>
      </c>
      <c r="U23" s="56" t="n">
        <v>0.36</v>
      </c>
      <c r="V23" s="56" t="n">
        <v>0.42</v>
      </c>
      <c r="W23" s="56" t="n">
        <v>0.04</v>
      </c>
      <c r="X23" s="56" t="n"/>
      <c r="Y23" s="56" t="n"/>
      <c r="Z23" s="53" t="n">
        <v>35000</v>
      </c>
      <c r="AA23" s="55">
        <f>Q23/P23*1000</f>
        <v/>
      </c>
      <c r="AB23" s="53" t="n">
        <v>14000</v>
      </c>
      <c r="AC23" s="53" t="n">
        <v>200</v>
      </c>
      <c r="AD23" s="53" t="n">
        <v>260</v>
      </c>
      <c r="AE23" s="55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7" t="n"/>
      <c r="AR23" s="57" t="n"/>
    </row>
    <row r="24" ht="49.5" customHeight="1" s="151">
      <c r="A24" s="18" t="n"/>
      <c r="B24" s="18" t="n"/>
      <c r="C24" s="18" t="n"/>
      <c r="D24" s="18" t="inlineStr">
        <is>
          <t>电商</t>
        </is>
      </c>
      <c r="E24" s="32" t="inlineStr">
        <is>
          <t>擅长家电测评与改造。适合深度拆解洗碗机参数（如水压、烘干技术），用通俗语言解析“中式重油污清洗效果”，建立专业可信度。</t>
        </is>
      </c>
      <c r="F24" s="18" t="inlineStr">
        <is>
          <t>懒叔带你品</t>
        </is>
      </c>
      <c r="G24" s="18" t="inlineStr">
        <is>
          <t>https://www.xingtu.cn/ad/creator/author-homepage/douyin-video/6870165875882721288?market_track_id=28IV43G9Y3MLDF90H43F&amp;search_session_id=7605449129901080603&amp;possessStarId</t>
        </is>
      </c>
      <c r="H24" s="18" t="inlineStr">
        <is>
          <t>https://www.douyin.com/user/MS4wLjABAAAAHEZvl70FPnX_9i3jFHyJUQcIer7Hz2124cXXeOlxAgs</t>
        </is>
      </c>
      <c r="I24" s="18" t="inlineStr">
        <is>
          <t>wonghousiI</t>
        </is>
      </c>
      <c r="J24" s="18" t="inlineStr">
        <is>
          <t>家电测评</t>
        </is>
      </c>
      <c r="K24" s="18" t="inlineStr">
        <is>
          <t>尾部</t>
        </is>
      </c>
      <c r="L24" s="18" t="n">
        <v>30.3</v>
      </c>
      <c r="M24" s="18" t="n"/>
      <c r="N24" s="18" t="n"/>
      <c r="O24" s="18" t="n"/>
      <c r="P24" s="18" t="n">
        <v>669000</v>
      </c>
      <c r="Q24" s="18">
        <f>SUM(Z24*1.05)</f>
        <v/>
      </c>
      <c r="R24" s="20">
        <f>SUM(Z24/(AB24+AC24+AD24))</f>
        <v/>
      </c>
      <c r="S24" s="18" t="inlineStr">
        <is>
          <t>视频</t>
        </is>
      </c>
      <c r="T24" s="21" t="n">
        <v>0.3</v>
      </c>
      <c r="U24" s="21" t="n">
        <v>0.32</v>
      </c>
      <c r="V24" s="21" t="n">
        <v>0.37</v>
      </c>
      <c r="W24" s="21" t="n">
        <v>0.05</v>
      </c>
      <c r="X24" s="21" t="n"/>
      <c r="Y24" s="21" t="n"/>
      <c r="Z24" s="18" t="n">
        <v>24800</v>
      </c>
      <c r="AA24" s="154">
        <f>SUM((Z24/P24)*1000)</f>
        <v/>
      </c>
      <c r="AB24" s="18" t="n">
        <v>11000</v>
      </c>
      <c r="AC24" s="18" t="n">
        <v>150</v>
      </c>
      <c r="AD24" s="18" t="n">
        <v>98</v>
      </c>
      <c r="AE24" s="20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</row>
    <row r="25">
      <c r="A25" s="18" t="n"/>
      <c r="B25" s="18" t="n"/>
      <c r="C25" s="18" t="n"/>
      <c r="D25" s="18" t="inlineStr">
        <is>
          <t>电商</t>
        </is>
      </c>
      <c r="E25" s="32" t="inlineStr">
        <is>
          <t xml:space="preserve">聚焦产品测评 干货型博主 </t>
        </is>
      </c>
      <c r="F25" s="18" t="inlineStr">
        <is>
          <t>孙扒皮</t>
        </is>
      </c>
      <c r="G25" s="18" t="inlineStr">
        <is>
          <t>https://www.xingtu.cn/ad/creator/author-homepage/douyin-video/6795431243358928903?market_track_id=23A7DS8IV3VZ3BZD3ORA&amp;search_session_id=7605567873494908978&amp;possessStarId</t>
        </is>
      </c>
      <c r="H25" s="18" t="inlineStr">
        <is>
          <t>https://www.douyin.com/user/MS4wLjABAAAAst53hCwDJvgLvx0QuB5nt9Ev23U_06ghD9oYzN5YIx8</t>
        </is>
      </c>
      <c r="I25" s="18" t="inlineStr">
        <is>
          <t>SBP999</t>
        </is>
      </c>
      <c r="J25" s="18" t="inlineStr">
        <is>
          <t>家电测评</t>
        </is>
      </c>
      <c r="K25" s="18" t="inlineStr">
        <is>
          <t>肩部</t>
        </is>
      </c>
      <c r="L25" s="18" t="n">
        <v>274</v>
      </c>
      <c r="M25" s="18" t="n"/>
      <c r="N25" s="18" t="n"/>
      <c r="O25" s="18" t="n"/>
      <c r="P25" s="18" t="n">
        <v>1500000</v>
      </c>
      <c r="Q25" s="18">
        <f>Z25*1.05</f>
        <v/>
      </c>
      <c r="R25" s="20">
        <f>SUM(Z25/(AB25+AC25+AD25))</f>
        <v/>
      </c>
      <c r="S25" s="18" t="inlineStr">
        <is>
          <t>视频</t>
        </is>
      </c>
      <c r="T25" s="21" t="n">
        <v>0.31</v>
      </c>
      <c r="U25" s="21" t="n">
        <v>0.28</v>
      </c>
      <c r="V25" s="21" t="n">
        <v>0.43</v>
      </c>
      <c r="W25" s="21" t="n">
        <v>0.08</v>
      </c>
      <c r="X25" s="21" t="n"/>
      <c r="Y25" s="21" t="n"/>
      <c r="Z25" s="18" t="n">
        <v>56800</v>
      </c>
      <c r="AA25" s="154">
        <f>SUM((Z25/P25)*1000)</f>
        <v/>
      </c>
      <c r="AB25" s="18" t="n">
        <v>30000</v>
      </c>
      <c r="AC25" s="18" t="n">
        <v>200</v>
      </c>
      <c r="AD25" s="18" t="n">
        <v>1500</v>
      </c>
      <c r="AE25" s="20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</row>
    <row r="26" ht="37.15" customHeight="1" s="151">
      <c r="A26" s="18" t="n"/>
      <c r="B26" s="18" t="n"/>
      <c r="C26" s="18" t="n"/>
      <c r="D26" s="18" t="inlineStr">
        <is>
          <t>电商</t>
        </is>
      </c>
      <c r="E26" s="32" t="inlineStr">
        <is>
          <t>专注真实家装改造，厨房内容实用接地气，粉丝信任度高，适合实景案例种草。</t>
        </is>
      </c>
      <c r="F26" s="18" t="inlineStr">
        <is>
          <t>千斤斤的家装日记</t>
        </is>
      </c>
      <c r="G26" s="44" t="inlineStr">
        <is>
          <t>https://www.xingtu.cn/ad/creator/author/douyin/7346524774392135706/1?marketType=&amp;btm_ppre=a0.b0.c0.d0&amp;btm_pre=a4738.b27311.c0.author-card&amp;btm_show_id=d06bfb35-b92e-4036-be94-128d3a1be541</t>
        </is>
      </c>
      <c r="H26" s="18" t="inlineStr">
        <is>
          <t>https://www.douyin.com/user/MS4wLjABAAAArxL0BSEqY3kbcD7CYFoRZ9fZnGSXxsW3arUEmhRE264</t>
        </is>
      </c>
      <c r="I26" s="18" t="inlineStr">
        <is>
          <t>QianJinJin8888</t>
        </is>
      </c>
      <c r="J26" s="18" t="inlineStr">
        <is>
          <t>家居生活</t>
        </is>
      </c>
      <c r="K26" s="18" t="inlineStr">
        <is>
          <t>腰部</t>
        </is>
      </c>
      <c r="L26" s="18" t="n">
        <v>187.7</v>
      </c>
      <c r="M26" s="18" t="n"/>
      <c r="N26" s="18" t="n"/>
      <c r="O26" s="18" t="n"/>
      <c r="P26" s="18" t="n">
        <v>261000</v>
      </c>
      <c r="Q26" s="18">
        <f>Z26*1.05</f>
        <v/>
      </c>
      <c r="R26" s="18" t="n">
        <v>3.8</v>
      </c>
      <c r="S26" s="18" t="inlineStr">
        <is>
          <t>视频</t>
        </is>
      </c>
      <c r="T26" s="35" t="n">
        <v>0.5600000000000001</v>
      </c>
      <c r="U26" s="35" t="n">
        <v>0.13</v>
      </c>
      <c r="V26" s="35" t="n">
        <v>0.45</v>
      </c>
      <c r="W26" s="35" t="n">
        <v>0.1</v>
      </c>
      <c r="X26" s="35" t="n"/>
      <c r="Y26" s="35" t="n"/>
      <c r="Z26" s="18" t="n">
        <v>35000</v>
      </c>
      <c r="AA26" s="18" t="n">
        <v>69.90000000000001</v>
      </c>
      <c r="AB26" s="18" t="n">
        <v>32000</v>
      </c>
      <c r="AC26" s="18" t="n">
        <v>270</v>
      </c>
      <c r="AD26" s="18" t="n">
        <v>510</v>
      </c>
      <c r="AE26" s="20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</row>
    <row r="27" ht="37.15" customHeight="1" s="151">
      <c r="A27" s="18" t="n"/>
      <c r="B27" s="18" t="n"/>
      <c r="C27" s="18" t="n"/>
      <c r="D27" s="18" t="inlineStr">
        <is>
          <t>电商</t>
        </is>
      </c>
      <c r="E27" s="32" t="inlineStr">
        <is>
          <t>治愈系宅家生活博主，厨房日常场景感强，软性植入自然，易打动年轻家庭。</t>
        </is>
      </c>
      <c r="F27" s="18" t="inlineStr">
        <is>
          <t>热九的宅家日记</t>
        </is>
      </c>
      <c r="G27" s="44" t="inlineStr">
        <is>
          <t>https://www.xingtu.cn/ad/creator/author/douyin/7402836723379470373/1?marketType=&amp;btm_ppre=a0.b0.c0.d0&amp;btm_pre=a4738.b27311.c0.author-card&amp;btm_show_id=d06bfb35-b92e-4036-be94-128d3a1be541</t>
        </is>
      </c>
      <c r="H27" s="18" t="inlineStr">
        <is>
          <t>https://www.douyin.com/user/MS4wLjABAAAAlVRAIx5eEEh9C-T760TYtgItJlYm3gjuZz68l8LC28KukBXOUR5uqdM0ngQ1I7_E</t>
        </is>
      </c>
      <c r="I27" s="18" t="n">
        <v>68898530827</v>
      </c>
      <c r="J27" s="18" t="inlineStr">
        <is>
          <t>家居生活</t>
        </is>
      </c>
      <c r="K27" s="18" t="inlineStr">
        <is>
          <t>腰部</t>
        </is>
      </c>
      <c r="L27" s="18" t="n">
        <v>108.4</v>
      </c>
      <c r="M27" s="18" t="n"/>
      <c r="N27" s="18" t="n"/>
      <c r="O27" s="18" t="n"/>
      <c r="P27" s="18" t="n">
        <v>504000</v>
      </c>
      <c r="Q27" s="18">
        <f>Z27*1.05</f>
        <v/>
      </c>
      <c r="R27" s="18" t="n">
        <v>3.8</v>
      </c>
      <c r="S27" s="18" t="inlineStr">
        <is>
          <t>视频</t>
        </is>
      </c>
      <c r="T27" s="35" t="n">
        <v>0.57</v>
      </c>
      <c r="U27" s="35" t="n">
        <v>0.14</v>
      </c>
      <c r="V27" s="35" t="n">
        <v>0.42</v>
      </c>
      <c r="W27" s="35" t="n">
        <v>0.11</v>
      </c>
      <c r="X27" s="35" t="n"/>
      <c r="Y27" s="35" t="n"/>
      <c r="Z27" s="18" t="n">
        <v>25000</v>
      </c>
      <c r="AA27" s="18" t="n">
        <v>229.5</v>
      </c>
      <c r="AB27" s="18" t="n">
        <v>17000</v>
      </c>
      <c r="AC27" s="18" t="n">
        <v>216</v>
      </c>
      <c r="AD27" s="18" t="n">
        <v>405</v>
      </c>
      <c r="AE27" s="20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</row>
    <row r="28" ht="37.15" customHeight="1" s="151">
      <c r="A28" s="53" t="n"/>
      <c r="B28" s="53" t="n"/>
      <c r="C28" s="53" t="n"/>
      <c r="D28" s="53" t="inlineStr">
        <is>
          <t>电商</t>
        </is>
      </c>
      <c r="E28" s="54" t="inlineStr">
        <is>
          <t>垂直家电测评账号，专业硬核，能从技术性能为老板油烟机做权威背书。</t>
        </is>
      </c>
      <c r="F28" s="53" t="inlineStr">
        <is>
          <t>家电进化论</t>
        </is>
      </c>
      <c r="G28" s="58" t="inlineStr">
        <is>
          <t>https://www.xingtu.cn/ad/creator/author/douyin/6826619167102205959/1?btm_ppre=a0.b0.c0.d0&amp;btm_pre=a4738.b27311.c0.author-card&amp;btm_show_id=089b2a17-f6f4-4103-84f7-6bda5e1c12e0</t>
        </is>
      </c>
      <c r="H28" s="53" t="inlineStr">
        <is>
          <t>https://www.douyin.com/user/MS4wLjABAAAA_gBK-ZwbzJaBiimasLqFsM9X4t0u5prBW2XI_YbYPkcY3VeT0-2JRtiu7VkJZoQs</t>
        </is>
      </c>
      <c r="I28" s="53" t="inlineStr">
        <is>
          <t>SJY080</t>
        </is>
      </c>
      <c r="J28" s="53" t="inlineStr">
        <is>
          <t>家电测评</t>
        </is>
      </c>
      <c r="K28" s="53" t="inlineStr">
        <is>
          <t>腰部</t>
        </is>
      </c>
      <c r="L28" s="53" t="n">
        <v>56.7</v>
      </c>
      <c r="M28" s="53" t="n"/>
      <c r="N28" s="53" t="n"/>
      <c r="O28" s="53" t="n"/>
      <c r="P28" s="53" t="n">
        <v>331000</v>
      </c>
      <c r="Q28" s="53">
        <f>Z28*1.05</f>
        <v/>
      </c>
      <c r="R28" s="53" t="n">
        <v>5.5</v>
      </c>
      <c r="S28" s="53" t="inlineStr">
        <is>
          <t>视频</t>
        </is>
      </c>
      <c r="T28" s="59" t="n">
        <v>0.51</v>
      </c>
      <c r="U28" s="59" t="n">
        <v>0.05</v>
      </c>
      <c r="V28" s="59" t="n">
        <v>0.51</v>
      </c>
      <c r="W28" s="59" t="n">
        <v>0.19</v>
      </c>
      <c r="X28" s="59" t="n"/>
      <c r="Y28" s="59" t="n"/>
      <c r="Z28" s="53" t="n">
        <v>38000</v>
      </c>
      <c r="AA28" s="53" t="n">
        <v>104.4</v>
      </c>
      <c r="AB28" s="53" t="n">
        <v>22000</v>
      </c>
      <c r="AC28" s="53" t="n">
        <v>314</v>
      </c>
      <c r="AD28" s="53" t="n">
        <v>555</v>
      </c>
      <c r="AE28" s="55" t="n"/>
      <c r="AF28" s="53" t="n"/>
      <c r="AG28" s="53" t="n"/>
      <c r="AH28" s="53" t="n"/>
      <c r="AI28" s="53" t="n"/>
      <c r="AJ28" s="53" t="n"/>
      <c r="AK28" s="53" t="n"/>
      <c r="AL28" s="53" t="n"/>
      <c r="AM28" s="53" t="n"/>
      <c r="AN28" s="53" t="n"/>
      <c r="AO28" s="53" t="n"/>
      <c r="AP28" s="53" t="n"/>
      <c r="AQ28" s="57" t="n"/>
      <c r="AR28" s="57" t="n"/>
    </row>
    <row r="29" ht="37.15" customHeight="1" s="151">
      <c r="A29" s="18" t="n"/>
      <c r="B29" s="18" t="n"/>
      <c r="C29" s="18" t="n"/>
      <c r="D29" s="18" t="inlineStr">
        <is>
          <t>电商</t>
        </is>
      </c>
      <c r="E29" s="32" t="inlineStr">
        <is>
          <t>实测型家电博主，风格直白真实，用实测效果打消用户选购顾虑，转化力强。</t>
        </is>
      </c>
      <c r="F29" s="18" t="inlineStr">
        <is>
          <t>盟主帮你测</t>
        </is>
      </c>
      <c r="G29" s="44" t="inlineStr">
        <is>
          <t>https://www.xingtu.cn/ad/creator/author/douyin/7233312685742358586/1?btm_ppre=a0.b0.c0.d0&amp;btm_pre=a4738.b27311.c0.author-card&amp;btm_show_id=3c0a7dee-95cd-4952-9994-ce5f968043c7</t>
        </is>
      </c>
      <c r="H29" s="18" t="inlineStr">
        <is>
          <t>https://www.douyin.com/user/MS4wLjABAAAA1wy_xe0j9NsoN04EQ05GMFDfbZpiXA12RPyDEIPWqG4</t>
        </is>
      </c>
      <c r="I29" s="18" t="n">
        <v>280126694</v>
      </c>
      <c r="J29" s="18" t="inlineStr">
        <is>
          <t>家电测评</t>
        </is>
      </c>
      <c r="K29" s="18" t="inlineStr">
        <is>
          <t>腰部</t>
        </is>
      </c>
      <c r="L29" s="18" t="n">
        <v>72.59999999999999</v>
      </c>
      <c r="M29" s="18" t="n"/>
      <c r="N29" s="18" t="n"/>
      <c r="O29" s="18" t="n"/>
      <c r="P29" s="18" t="n">
        <v>696000</v>
      </c>
      <c r="Q29" s="18">
        <f>Z29*1.05</f>
        <v/>
      </c>
      <c r="R29" s="18" t="n">
        <v>1.7</v>
      </c>
      <c r="S29" s="18" t="inlineStr">
        <is>
          <t>视频</t>
        </is>
      </c>
      <c r="T29" s="35" t="n">
        <v>0.43</v>
      </c>
      <c r="U29" s="35" t="n">
        <v>0.08</v>
      </c>
      <c r="V29" s="35" t="n">
        <v>0.43</v>
      </c>
      <c r="W29" s="35" t="n">
        <v>0.19</v>
      </c>
      <c r="X29" s="35" t="n"/>
      <c r="Y29" s="35" t="n"/>
      <c r="Z29" s="18" t="n">
        <v>32800</v>
      </c>
      <c r="AA29" s="18" t="n">
        <v>102.8</v>
      </c>
      <c r="AB29" s="18" t="n">
        <v>24000</v>
      </c>
      <c r="AC29" s="18" t="n">
        <v>206</v>
      </c>
      <c r="AD29" s="18" t="n">
        <v>334</v>
      </c>
      <c r="AE29" s="20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</row>
    <row r="30" ht="37.15" customHeight="1" s="151">
      <c r="A30" s="18" t="n"/>
      <c r="B30" s="18" t="n"/>
      <c r="C30" s="18" t="n"/>
      <c r="D30" s="18" t="inlineStr">
        <is>
          <t>品牌</t>
        </is>
      </c>
      <c r="E30" s="32" t="inlineStr">
        <is>
          <t>侧重生活品质分享，可精准触达追求高效净烟与智能操作的用户群体。</t>
        </is>
      </c>
      <c r="F30" s="18" t="inlineStr">
        <is>
          <t>七公子的家</t>
        </is>
      </c>
      <c r="G30" s="18" t="inlineStr">
        <is>
          <t>https://www.xingtu.cn/ad/creator/author-homepage/douyin-video/7176954671339143205</t>
        </is>
      </c>
      <c r="H30" s="36" t="inlineStr">
        <is>
          <t>https://www.douyin.com/user/MS4wLjABAAAA0zbdjp55k_xPO_WFHME8puEMWr_muIxryU0cQWkeWfE</t>
        </is>
      </c>
      <c r="I30" s="18" t="n">
        <v>73251364200</v>
      </c>
      <c r="J30" s="32" t="inlineStr">
        <is>
          <t>家居科技</t>
        </is>
      </c>
      <c r="K30" s="32" t="inlineStr">
        <is>
          <t>尾部</t>
        </is>
      </c>
      <c r="L30" s="18" t="n">
        <v>21.9</v>
      </c>
      <c r="M30" s="18" t="n"/>
      <c r="N30" s="18" t="n"/>
      <c r="O30" s="18" t="n"/>
      <c r="P30" s="18" t="n">
        <v>352858</v>
      </c>
      <c r="Q30" s="18" t="n">
        <v>23940</v>
      </c>
      <c r="R30" s="32" t="n">
        <v>3.77</v>
      </c>
      <c r="S30" s="18" t="inlineStr">
        <is>
          <t>视频</t>
        </is>
      </c>
      <c r="T30" s="35" t="n">
        <v>0.7291</v>
      </c>
      <c r="U30" s="35" t="n">
        <v>0.1606</v>
      </c>
      <c r="V30" s="35" t="n">
        <v>0.4296</v>
      </c>
      <c r="W30" s="35" t="n">
        <v>0.1336</v>
      </c>
      <c r="X30" s="35" t="n"/>
      <c r="Y30" s="35" t="n"/>
      <c r="Z30" s="18" t="n">
        <v>22800</v>
      </c>
      <c r="AA30" s="32" t="n">
        <v>64.62</v>
      </c>
      <c r="AB30" s="18" t="n">
        <v>4997</v>
      </c>
      <c r="AC30" s="18" t="n">
        <v>214</v>
      </c>
      <c r="AD30" s="18" t="n">
        <v>830</v>
      </c>
      <c r="AE30" s="20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</row>
    <row r="31" ht="24.75" customHeight="1" s="151">
      <c r="A31" s="18" t="n"/>
      <c r="B31" s="18" t="n"/>
      <c r="C31" s="18" t="n"/>
      <c r="D31" s="18" t="inlineStr">
        <is>
          <t>品牌</t>
        </is>
      </c>
      <c r="E31" s="32" t="inlineStr">
        <is>
          <t>画面清新有格调，能凸显老板油烟机在美观与性能上的双重优势。</t>
        </is>
      </c>
      <c r="F31" s="18" t="inlineStr">
        <is>
          <t>我和我的猫都很想你℡</t>
        </is>
      </c>
      <c r="G31" s="18" t="inlineStr">
        <is>
          <t>https://www.xingtu.cn/ad/creator/author-homepage/douyin-video/6629663844786503688</t>
        </is>
      </c>
      <c r="H31" s="36" t="inlineStr">
        <is>
          <t>https://www.douyin.com/user/MS4wLjABAAAAGMJDEhNA2KhnLNCgnWNGjMjKXbnaFCg1MRhsAgxVB5U</t>
        </is>
      </c>
      <c r="I31" s="18" t="inlineStr">
        <is>
          <t>wohewodemao1991</t>
        </is>
      </c>
      <c r="J31" s="32" t="inlineStr">
        <is>
          <t>家居科技</t>
        </is>
      </c>
      <c r="K31" s="32" t="inlineStr">
        <is>
          <t>尾部</t>
        </is>
      </c>
      <c r="L31" s="18" t="n">
        <v>21.86</v>
      </c>
      <c r="M31" s="18" t="n"/>
      <c r="N31" s="18" t="n"/>
      <c r="O31" s="18" t="n"/>
      <c r="P31" s="18" t="n">
        <v>97527</v>
      </c>
      <c r="Q31" s="18" t="n">
        <v>8400</v>
      </c>
      <c r="R31" s="32" t="n">
        <v>2.73</v>
      </c>
      <c r="S31" s="18" t="inlineStr">
        <is>
          <t>视频</t>
        </is>
      </c>
      <c r="T31" s="35" t="n">
        <v>0.5359</v>
      </c>
      <c r="U31" s="35" t="n">
        <v>0.4366</v>
      </c>
      <c r="V31" s="35" t="n">
        <v>0.3486</v>
      </c>
      <c r="W31" s="35" t="n">
        <v>0.0473</v>
      </c>
      <c r="X31" s="35" t="n"/>
      <c r="Y31" s="35" t="n"/>
      <c r="Z31" s="18" t="n">
        <v>8000</v>
      </c>
      <c r="AA31" s="32" t="n">
        <v>82.03</v>
      </c>
      <c r="AB31" s="18" t="n">
        <v>2436</v>
      </c>
      <c r="AC31" s="18" t="n">
        <v>245</v>
      </c>
      <c r="AD31" s="18" t="n">
        <v>247</v>
      </c>
      <c r="AE31" s="20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</row>
    <row r="32" ht="37.15" customHeight="1" s="151">
      <c r="A32" s="18" t="n"/>
      <c r="B32" s="18" t="n"/>
      <c r="C32" s="18" t="n"/>
      <c r="D32" s="18" t="inlineStr">
        <is>
          <t>电商</t>
        </is>
      </c>
      <c r="E32" s="32" t="inlineStr">
        <is>
          <t>内容真实接地气，擅长生活化种草，能强化老板油烟机省心好用的产品认知。</t>
        </is>
      </c>
      <c r="F32" s="18" t="inlineStr">
        <is>
          <t>妮子的家</t>
        </is>
      </c>
      <c r="G32" s="18" t="inlineStr">
        <is>
          <t>https://www.xingtu.cn/ad/creator/author-homepage/douyin-video/7097190289210949646</t>
        </is>
      </c>
      <c r="H32" s="18" t="inlineStr">
        <is>
          <t>https://www.douyin.com/user/MS4wLjABAAAA6BqFdHOUc8e18q8Q34HN9fecXBHAqAfBPH-EsDnU2HsOSRBaeCJI_tbCEfcnWiUv</t>
        </is>
      </c>
      <c r="I32" s="18" t="n">
        <v>83761496528</v>
      </c>
      <c r="J32" s="32" t="inlineStr">
        <is>
          <t>家居科技</t>
        </is>
      </c>
      <c r="K32" s="32" t="inlineStr">
        <is>
          <t>尾部</t>
        </is>
      </c>
      <c r="L32" s="18" t="n">
        <v>24.34</v>
      </c>
      <c r="M32" s="18" t="n"/>
      <c r="N32" s="18" t="n"/>
      <c r="O32" s="18" t="n"/>
      <c r="P32" s="18" t="n">
        <v>615998</v>
      </c>
      <c r="Q32" s="18" t="n">
        <v>27090</v>
      </c>
      <c r="R32" s="32" t="n">
        <v>4.16</v>
      </c>
      <c r="S32" s="18" t="inlineStr">
        <is>
          <t>视频</t>
        </is>
      </c>
      <c r="T32" s="35" t="n">
        <v>0.5697</v>
      </c>
      <c r="U32" s="35" t="n">
        <v>0.1935</v>
      </c>
      <c r="V32" s="35" t="n">
        <v>0.5381</v>
      </c>
      <c r="W32" s="35" t="n">
        <v>0.1324</v>
      </c>
      <c r="X32" s="35" t="n"/>
      <c r="Y32" s="35" t="n"/>
      <c r="Z32" s="18" t="n">
        <v>25800</v>
      </c>
      <c r="AA32" s="32" t="n">
        <v>41.88</v>
      </c>
      <c r="AB32" s="18" t="n">
        <v>5224</v>
      </c>
      <c r="AC32" s="18" t="n">
        <v>594</v>
      </c>
      <c r="AD32" s="18" t="n">
        <v>381</v>
      </c>
      <c r="AE32" s="20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</row>
    <row r="33" ht="24.75" customHeight="1" s="151">
      <c r="A33" s="18" t="n"/>
      <c r="B33" s="18" t="n"/>
      <c r="C33" s="18" t="n"/>
      <c r="D33" s="18" t="inlineStr">
        <is>
          <t>电商</t>
        </is>
      </c>
      <c r="E33" s="32" t="inlineStr">
        <is>
          <t>硬核干货，用参数解决油烟倒灌痛点。</t>
        </is>
      </c>
      <c r="F33" s="32" t="inlineStr">
        <is>
          <t>一口的装修日记</t>
        </is>
      </c>
      <c r="G33" s="36" t="inlineStr">
        <is>
          <t>https://www.xingtu.cn/ad/creator/author/douyin/7035148598673145893</t>
        </is>
      </c>
      <c r="H33" s="18" t="inlineStr">
        <is>
          <t>https://www.douyin.com/user/MS4wLjABAAAAXsGCC7lQH6QEZlSFR0IMjIusmJ797ycDSJ7i2-xuNVI</t>
        </is>
      </c>
      <c r="I33" s="32" t="inlineStr">
        <is>
          <t>Yikou192</t>
        </is>
      </c>
      <c r="J33" s="32" t="inlineStr">
        <is>
          <t>家电测评</t>
        </is>
      </c>
      <c r="K33" s="32" t="inlineStr">
        <is>
          <t>腰部</t>
        </is>
      </c>
      <c r="L33" s="32" t="n">
        <v>100.7</v>
      </c>
      <c r="M33" s="32" t="n"/>
      <c r="N33" s="32" t="n"/>
      <c r="O33" s="32" t="n"/>
      <c r="P33" s="32" t="n">
        <v>1829000</v>
      </c>
      <c r="Q33" s="32">
        <f>Z33*1.05</f>
        <v/>
      </c>
      <c r="R33" s="32" t="n">
        <v>3.11</v>
      </c>
      <c r="S33" s="18" t="inlineStr">
        <is>
          <t>视频</t>
        </is>
      </c>
      <c r="T33" s="46" t="n">
        <v>0.471</v>
      </c>
      <c r="U33" s="47" t="n">
        <v>0.27</v>
      </c>
      <c r="V33" s="47" t="n">
        <v>0.44</v>
      </c>
      <c r="W33" s="47" t="n">
        <v>0.08</v>
      </c>
      <c r="X33" s="47" t="n"/>
      <c r="Y33" s="47" t="n"/>
      <c r="Z33" s="32" t="n">
        <v>49800</v>
      </c>
      <c r="AA33" s="32" t="n">
        <v>27.23</v>
      </c>
      <c r="AB33" s="32" t="n">
        <v>12000</v>
      </c>
      <c r="AC33" s="48" t="n">
        <v>1553</v>
      </c>
      <c r="AD33" s="48" t="n">
        <v>2457</v>
      </c>
      <c r="AE33" s="20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</row>
    <row r="34" ht="49.5" customHeight="1" s="151">
      <c r="A34" s="32" t="n"/>
      <c r="B34" s="32" t="n"/>
      <c r="C34" s="18" t="n"/>
      <c r="D34" s="18" t="inlineStr">
        <is>
          <t>品牌</t>
        </is>
      </c>
      <c r="E34" s="32" t="inlineStr">
        <is>
          <t>萌宠+居家日常，粉丝多为养宠家庭。突出洗碗机除菌功能对宠物餐具的清洁优势，拓展“人宠共居清洁方案”场景。</t>
        </is>
      </c>
      <c r="F34" s="18" t="inlineStr">
        <is>
          <t>猫哩三小郎</t>
        </is>
      </c>
      <c r="G34" s="18" t="inlineStr">
        <is>
          <t>https://www.xingtu.cn/ad/creator/author-homepage/douyin-video/6802195315425280008?market_track_id=I3AXFCO2FFOA5SYPCT78&amp;search_session_id=7605461670957154354&amp;possessStarId</t>
        </is>
      </c>
      <c r="H34" s="18" t="inlineStr">
        <is>
          <t>https://www.douyin.com/user/MS4wLjABAAAAlSz3mcmyAGG0yhJn26N7Q51TJVEmSIt5wFl8dJbQBNgbOYDsnizQJ15y0-ub0MBe</t>
        </is>
      </c>
      <c r="I34" s="18" t="inlineStr">
        <is>
          <t>MLsanxiaolang</t>
        </is>
      </c>
      <c r="J34" s="18" t="inlineStr">
        <is>
          <t>家居</t>
        </is>
      </c>
      <c r="K34" s="18" t="inlineStr">
        <is>
          <t>尾部</t>
        </is>
      </c>
      <c r="L34" s="18" t="n">
        <v>34.7</v>
      </c>
      <c r="M34" s="18" t="n"/>
      <c r="N34" s="18" t="n"/>
      <c r="O34" s="18" t="n"/>
      <c r="P34" s="18" t="n">
        <v>508000</v>
      </c>
      <c r="Q34" s="18">
        <f>SUM(Z34*1.05)</f>
        <v/>
      </c>
      <c r="R34" s="20">
        <f>SUM(Z34/(AB34+AC34+AD34))</f>
        <v/>
      </c>
      <c r="S34" s="18" t="inlineStr">
        <is>
          <t>视频</t>
        </is>
      </c>
      <c r="T34" s="21" t="n">
        <v>0.68</v>
      </c>
      <c r="U34" s="21" t="n">
        <v>0.34</v>
      </c>
      <c r="V34" s="21" t="n">
        <v>0.41</v>
      </c>
      <c r="W34" s="21" t="n">
        <v>0.04</v>
      </c>
      <c r="X34" s="21" t="n"/>
      <c r="Y34" s="21" t="n"/>
      <c r="Z34" s="18" t="n">
        <v>24000</v>
      </c>
      <c r="AA34" s="154">
        <f>SUM((Z34/P34)*1000)</f>
        <v/>
      </c>
      <c r="AB34" s="18" t="n">
        <v>4523</v>
      </c>
      <c r="AC34" s="18" t="n">
        <v>219</v>
      </c>
      <c r="AD34" s="18" t="n">
        <v>458</v>
      </c>
      <c r="AE34" s="20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</row>
    <row r="35" ht="46" customHeight="1" s="151">
      <c r="A35" s="60" t="n"/>
      <c r="B35" s="60" t="inlineStr">
        <is>
          <t>以下为3.2最新提报</t>
        </is>
      </c>
      <c r="E35" s="61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2" t="n"/>
      <c r="S35" s="60" t="n"/>
      <c r="T35" s="63" t="n"/>
      <c r="U35" s="63" t="n"/>
      <c r="V35" s="63" t="n"/>
      <c r="W35" s="63" t="n"/>
      <c r="X35" s="63" t="n"/>
      <c r="Y35" s="63" t="n"/>
      <c r="Z35" s="60" t="n"/>
      <c r="AA35" s="159" t="n"/>
      <c r="AB35" s="60" t="n"/>
      <c r="AC35" s="60" t="n"/>
      <c r="AD35" s="60" t="n"/>
      <c r="AE35" s="62" t="n"/>
      <c r="AF35" s="60" t="n"/>
      <c r="AG35" s="60" t="n"/>
      <c r="AH35" s="60" t="n"/>
      <c r="AI35" s="60" t="n"/>
      <c r="AJ35" s="60" t="n"/>
      <c r="AK35" s="60" t="n"/>
      <c r="AL35" s="60" t="n"/>
      <c r="AM35" s="60" t="n"/>
      <c r="AN35" s="60" t="n"/>
      <c r="AO35" s="60" t="n"/>
      <c r="AP35" s="60" t="n"/>
    </row>
    <row r="36">
      <c r="A36" s="18" t="n"/>
      <c r="B36" s="18" t="inlineStr">
        <is>
          <t>ok</t>
        </is>
      </c>
      <c r="C36" s="18" t="n"/>
      <c r="D36" s="18" t="inlineStr">
        <is>
          <t>电商</t>
        </is>
      </c>
      <c r="E36" s="19" t="inlineStr">
        <is>
          <t>通过给奶奶改造老房子，改造风格多以中式风格为主，让老人的房子也具有美感，在改造过程中传递治愈生活的理念。</t>
        </is>
      </c>
      <c r="F36" s="18" t="inlineStr">
        <is>
          <t>逃逃哥哥</t>
        </is>
      </c>
      <c r="G36" s="18" t="inlineStr">
        <is>
          <t>https://www.xingtu.cn/ad/creator/author-homepage/douyin-video/7004513676719816744?market_track_id=FLCBD4RXT5HYWEMG7UHR&amp;search_session_id=7611812381207265326&amp;possessStarId</t>
        </is>
      </c>
      <c r="H36" s="18" t="inlineStr">
        <is>
          <t>https://www.douyin.com/user/MS4wLjABAAAAfWs_3gUY6EKpOhbOFOLilwxIPW_JM4XKhPZPOA0ohD7JHVWhFyR_EGVIsQC910Ap</t>
        </is>
      </c>
      <c r="I36" s="18" t="n">
        <v>96372420697</v>
      </c>
      <c r="J36" s="18" t="inlineStr">
        <is>
          <t>家居</t>
        </is>
      </c>
      <c r="K36" s="18" t="inlineStr">
        <is>
          <t>腰部</t>
        </is>
      </c>
      <c r="L36" s="18" t="n">
        <v>58.5</v>
      </c>
      <c r="M36" s="18" t="inlineStr">
        <is>
          <t>20000-100000</t>
        </is>
      </c>
      <c r="N36" s="18" t="inlineStr">
        <is>
          <t>新锐白领
小镇青年
精致妈妈</t>
        </is>
      </c>
      <c r="O36" s="35" t="n">
        <v>0.5570000000000001</v>
      </c>
      <c r="P36" s="18" t="n">
        <v>890000</v>
      </c>
      <c r="Q36" s="18">
        <f>SUM(Z36*1.05)</f>
        <v/>
      </c>
      <c r="R36" s="20">
        <f>SUM(Z36/(AB36+AC36+AD36))</f>
        <v/>
      </c>
      <c r="S36" s="18" t="inlineStr">
        <is>
          <t>视频</t>
        </is>
      </c>
      <c r="T36" s="21" t="n">
        <v>0.5</v>
      </c>
      <c r="U36" s="21" t="n">
        <v>0.29</v>
      </c>
      <c r="V36" s="21" t="n">
        <v>0.53</v>
      </c>
      <c r="W36" s="21" t="n">
        <v>0.07000000000000001</v>
      </c>
      <c r="X36" s="21" t="n"/>
      <c r="Y36" s="21" t="n"/>
      <c r="Z36" s="18" t="n">
        <v>50000</v>
      </c>
      <c r="AA36" s="154">
        <f>SUM((Z36/P36)*1000)</f>
        <v/>
      </c>
      <c r="AB36" s="18" t="n">
        <v>10000</v>
      </c>
      <c r="AC36" s="18" t="n">
        <v>337</v>
      </c>
      <c r="AD36" s="18" t="n">
        <v>699</v>
      </c>
      <c r="AE36" s="20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</row>
    <row r="37">
      <c r="A37" s="18" t="n"/>
      <c r="B37" s="18" t="inlineStr">
        <is>
          <t>ok</t>
        </is>
      </c>
      <c r="C37" s="18" t="n"/>
      <c r="D37" s="18" t="inlineStr">
        <is>
          <t>电商</t>
        </is>
      </c>
      <c r="E37" s="19" t="inlineStr">
        <is>
          <t>做漂亮饭的高质量美食博主，粉丝画像契合</t>
        </is>
      </c>
      <c r="F37" s="18" t="inlineStr">
        <is>
          <t>莉莉吴的日常</t>
        </is>
      </c>
      <c r="G37" s="18" t="inlineStr">
        <is>
          <t>https://www.xingtu.cn/ad/creator/author-homepage/douyin-video/7246352677957337144?market_track_id=57AK8QJ7796S4R61FYUD&amp;search_session_id=7612533405930700826&amp;possessStarId</t>
        </is>
      </c>
      <c r="H37" s="18" t="inlineStr">
        <is>
          <t>https://www.douyin.com/user/MS4wLjABAAAAZFmYPgUHqqxk_luIC30MdKFhNUYPl0-R1RZrXi8ogf-46LoebLrUlVumhLo_aR03</t>
        </is>
      </c>
      <c r="I37" s="18" t="n">
        <v>23891573848</v>
      </c>
      <c r="J37" s="18" t="inlineStr">
        <is>
          <t>美食</t>
        </is>
      </c>
      <c r="K37" s="18" t="inlineStr">
        <is>
          <t>尾部</t>
        </is>
      </c>
      <c r="L37" s="18" t="n">
        <v>28.5</v>
      </c>
      <c r="M37" s="18" t="inlineStr">
        <is>
          <t>2000-20000</t>
        </is>
      </c>
      <c r="N37" s="18" t="inlineStr">
        <is>
          <t>新锐白领
小镇青年
Z世代</t>
        </is>
      </c>
      <c r="O37" s="35" t="n">
        <v>0.513</v>
      </c>
      <c r="P37" s="18" t="n">
        <v>423000</v>
      </c>
      <c r="Q37" s="18">
        <f>SUM(Z37*1.05)</f>
        <v/>
      </c>
      <c r="R37" s="20">
        <f>Z37/(AB37+AD37+AC37)</f>
        <v/>
      </c>
      <c r="S37" s="18" t="inlineStr">
        <is>
          <t>视频</t>
        </is>
      </c>
      <c r="T37" s="21" t="n">
        <v>0.65</v>
      </c>
      <c r="U37" s="21" t="n">
        <v>0.3</v>
      </c>
      <c r="V37" s="21" t="n">
        <v>0.33</v>
      </c>
      <c r="W37" s="21" t="n">
        <v>0.08</v>
      </c>
      <c r="X37" s="21" t="n"/>
      <c r="Y37" s="21" t="n"/>
      <c r="Z37" s="18" t="n">
        <v>15000</v>
      </c>
      <c r="AA37" s="154">
        <f>SUM((Z37/P37)*1000)</f>
        <v/>
      </c>
      <c r="AB37" s="18" t="n">
        <v>4177</v>
      </c>
      <c r="AC37" s="18" t="n">
        <v>105</v>
      </c>
      <c r="AD37" s="18" t="n">
        <v>598</v>
      </c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</row>
    <row r="38">
      <c r="A38" s="18" t="n"/>
      <c r="B38" s="18" t="inlineStr">
        <is>
          <t>ok</t>
        </is>
      </c>
      <c r="C38" s="18" t="n"/>
      <c r="D38" s="18" t="inlineStr">
        <is>
          <t>电商</t>
        </is>
      </c>
      <c r="E38" s="19" t="inlineStr">
        <is>
          <t>新锐白领占比高，A3数据非常好</t>
        </is>
      </c>
      <c r="F38" s="18" t="inlineStr">
        <is>
          <t>马子佳Steven</t>
        </is>
      </c>
      <c r="G38" s="18" t="inlineStr">
        <is>
          <t>https://www.xingtu.cn/ad/creator/author-homepage/douyin-video/6990087234833612808?market_track_id=57AK8QJ7796S4R61FYUD&amp;search_session_id=7612502818071134259&amp;possessStarId</t>
        </is>
      </c>
      <c r="H38" s="18" t="inlineStr">
        <is>
          <t>https://www.douyin.com/user/MS4wLjABAAAALo-dnnTtgS055trtiwIb9LIYw9NLekOf6orRrRvq0SE</t>
        </is>
      </c>
      <c r="I38" s="18" t="inlineStr">
        <is>
          <t>gyxx_233</t>
        </is>
      </c>
      <c r="J38" s="18" t="inlineStr">
        <is>
          <t>亲子</t>
        </is>
      </c>
      <c r="K38" s="18" t="inlineStr">
        <is>
          <t>腰部</t>
        </is>
      </c>
      <c r="L38" s="18" t="n">
        <v>150.2</v>
      </c>
      <c r="M38" s="18" t="inlineStr">
        <is>
          <t>20000-100000</t>
        </is>
      </c>
      <c r="N38" s="18" t="inlineStr">
        <is>
          <t>新锐白领
精致妈妈
资深中产</t>
        </is>
      </c>
      <c r="O38" s="35" t="n">
        <v>0.736</v>
      </c>
      <c r="P38" s="18" t="n">
        <v>1108000</v>
      </c>
      <c r="Q38" s="18">
        <f>SUM(Z38*1.05)</f>
        <v/>
      </c>
      <c r="R38" s="20">
        <f>Z38/(AB38+AD38+AC38)</f>
        <v/>
      </c>
      <c r="S38" s="18" t="inlineStr">
        <is>
          <t>视频</t>
        </is>
      </c>
      <c r="T38" s="21" t="n">
        <v>0.5600000000000001</v>
      </c>
      <c r="U38" s="21" t="n">
        <v>0.39</v>
      </c>
      <c r="V38" s="21" t="n">
        <v>0.33</v>
      </c>
      <c r="W38" s="21" t="n">
        <v>0.09</v>
      </c>
      <c r="X38" s="21" t="n"/>
      <c r="Y38" s="21" t="n"/>
      <c r="Z38" s="18" t="n">
        <v>59800</v>
      </c>
      <c r="AA38" s="154">
        <f>SUM((Z38/P38)*1000)</f>
        <v/>
      </c>
      <c r="AB38" s="18" t="n">
        <v>11000</v>
      </c>
      <c r="AC38" s="18" t="n">
        <v>300</v>
      </c>
      <c r="AD38" s="18" t="n">
        <v>695</v>
      </c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</row>
    <row r="39">
      <c r="A39" s="18" t="n"/>
      <c r="B39" s="18" t="inlineStr">
        <is>
          <t>ok</t>
        </is>
      </c>
      <c r="C39" s="18" t="n"/>
      <c r="D39" s="18" t="inlineStr">
        <is>
          <t>电商</t>
        </is>
      </c>
      <c r="E39" s="19" t="inlineStr">
        <is>
          <t xml:space="preserve">200平洋房生活热爱生活的独居男孩 智能家居 </t>
        </is>
      </c>
      <c r="F39" s="18" t="inlineStr">
        <is>
          <t>武發發</t>
        </is>
      </c>
      <c r="G39" s="18" t="inlineStr">
        <is>
          <t>https://www.xingtu.cn/ad/creator/author-homepage/douyin-video/6629723096418877454?market_track_id=57AK8QJ7796S4R61FYUD&amp;search_session_id=7612502745140183091&amp;possessStarId</t>
        </is>
      </c>
      <c r="H39" s="18" t="inlineStr">
        <is>
          <t>https://www.douyin.com/user/MS4wLjABAAAA8nfGYiyMxS0JSR2QQ9ohg51nWsgriMzhed2KkMZW4XA</t>
        </is>
      </c>
      <c r="I39" s="18" t="inlineStr">
        <is>
          <t>huyike7</t>
        </is>
      </c>
      <c r="J39" s="18" t="inlineStr">
        <is>
          <t>家居</t>
        </is>
      </c>
      <c r="K39" s="18" t="inlineStr">
        <is>
          <t>腰部</t>
        </is>
      </c>
      <c r="L39" s="18" t="n">
        <v>169.3</v>
      </c>
      <c r="M39" s="18" t="inlineStr">
        <is>
          <t>2000-20000</t>
        </is>
      </c>
      <c r="N39" s="18" t="inlineStr">
        <is>
          <t>小镇青年
新锐白领
都市妈妈</t>
        </is>
      </c>
      <c r="O39" s="35" t="n">
        <v>0.466</v>
      </c>
      <c r="P39" s="18" t="n">
        <v>885000</v>
      </c>
      <c r="Q39" s="18">
        <f>SUM(Z39*1.05)</f>
        <v/>
      </c>
      <c r="R39" s="20">
        <f>Z39/(AB39+AD39+AC39)</f>
        <v/>
      </c>
      <c r="S39" s="18" t="inlineStr">
        <is>
          <t>视频</t>
        </is>
      </c>
      <c r="T39" s="21" t="n">
        <v>0.71</v>
      </c>
      <c r="U39" s="21" t="n">
        <v>0.28</v>
      </c>
      <c r="V39" s="21" t="n">
        <v>0.46</v>
      </c>
      <c r="W39" s="21" t="n">
        <v>0.06</v>
      </c>
      <c r="X39" s="21" t="n"/>
      <c r="Y39" s="21" t="n"/>
      <c r="Z39" s="18" t="n">
        <v>49800</v>
      </c>
      <c r="AA39" s="154">
        <f>SUM((Z39/P39)*1000)</f>
        <v/>
      </c>
      <c r="AB39" s="18" t="n">
        <v>14000</v>
      </c>
      <c r="AC39" s="18" t="n">
        <v>331</v>
      </c>
      <c r="AD39" s="18" t="n">
        <v>217</v>
      </c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</row>
    <row r="40">
      <c r="A40" s="18" t="n"/>
      <c r="B40" s="18" t="inlineStr">
        <is>
          <t>ok</t>
        </is>
      </c>
      <c r="C40" s="18" t="n"/>
      <c r="D40" s="18" t="inlineStr">
        <is>
          <t>电商</t>
        </is>
      </c>
      <c r="E40" s="19" t="inlineStr">
        <is>
          <t>专业家居收纳设计师，从装修嵌入与空间规划角度，专业背书可信度高。</t>
        </is>
      </c>
      <c r="F40" s="18" t="inlineStr">
        <is>
          <t>真真真ing</t>
        </is>
      </c>
      <c r="G40" s="18" t="inlineStr">
        <is>
          <t>https://www.xingtu.cn/ad/creator/author-homepage/douyin-video/7149057923442802702?market_track_id=9K7OTRAQ24V81HJAUGHT&amp;search_session_id=7611489091637346350&amp;possessStarId</t>
        </is>
      </c>
      <c r="H40" s="18" t="inlineStr">
        <is>
          <t>https://www.douyin.com/user/MS4wLjABAAAA8j6DdRwjDfVLHr4ZtK7lQeVXOLclCBolX-grHNjRb1ZnXBXgmRbFCPCA-ScPWtWr</t>
        </is>
      </c>
      <c r="I40" s="18" t="n">
        <v>43443114927</v>
      </c>
      <c r="J40" s="18" t="inlineStr">
        <is>
          <t>家居</t>
        </is>
      </c>
      <c r="K40" s="18" t="inlineStr">
        <is>
          <t>腰部</t>
        </is>
      </c>
      <c r="L40" s="18" t="n">
        <v>120</v>
      </c>
      <c r="M40" s="18" t="inlineStr">
        <is>
          <t>100000+</t>
        </is>
      </c>
      <c r="N40" s="18" t="inlineStr">
        <is>
          <t>新锐白领
小镇青年
精致妈妈</t>
        </is>
      </c>
      <c r="O40" s="35" t="n">
        <v>0.614</v>
      </c>
      <c r="P40" s="18" t="n">
        <v>2852000</v>
      </c>
      <c r="Q40" s="18">
        <f>SUM(Z40*1.05)</f>
        <v/>
      </c>
      <c r="R40" s="20">
        <f>Z40/(AB40+AD40+AC40)</f>
        <v/>
      </c>
      <c r="S40" s="18" t="inlineStr">
        <is>
          <t>视频</t>
        </is>
      </c>
      <c r="T40" s="21" t="n">
        <v>0.59</v>
      </c>
      <c r="U40" s="21" t="n">
        <v>0.37</v>
      </c>
      <c r="V40" s="21" t="n">
        <v>0.43</v>
      </c>
      <c r="W40" s="21" t="n">
        <v>0.05</v>
      </c>
      <c r="X40" s="21" t="n"/>
      <c r="Y40" s="21" t="n"/>
      <c r="Z40" s="18" t="n">
        <v>55000</v>
      </c>
      <c r="AA40" s="154">
        <f>SUM((Z40/P40)*1000)</f>
        <v/>
      </c>
      <c r="AB40" s="18" t="n">
        <v>40000</v>
      </c>
      <c r="AC40" s="18" t="n">
        <v>1101</v>
      </c>
      <c r="AD40" s="18" t="n">
        <v>21000</v>
      </c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</row>
    <row r="41">
      <c r="A41" s="18" t="n"/>
      <c r="B41" s="18" t="inlineStr">
        <is>
          <t>ok</t>
        </is>
      </c>
      <c r="C41" s="18" t="n"/>
      <c r="D41" s="18" t="inlineStr">
        <is>
          <t>电商</t>
        </is>
      </c>
      <c r="E41" s="19" t="inlineStr">
        <is>
          <t>粉丝画像契合度高，居家好物测评+成熟男性视角，理性种草、讲参数讲体验，适合品质家电背书。</t>
        </is>
      </c>
      <c r="F41" s="18" t="inlineStr">
        <is>
          <t>鲜肉杨叔叔</t>
        </is>
      </c>
      <c r="G41" s="18" t="inlineStr">
        <is>
          <t>https://www.xingtu.cn/ad/creator/author-homepage/douyin-video/7071192806672302093?market_track_id=4R4VHAH5IAPUM29AQEBN&amp;search_session_id=7606283967965003785&amp;possessStarId</t>
        </is>
      </c>
      <c r="H41" s="18" t="inlineStr">
        <is>
          <t>https://www.douyin.com/user/MS4wLjABAAAAKK-HMXrcPWRCREuUz4lGati_ps_g7Psu6SDFX4ihxK8</t>
        </is>
      </c>
      <c r="I41" s="18" t="inlineStr">
        <is>
          <t>bbcall999</t>
        </is>
      </c>
      <c r="J41" s="18" t="inlineStr">
        <is>
          <t>家居</t>
        </is>
      </c>
      <c r="K41" s="18" t="inlineStr">
        <is>
          <t>尾部</t>
        </is>
      </c>
      <c r="L41" s="18" t="n">
        <v>23</v>
      </c>
      <c r="M41" s="18" t="inlineStr">
        <is>
          <t>150-2000</t>
        </is>
      </c>
      <c r="N41" s="18" t="inlineStr">
        <is>
          <t>新锐白领
精致妈妈
小镇青年</t>
        </is>
      </c>
      <c r="O41" s="35" t="n">
        <v>0.699</v>
      </c>
      <c r="P41" s="18" t="n">
        <v>520000</v>
      </c>
      <c r="Q41" s="18">
        <f>SUM(Z41*1.05)</f>
        <v/>
      </c>
      <c r="R41" s="20">
        <f>Z41/(AB41+AD41+AC41)</f>
        <v/>
      </c>
      <c r="S41" s="18" t="inlineStr">
        <is>
          <t>视频</t>
        </is>
      </c>
      <c r="T41" s="21" t="n">
        <v>0.66</v>
      </c>
      <c r="U41" s="21" t="n">
        <v>0.35</v>
      </c>
      <c r="V41" s="21" t="n">
        <v>0.48</v>
      </c>
      <c r="W41" s="21" t="n">
        <v>0.03</v>
      </c>
      <c r="X41" s="21" t="n"/>
      <c r="Y41" s="21" t="n"/>
      <c r="Z41" s="18" t="n">
        <v>21800</v>
      </c>
      <c r="AA41" s="154">
        <f>SUM((Z41/P41)*1000)</f>
        <v/>
      </c>
      <c r="AB41" s="18" t="n">
        <v>2689</v>
      </c>
      <c r="AC41" s="18" t="n">
        <v>558</v>
      </c>
      <c r="AD41" s="18" t="n">
        <v>800</v>
      </c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</row>
    <row r="42">
      <c r="A42" s="18" t="n"/>
      <c r="B42" s="18" t="inlineStr">
        <is>
          <t>ok</t>
        </is>
      </c>
      <c r="C42" s="18" t="n"/>
      <c r="D42" s="18" t="inlineStr">
        <is>
          <t>电商</t>
        </is>
      </c>
      <c r="E42" s="19" t="inlineStr">
        <is>
          <t>洗碗机测评，有娃家庭的拯救者</t>
        </is>
      </c>
      <c r="F42" s="18" t="inlineStr">
        <is>
          <t>大熊夫妇(家电测评）</t>
        </is>
      </c>
      <c r="G42" s="18" t="inlineStr">
        <is>
          <t>https://www.xingtu.cn/ad/creator/author-homepage/douyin-video/7223299753998565433?market_track_id=QVMB18W2UWWRTUQYLG0Z&amp;search_session_id=7610341499209269254&amp;possessStarId</t>
        </is>
      </c>
      <c r="H42" s="18" t="inlineStr">
        <is>
          <t xml:space="preserve"> https://v.douyin.com/ceqyjYhyXkM/</t>
        </is>
      </c>
      <c r="I42" s="18" t="inlineStr">
        <is>
          <t>daxionghome</t>
        </is>
      </c>
      <c r="J42" s="18" t="inlineStr">
        <is>
          <t>家居</t>
        </is>
      </c>
      <c r="K42" s="18" t="inlineStr">
        <is>
          <t>尾部</t>
        </is>
      </c>
      <c r="L42" s="18" t="n">
        <v>45</v>
      </c>
      <c r="M42" s="18" t="inlineStr">
        <is>
          <t>2000-20000</t>
        </is>
      </c>
      <c r="N42" s="18" t="inlineStr">
        <is>
          <t>新锐白领
小镇青年
都市蓝领</t>
        </is>
      </c>
      <c r="O42" s="35" t="n">
        <v>0.482</v>
      </c>
      <c r="P42" s="18" t="n">
        <v>1031000</v>
      </c>
      <c r="Q42" s="18">
        <f>SUM(Z42*1.05)</f>
        <v/>
      </c>
      <c r="R42" s="20">
        <f>Z42/(AB42+AD42+AC42)</f>
        <v/>
      </c>
      <c r="S42" s="18" t="inlineStr">
        <is>
          <t>视频</t>
        </is>
      </c>
      <c r="T42" s="21" t="n">
        <v>0.641</v>
      </c>
      <c r="U42" s="21" t="n">
        <v>0.077</v>
      </c>
      <c r="V42" s="21" t="n">
        <v>0.454</v>
      </c>
      <c r="W42" s="21" t="n">
        <v>0.111</v>
      </c>
      <c r="X42" s="21" t="n"/>
      <c r="Y42" s="21" t="n"/>
      <c r="Z42" s="18" t="n">
        <v>28800</v>
      </c>
      <c r="AA42" s="154">
        <f>SUM((Z42/P42)*1000)</f>
        <v/>
      </c>
      <c r="AB42" s="18" t="n">
        <v>12000</v>
      </c>
      <c r="AC42" s="18" t="n">
        <v>217</v>
      </c>
      <c r="AD42" s="18" t="n">
        <v>9393</v>
      </c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</row>
    <row r="43">
      <c r="A43" s="18" t="n"/>
      <c r="B43" s="18" t="inlineStr">
        <is>
          <t>ok</t>
        </is>
      </c>
      <c r="C43" s="18" t="n"/>
      <c r="D43" s="18" t="inlineStr">
        <is>
          <t>电商</t>
        </is>
      </c>
      <c r="E43" s="19" t="inlineStr">
        <is>
          <t>触达用户 31-40岁居多，女性居多集中 分布在一线城市</t>
        </is>
      </c>
      <c r="F43" s="18" t="inlineStr">
        <is>
          <t>🏠梓依的家</t>
        </is>
      </c>
      <c r="G43" s="18" t="inlineStr">
        <is>
          <t>https://www.xingtu.cn/ad/creator/author-homepage/douyin-video/7125807321149603844?market_track_id=H7TG6Q3HJUST7OSLQIED&amp;search_session_id=7612588703508758554&amp;possessStarId</t>
        </is>
      </c>
      <c r="H43" s="18" t="inlineStr">
        <is>
          <t>https://www.douyin.com/user/MS4wLjABAAAAW-V64ivlroI9D9G7fraQp-13WohcK4C4Bnk2F9kgEp8</t>
        </is>
      </c>
      <c r="I43" s="18" t="inlineStr">
        <is>
          <t>zzy79877800</t>
        </is>
      </c>
      <c r="J43" s="18" t="inlineStr">
        <is>
          <t>家居</t>
        </is>
      </c>
      <c r="K43" s="18" t="inlineStr">
        <is>
          <t>尾部</t>
        </is>
      </c>
      <c r="L43" s="18" t="n">
        <v>30</v>
      </c>
      <c r="M43" s="18" t="inlineStr">
        <is>
          <t>2000-20000</t>
        </is>
      </c>
      <c r="N43" s="18" t="inlineStr">
        <is>
          <t>新锐白领
小镇青年
精致妈妈</t>
        </is>
      </c>
      <c r="O43" s="35" t="n">
        <v>0.465</v>
      </c>
      <c r="P43" s="18" t="n">
        <v>699000</v>
      </c>
      <c r="Q43" s="18">
        <f>SUM(Z43*1.05)</f>
        <v/>
      </c>
      <c r="R43" s="20">
        <f>Z43/(AB43+AD43+AC43)</f>
        <v/>
      </c>
      <c r="S43" s="18" t="inlineStr">
        <is>
          <t>视频</t>
        </is>
      </c>
      <c r="T43" s="21" t="n">
        <v>0.95</v>
      </c>
      <c r="U43" s="21" t="n">
        <v>0.32</v>
      </c>
      <c r="V43" s="21" t="n">
        <v>0.35</v>
      </c>
      <c r="W43" s="21" t="n">
        <v>0.03</v>
      </c>
      <c r="X43" s="21" t="n"/>
      <c r="Y43" s="21" t="n"/>
      <c r="Z43" s="18" t="n">
        <v>23800</v>
      </c>
      <c r="AA43" s="154">
        <f>SUM((Z43/P43)*1000)</f>
        <v/>
      </c>
      <c r="AB43" s="22" t="n">
        <v>7667</v>
      </c>
      <c r="AC43" s="18" t="n">
        <v>94</v>
      </c>
      <c r="AD43" s="18" t="n">
        <v>17</v>
      </c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</row>
    <row r="44">
      <c r="A44" s="18" t="n"/>
      <c r="B44" s="18" t="inlineStr">
        <is>
          <t>ok</t>
        </is>
      </c>
      <c r="C44" s="18" t="n"/>
      <c r="D44" s="18" t="inlineStr">
        <is>
          <t>电商</t>
        </is>
      </c>
      <c r="E44" s="19" t="inlineStr">
        <is>
          <t>情侣档账号自带家庭属性，粉丝关注婚姻生活平衡。洗碗机作为“公平分担家务”的工具，能引发关于家庭责任分配的情感讨论。</t>
        </is>
      </c>
      <c r="F44" s="18" t="inlineStr">
        <is>
          <t>戴总和小邝</t>
        </is>
      </c>
      <c r="G44" s="18" t="inlineStr">
        <is>
          <t>https://www.xingtu.cn/ad/creator/author-homepage/douyin-video/7032103225947865124?market_track_id=L9AYHYUVYRH6ZBF3SAN3&amp;search_session_id=7605441073725194291&amp;possessStarId</t>
        </is>
      </c>
      <c r="H44" s="18" t="inlineStr">
        <is>
          <t>https://www.douyin.com/user/MS4wLjABAAAAhTNv_fp7VMr_aSD_7Du_mhZ3XKc2htdl7eA4HCm2G5o</t>
        </is>
      </c>
      <c r="I44" s="18" t="inlineStr">
        <is>
          <t>day47_kzp</t>
        </is>
      </c>
      <c r="J44" s="18" t="inlineStr">
        <is>
          <t>家居</t>
        </is>
      </c>
      <c r="K44" s="18" t="inlineStr">
        <is>
          <t>腰部</t>
        </is>
      </c>
      <c r="L44" s="18" t="n">
        <v>50</v>
      </c>
      <c r="M44" s="18" t="inlineStr">
        <is>
          <t>2000-20000</t>
        </is>
      </c>
      <c r="N44" s="18" t="inlineStr">
        <is>
          <t>新锐白领
小镇青年
精致妈妈</t>
        </is>
      </c>
      <c r="O44" s="35" t="n">
        <v>0.672</v>
      </c>
      <c r="P44" s="18" t="n">
        <v>1146000</v>
      </c>
      <c r="Q44" s="18">
        <f>SUM(Z44*1.05)</f>
        <v/>
      </c>
      <c r="R44" s="20">
        <f>Z44/(AB44+AD44+AC44)</f>
        <v/>
      </c>
      <c r="S44" s="18" t="inlineStr">
        <is>
          <t>视频</t>
        </is>
      </c>
      <c r="T44" s="21" t="n">
        <v>0.61</v>
      </c>
      <c r="U44" s="21" t="n">
        <v>0.31</v>
      </c>
      <c r="V44" s="21" t="n">
        <v>0.51</v>
      </c>
      <c r="W44" s="21" t="n">
        <v>0.1</v>
      </c>
      <c r="X44" s="21" t="n"/>
      <c r="Y44" s="21" t="n"/>
      <c r="Z44" s="18" t="n">
        <v>59800</v>
      </c>
      <c r="AA44" s="154">
        <f>SUM((Z44/P44)*1000)</f>
        <v/>
      </c>
      <c r="AB44" s="18" t="n">
        <v>16000</v>
      </c>
      <c r="AC44" s="18" t="n">
        <v>263</v>
      </c>
      <c r="AD44" s="18" t="n">
        <v>3818</v>
      </c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</row>
    <row r="45">
      <c r="A45" s="18" t="n"/>
      <c r="B45" s="18" t="inlineStr">
        <is>
          <t>ok</t>
        </is>
      </c>
      <c r="C45" s="18" t="n"/>
      <c r="D45" s="18" t="inlineStr">
        <is>
          <t>电商</t>
        </is>
      </c>
      <c r="E45" s="19" t="inlineStr">
        <is>
          <t>现代简约装修风格，八大人群契合度高</t>
        </is>
      </c>
      <c r="F45" s="18" t="inlineStr">
        <is>
          <t>六六的家</t>
        </is>
      </c>
      <c r="G45" s="18" t="inlineStr">
        <is>
          <t>https://www.xingtu.cn/ad/creator/author-homepage/douyin-video/6749722842033553416?market_track_id=JF1X85GBF9MLNYSFVA7A&amp;search_session_id=7612595187349176358&amp;possessStarId</t>
        </is>
      </c>
      <c r="H45" s="18" t="inlineStr">
        <is>
          <t>https://www.douyin.com/user/MS4wLjABAAAA6vwqPovlRVQ917JyAiHDej5PIjJphpNyBFtx3__EecI</t>
        </is>
      </c>
      <c r="I45" s="18" t="inlineStr">
        <is>
          <t>ai544359607L</t>
        </is>
      </c>
      <c r="J45" s="18" t="inlineStr">
        <is>
          <t>家居</t>
        </is>
      </c>
      <c r="K45" s="18" t="inlineStr">
        <is>
          <t>尾部</t>
        </is>
      </c>
      <c r="L45" s="18" t="n">
        <v>40</v>
      </c>
      <c r="M45" s="18" t="inlineStr">
        <is>
          <t>2000-20000</t>
        </is>
      </c>
      <c r="N45" s="18" t="inlineStr">
        <is>
          <t>精致妈妈
新锐白领
小镇青年</t>
        </is>
      </c>
      <c r="O45" s="35" t="n">
        <v>0.513</v>
      </c>
      <c r="P45" s="18" t="n">
        <v>1194000</v>
      </c>
      <c r="Q45" s="18">
        <f>SUM(Z45*1.05)</f>
        <v/>
      </c>
      <c r="R45" s="20">
        <f>Z45/(AB45+AD45+AC45)</f>
        <v/>
      </c>
      <c r="S45" s="18" t="inlineStr">
        <is>
          <t>视频</t>
        </is>
      </c>
      <c r="T45" s="21" t="n">
        <v>0.9</v>
      </c>
      <c r="U45" s="21" t="n">
        <v>0.36</v>
      </c>
      <c r="V45" s="21" t="n">
        <v>0.44</v>
      </c>
      <c r="W45" s="21" t="n">
        <v>0.03</v>
      </c>
      <c r="X45" s="21" t="n"/>
      <c r="Y45" s="21" t="n"/>
      <c r="Z45" s="18" t="n">
        <v>23800</v>
      </c>
      <c r="AA45" s="154">
        <f>SUM((Z45/P45)*1000)</f>
        <v/>
      </c>
      <c r="AB45" s="18" t="n">
        <v>9013</v>
      </c>
      <c r="AC45" s="18" t="n">
        <v>189</v>
      </c>
      <c r="AD45" s="18" t="n">
        <v>583</v>
      </c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</row>
    <row r="46">
      <c r="A46" s="18" t="n"/>
      <c r="B46" s="18" t="inlineStr">
        <is>
          <t>ok</t>
        </is>
      </c>
      <c r="C46" s="18" t="n"/>
      <c r="D46" s="18" t="inlineStr">
        <is>
          <t>电商</t>
        </is>
      </c>
      <c r="E46" s="19" t="inlineStr">
        <is>
          <t xml:space="preserve">粉丝画像匹配度高，A3数据好，宅女的森林原木小屋 </t>
        </is>
      </c>
      <c r="F46" s="18" t="inlineStr">
        <is>
          <t>小青柑</t>
        </is>
      </c>
      <c r="G46" s="18" t="inlineStr">
        <is>
          <t>https://www.xingtu.cn/ad/creator/author-homepage/douyin-video/7143563533668581389?market_track_id=JF1X85GBF9MLNYSFVA7A&amp;search_session_id=7612602001314414619&amp;possessStarId</t>
        </is>
      </c>
      <c r="H46" s="18" t="inlineStr">
        <is>
          <t>https://www.douyin.com/user/MS4wLjABAAAA4ZqwUCLTLLMJOCrGnhGEe3MZOPbHG7muT-NIS0tFonE</t>
        </is>
      </c>
      <c r="I46" s="18" t="n">
        <v>47700823717</v>
      </c>
      <c r="J46" s="18" t="inlineStr">
        <is>
          <t>家居</t>
        </is>
      </c>
      <c r="K46" s="18" t="inlineStr">
        <is>
          <t>腰部</t>
        </is>
      </c>
      <c r="L46" s="18" t="n">
        <v>65.7</v>
      </c>
      <c r="M46" s="18" t="inlineStr">
        <is>
          <t>20000-100000</t>
        </is>
      </c>
      <c r="N46" s="18" t="inlineStr">
        <is>
          <t>新锐白领
小镇青年
精致妈妈</t>
        </is>
      </c>
      <c r="O46" s="21" t="n">
        <v>0.53</v>
      </c>
      <c r="P46" s="18" t="n">
        <v>760000</v>
      </c>
      <c r="Q46" s="18">
        <f>SUM(Z46*1.05)</f>
        <v/>
      </c>
      <c r="R46" s="20">
        <f>Z46/(AB46+AD46+AC46)</f>
        <v/>
      </c>
      <c r="S46" s="18" t="inlineStr">
        <is>
          <t>视频</t>
        </is>
      </c>
      <c r="T46" s="21" t="n">
        <v>0.89</v>
      </c>
      <c r="U46" s="21" t="n">
        <v>0.36</v>
      </c>
      <c r="V46" s="21" t="n">
        <v>0.39</v>
      </c>
      <c r="W46" s="21" t="n">
        <v>0.08</v>
      </c>
      <c r="X46" s="21" t="n"/>
      <c r="Y46" s="21" t="n"/>
      <c r="Z46" s="18" t="n">
        <v>50000</v>
      </c>
      <c r="AA46" s="154">
        <f>SUM((Z46/P46)*1000)</f>
        <v/>
      </c>
      <c r="AB46" s="18" t="n">
        <v>19000</v>
      </c>
      <c r="AC46" s="18" t="n">
        <v>642</v>
      </c>
      <c r="AD46" s="18" t="n">
        <v>2676</v>
      </c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</row>
    <row r="47">
      <c r="A47" s="18" t="n"/>
      <c r="B47" s="18" t="inlineStr">
        <is>
          <t>场景不对</t>
        </is>
      </c>
      <c r="C47" s="18" t="n"/>
      <c r="D47" s="18" t="inlineStr">
        <is>
          <t>电商</t>
        </is>
      </c>
      <c r="E47" s="19" t="inlineStr">
        <is>
          <t>95后独居生活，vlog做饭场景多，粉丝画像适配</t>
        </is>
      </c>
      <c r="F47" s="18" t="inlineStr">
        <is>
          <t>孙一玮Well</t>
        </is>
      </c>
      <c r="G47" s="18" t="inlineStr">
        <is>
          <t>https://www.xingtu.cn/ad/creator/author-homepage/douyin-video/6629724072496332808?market_track_id=SUA9KH7ZBLCVW9Q8I8O3&amp;search_session_id=7611010792837922826&amp;possessStarId</t>
        </is>
      </c>
      <c r="H47" s="18" t="inlineStr">
        <is>
          <t>https://www.douyin.com/user/MS4wLjABAAAAp52iIUIC50X_sKEA9gkGSW3EbhMfkj6rJ5oOiL_tXtw</t>
        </is>
      </c>
      <c r="I47" s="18" t="inlineStr">
        <is>
          <t>sunewell</t>
        </is>
      </c>
      <c r="J47" s="18" t="inlineStr">
        <is>
          <t>智能家居</t>
        </is>
      </c>
      <c r="K47" s="18" t="inlineStr">
        <is>
          <t>腰部</t>
        </is>
      </c>
      <c r="L47" s="18" t="n">
        <v>142</v>
      </c>
      <c r="M47" s="18" t="inlineStr">
        <is>
          <t>2000-20000</t>
        </is>
      </c>
      <c r="N47" s="18" t="inlineStr">
        <is>
          <t>新锐白领
小镇青年
精致妈妈</t>
        </is>
      </c>
      <c r="O47" s="18" t="n"/>
      <c r="P47" s="18" t="n">
        <v>1172000</v>
      </c>
      <c r="Q47" s="18">
        <f>SUM(Z47*1.05)</f>
        <v/>
      </c>
      <c r="R47" s="20">
        <f>Z47/(AB47+AD47+AC47)</f>
        <v/>
      </c>
      <c r="S47" s="18" t="inlineStr">
        <is>
          <t>视频</t>
        </is>
      </c>
      <c r="T47" s="21" t="n">
        <v>0.85</v>
      </c>
      <c r="U47" s="21" t="n">
        <v>0.23</v>
      </c>
      <c r="V47" s="21" t="n">
        <v>0.33</v>
      </c>
      <c r="W47" s="21" t="n">
        <v>0.12</v>
      </c>
      <c r="X47" s="21" t="n"/>
      <c r="Y47" s="21" t="n"/>
      <c r="Z47" s="18" t="n">
        <v>55000</v>
      </c>
      <c r="AA47" s="154">
        <f>SUM((Z47/P47)*1000)</f>
        <v/>
      </c>
      <c r="AB47" s="18" t="n">
        <v>12000</v>
      </c>
      <c r="AC47" s="18" t="n">
        <v>170</v>
      </c>
      <c r="AD47" s="18" t="n">
        <v>139</v>
      </c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</row>
    <row r="48">
      <c r="A48" s="18" t="n"/>
      <c r="B48" s="18" t="inlineStr">
        <is>
          <t>cpe 太高，不ok</t>
        </is>
      </c>
      <c r="C48" s="18" t="n"/>
      <c r="D48" s="18" t="inlineStr">
        <is>
          <t>电商</t>
        </is>
      </c>
      <c r="E48" s="19" t="inlineStr">
        <is>
          <t>漂亮美食饭博主，厨房简约大方</t>
        </is>
      </c>
      <c r="F48" s="18" t="inlineStr">
        <is>
          <t>文森特别饿</t>
        </is>
      </c>
      <c r="G48" s="18" t="inlineStr">
        <is>
          <t>https://www.xingtu.cn/ad/creator/author-homepage/douyin-video/7061818206880530445?market_track_id=JF1X85GBF9MLNYSFVA7A&amp;search_session_id=7612597976676319283&amp;possessStarId</t>
        </is>
      </c>
      <c r="H48" s="18" t="inlineStr">
        <is>
          <t>https://www.douyin.com/user/MS4wLjABAAAAqQcMC2sp9-Zvj3rKj6yBFWM3G3or4Zl7zBYSVrxauYw</t>
        </is>
      </c>
      <c r="I48" s="18" t="n">
        <v>134255892</v>
      </c>
      <c r="J48" s="18" t="inlineStr">
        <is>
          <t>美食</t>
        </is>
      </c>
      <c r="K48" s="18" t="inlineStr">
        <is>
          <t>腰部</t>
        </is>
      </c>
      <c r="L48" s="18" t="n">
        <v>58</v>
      </c>
      <c r="M48" s="18" t="inlineStr">
        <is>
          <t>2000-20000</t>
        </is>
      </c>
      <c r="N48" s="18" t="inlineStr">
        <is>
          <t>新锐白领
精致妈妈
资深中产</t>
        </is>
      </c>
      <c r="O48" s="21" t="n">
        <v>0.63</v>
      </c>
      <c r="P48" s="18" t="n">
        <v>492000</v>
      </c>
      <c r="Q48" s="18">
        <f>SUM(Z48*1.05)</f>
        <v/>
      </c>
      <c r="R48" s="20">
        <f>Z48/(AB48+AD48+AC48)</f>
        <v/>
      </c>
      <c r="S48" s="18" t="inlineStr">
        <is>
          <t>视频</t>
        </is>
      </c>
      <c r="T48" s="21" t="n">
        <v>0.65</v>
      </c>
      <c r="U48" s="21" t="n">
        <v>0.25</v>
      </c>
      <c r="V48" s="21" t="n">
        <v>0.37</v>
      </c>
      <c r="W48" s="21" t="n">
        <v>0.17</v>
      </c>
      <c r="X48" s="21" t="n"/>
      <c r="Y48" s="21" t="n"/>
      <c r="Z48" s="18" t="n">
        <v>30000</v>
      </c>
      <c r="AA48" s="154">
        <f>SUM((Z48/P48)*1000)</f>
        <v/>
      </c>
      <c r="AB48" s="18" t="n">
        <v>2332</v>
      </c>
      <c r="AC48" s="18" t="n">
        <v>64</v>
      </c>
      <c r="AD48" s="18" t="n">
        <v>248</v>
      </c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</row>
    <row r="49">
      <c r="A49" s="18" t="n"/>
      <c r="B49" s="18" t="n"/>
      <c r="C49" s="18" t="n"/>
      <c r="D49" s="18" t="inlineStr">
        <is>
          <t>品牌</t>
        </is>
      </c>
      <c r="E49" s="19" t="inlineStr">
        <is>
          <t xml:space="preserve">记录两人一狗在小城市的生活 </t>
        </is>
      </c>
      <c r="F49" s="18" t="inlineStr">
        <is>
          <t>橙子味柠檬水</t>
        </is>
      </c>
      <c r="G49" s="18" t="inlineStr">
        <is>
          <t>https://www.xingtu.cn/ad/creator/author-homepage/douyin-video/7144302846098276383?market_track_id=57AK8QJ7796S4R61FYUD&amp;search_session_id=7612529862233899054&amp;possessStarId</t>
        </is>
      </c>
      <c r="H49" s="18" t="inlineStr">
        <is>
          <t>https://www.douyin.com/user/MS4wLjABAAAADpWLYF7Frwaj4FHsza8dnXlbdTvG_edRvEBZWw3j71o-83zgeU9rWf1A62iQ0y6h</t>
        </is>
      </c>
      <c r="I49" s="18" t="n">
        <v>79933948137</v>
      </c>
      <c r="J49" s="18" t="inlineStr">
        <is>
          <t>记录生活</t>
        </is>
      </c>
      <c r="K49" s="18" t="inlineStr">
        <is>
          <t>腰部</t>
        </is>
      </c>
      <c r="L49" s="18" t="n">
        <v>50</v>
      </c>
      <c r="M49" s="18" t="inlineStr">
        <is>
          <t>20000-100000</t>
        </is>
      </c>
      <c r="N49" s="18" t="inlineStr">
        <is>
          <t>小镇青年
精致妈妈
新锐白领</t>
        </is>
      </c>
      <c r="O49" s="21" t="n">
        <v>0.4</v>
      </c>
      <c r="P49" s="18" t="n">
        <v>1641000</v>
      </c>
      <c r="Q49" s="18">
        <f>SUM(Z49*1.05)</f>
        <v/>
      </c>
      <c r="R49" s="20">
        <f>Z49/(AB49+AD49+AC49)</f>
        <v/>
      </c>
      <c r="S49" s="18" t="inlineStr">
        <is>
          <t>视频</t>
        </is>
      </c>
      <c r="T49" s="21" t="n">
        <v>0.9399999999999999</v>
      </c>
      <c r="U49" s="21" t="n">
        <v>0.4</v>
      </c>
      <c r="V49" s="21" t="n">
        <v>0.31</v>
      </c>
      <c r="W49" s="21" t="n">
        <v>0.02</v>
      </c>
      <c r="X49" s="21" t="n"/>
      <c r="Y49" s="21" t="n"/>
      <c r="Z49" s="18" t="n">
        <v>38000</v>
      </c>
      <c r="AA49" s="154">
        <f>SUM((Z49/P49)*1000)</f>
        <v/>
      </c>
      <c r="AB49" s="18" t="n">
        <v>27000</v>
      </c>
      <c r="AC49" s="18" t="n">
        <v>1013</v>
      </c>
      <c r="AD49" s="18" t="n">
        <v>1469</v>
      </c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</row>
    <row r="50">
      <c r="A50" s="18" t="n"/>
      <c r="B50" s="18" t="n"/>
      <c r="C50" s="18" t="n"/>
      <c r="D50" s="18" t="inlineStr">
        <is>
          <t>品牌</t>
        </is>
      </c>
      <c r="E50" s="19" t="inlineStr">
        <is>
          <t>三胞胎的带娃日常，多娃家庭，适合油烟机植入</t>
        </is>
      </c>
      <c r="F50" s="18" t="inlineStr">
        <is>
          <t>肖萧潇的日月星</t>
        </is>
      </c>
      <c r="G50" s="18" t="inlineStr">
        <is>
          <t>https://www.xingtu.cn/ad/creator/author-homepage/douyin-video/7212663785511714874?market_track_id=57AK8QJ7796S4R61FYUD&amp;search_session_id=7612528920269586483&amp;possessStarId</t>
        </is>
      </c>
      <c r="H50" s="18" t="inlineStr">
        <is>
          <t>https://www.douyin.com/user/MS4wLjABAAAA8i9Yi9gV4RDqVvKtoXXIebIOnLLtOOJpoP3zQICKudg</t>
        </is>
      </c>
      <c r="I50" s="18" t="n">
        <v>966474</v>
      </c>
      <c r="J50" s="18" t="inlineStr">
        <is>
          <t>亲子</t>
        </is>
      </c>
      <c r="K50" s="18" t="inlineStr">
        <is>
          <t>腰部</t>
        </is>
      </c>
      <c r="L50" s="18" t="n">
        <v>108.7</v>
      </c>
      <c r="M50" s="18" t="inlineStr">
        <is>
          <t>2000-20000</t>
        </is>
      </c>
      <c r="N50" s="18" t="inlineStr">
        <is>
          <t>小镇青年
Z世代
新锐白领</t>
        </is>
      </c>
      <c r="O50" s="21" t="n">
        <v>0.32</v>
      </c>
      <c r="P50" s="18" t="n">
        <v>1059000</v>
      </c>
      <c r="Q50" s="18">
        <f>SUM(Z50*1.05)</f>
        <v/>
      </c>
      <c r="R50" s="20">
        <f>Z50/(AB50+AD50+AC50)</f>
        <v/>
      </c>
      <c r="S50" s="18" t="inlineStr">
        <is>
          <t>视频</t>
        </is>
      </c>
      <c r="T50" s="21" t="n">
        <v>0.82</v>
      </c>
      <c r="U50" s="21" t="n">
        <v>0.26</v>
      </c>
      <c r="V50" s="21" t="n">
        <v>0.36</v>
      </c>
      <c r="W50" s="21" t="n">
        <v>0.06</v>
      </c>
      <c r="X50" s="21" t="n"/>
      <c r="Y50" s="21" t="n"/>
      <c r="Z50" s="18" t="n">
        <v>43000</v>
      </c>
      <c r="AA50" s="154">
        <f>SUM((Z50/P50)*1000)</f>
        <v/>
      </c>
      <c r="AB50" s="18" t="n">
        <v>17000</v>
      </c>
      <c r="AC50" s="18" t="n">
        <v>591</v>
      </c>
      <c r="AD50" s="18" t="n">
        <v>1892</v>
      </c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</row>
    <row r="51">
      <c r="A51" s="18" t="n"/>
      <c r="B51" s="18" t="n"/>
      <c r="C51" s="18" t="n"/>
      <c r="D51" s="18" t="inlineStr">
        <is>
          <t>电商</t>
        </is>
      </c>
      <c r="E51" s="19" t="inlineStr">
        <is>
          <t>专业家居博主，粉丝画像匹配度高</t>
        </is>
      </c>
      <c r="F51" s="18" t="inlineStr">
        <is>
          <t>得得饿了</t>
        </is>
      </c>
      <c r="G51" s="18" t="inlineStr">
        <is>
          <t>https://www.xingtu.cn/ad/creator/author-homepage/douyin-video/6906929328903159821?market_track_id=57AK8QJ7796S4R61FYUD&amp;search_session_id=7612502818071134259&amp;possessStarId</t>
        </is>
      </c>
      <c r="H51" s="18" t="inlineStr">
        <is>
          <t>https://www.douyin.com/user/MS4wLjABAAAA57X26jieEwRnyDdFjl9Cx8mY_hSVPTdepH-jt6KyrPZEp8UtnJa9_Rd8GM43Mq_W</t>
        </is>
      </c>
      <c r="I51" s="18" t="inlineStr">
        <is>
          <t>dedenice</t>
        </is>
      </c>
      <c r="J51" s="18" t="inlineStr">
        <is>
          <t>家居</t>
        </is>
      </c>
      <c r="K51" s="18" t="inlineStr">
        <is>
          <t>尾部</t>
        </is>
      </c>
      <c r="L51" s="18" t="n">
        <v>42</v>
      </c>
      <c r="M51" s="18" t="inlineStr">
        <is>
          <t>2000-20000</t>
        </is>
      </c>
      <c r="N51" s="18" t="inlineStr">
        <is>
          <t>小镇青年
Z世代
新锐白领</t>
        </is>
      </c>
      <c r="O51" s="35" t="n">
        <v>0.381</v>
      </c>
      <c r="P51" s="18" t="n">
        <v>368000</v>
      </c>
      <c r="Q51" s="18">
        <f>SUM(Z51*1.05)</f>
        <v/>
      </c>
      <c r="R51" s="20">
        <f>Z51/(AB51+AD51+AC51)</f>
        <v/>
      </c>
      <c r="S51" s="18" t="inlineStr">
        <is>
          <t>视频</t>
        </is>
      </c>
      <c r="T51" s="21" t="n">
        <v>0.72</v>
      </c>
      <c r="U51" s="21" t="n">
        <v>0.26</v>
      </c>
      <c r="V51" s="21" t="n">
        <v>0.38</v>
      </c>
      <c r="W51" s="21" t="n">
        <v>0.1</v>
      </c>
      <c r="X51" s="21" t="n"/>
      <c r="Y51" s="21" t="n"/>
      <c r="Z51" s="18" t="n">
        <v>29800</v>
      </c>
      <c r="AA51" s="154">
        <f>SUM((Z51/P51)*1000)</f>
        <v/>
      </c>
      <c r="AB51" s="18" t="n">
        <v>2392</v>
      </c>
      <c r="AC51" s="18" t="n">
        <v>212</v>
      </c>
      <c r="AD51" s="18" t="n">
        <v>1912</v>
      </c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</row>
    <row r="52">
      <c r="A52" s="18" t="n"/>
      <c r="B52" s="18" t="n"/>
      <c r="C52" s="18" t="n"/>
      <c r="D52" s="18" t="inlineStr">
        <is>
          <t>品牌</t>
        </is>
      </c>
      <c r="E52" s="19" t="inlineStr">
        <is>
          <t>126平山景洋房🏠装修中 室内设计师/自装5套房的80后宝妈</t>
        </is>
      </c>
      <c r="F52" s="18" t="inlineStr">
        <is>
          <t>一粒沙</t>
        </is>
      </c>
      <c r="G52" s="18" t="inlineStr">
        <is>
          <t>https://www.xingtu.cn/ad/creator/author-homepage/douyin-video/7157865824835862542?market_track_id=57AK8QJ7796S4R61FYUD&amp;search_session_id=7612502818071134259&amp;possessStarId</t>
        </is>
      </c>
      <c r="H52" s="18" t="inlineStr">
        <is>
          <t>https://www.douyin.com/user/MS4wLjABAAAAMLDrARFvjdkKw63auSBFCFfVAWQFw3QezRE2NxE4BC5DoRsDDqMDCoMMV4MGheJ-</t>
        </is>
      </c>
      <c r="I52" s="18" t="n">
        <v>88445425593</v>
      </c>
      <c r="J52" s="18" t="inlineStr">
        <is>
          <t>家居</t>
        </is>
      </c>
      <c r="K52" s="18" t="inlineStr">
        <is>
          <t>尾部</t>
        </is>
      </c>
      <c r="L52" s="18" t="n">
        <v>29.3</v>
      </c>
      <c r="M52" s="18" t="inlineStr">
        <is>
          <t>2000-20000</t>
        </is>
      </c>
      <c r="N52" s="18" t="inlineStr">
        <is>
          <t>小镇青年
新锐白领
都市蓝领</t>
        </is>
      </c>
      <c r="O52" s="35" t="n">
        <v>0.392</v>
      </c>
      <c r="P52" s="18" t="n">
        <v>286000</v>
      </c>
      <c r="Q52" s="18">
        <f>SUM(Z52*1.05)</f>
        <v/>
      </c>
      <c r="R52" s="20">
        <f>Z52/(AB52+AD52+AC52)</f>
        <v/>
      </c>
      <c r="S52" s="18" t="inlineStr">
        <is>
          <t>视频</t>
        </is>
      </c>
      <c r="T52" s="21" t="n">
        <v>0.57</v>
      </c>
      <c r="U52" s="21" t="n">
        <v>0.29</v>
      </c>
      <c r="V52" s="21" t="n">
        <v>0.46</v>
      </c>
      <c r="W52" s="21" t="n">
        <v>0.12</v>
      </c>
      <c r="X52" s="21" t="n"/>
      <c r="Y52" s="21" t="n"/>
      <c r="Z52" s="18" t="n">
        <v>28000</v>
      </c>
      <c r="AA52" s="154">
        <f>SUM((Z52/P52)*1000)</f>
        <v/>
      </c>
      <c r="AB52" s="18" t="n">
        <v>12000</v>
      </c>
      <c r="AC52" s="18" t="n">
        <v>445</v>
      </c>
      <c r="AD52" s="18" t="n">
        <v>4667</v>
      </c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</row>
    <row r="53">
      <c r="A53" s="18" t="n"/>
      <c r="B53" s="18" t="n"/>
      <c r="C53" s="18" t="n"/>
      <c r="D53" s="18" t="inlineStr">
        <is>
          <t>品牌</t>
        </is>
      </c>
      <c r="E53" s="19" t="inlineStr">
        <is>
          <t>A3数据好，宠物账号，养宠 + 多人吃饭，洗碗机是多宠家庭必备家电，消毒痛点强</t>
        </is>
      </c>
      <c r="F53" s="18" t="inlineStr">
        <is>
          <t>嘻哈不拆</t>
        </is>
      </c>
      <c r="G53" s="18" t="inlineStr">
        <is>
          <t>https://www.xingtu.cn/ad/creator/author-homepage/douyin-video/7120107426002501639?market_track_id=57AK8QJ7796S4R61FYUD&amp;search_session_id=7612502040543313958&amp;possessStarId</t>
        </is>
      </c>
      <c r="H53" s="18" t="inlineStr">
        <is>
          <t>https://www.douyin.com/user/MS4wLjABAAAAhypbxRbizDVv1dY9rd98S-EDJ1W0ZB7iOgcz-e-dyDEnRLMIz9Y8Afip7b318VW0</t>
        </is>
      </c>
      <c r="I53" s="18" t="inlineStr">
        <is>
          <t>ashy998877</t>
        </is>
      </c>
      <c r="J53" s="18" t="inlineStr">
        <is>
          <t>萌宠</t>
        </is>
      </c>
      <c r="K53" s="18" t="inlineStr">
        <is>
          <t>肩部</t>
        </is>
      </c>
      <c r="L53" s="18" t="n">
        <v>304</v>
      </c>
      <c r="M53" s="18" t="inlineStr">
        <is>
          <t>100000+</t>
        </is>
      </c>
      <c r="N53" s="18" t="inlineStr">
        <is>
          <t>小镇青年
都市蓝领
新锐白领</t>
        </is>
      </c>
      <c r="O53" s="35" t="n">
        <v>0.266</v>
      </c>
      <c r="P53" s="18" t="n">
        <v>4887000</v>
      </c>
      <c r="Q53" s="18">
        <f>SUM(Z53*1.05)</f>
        <v/>
      </c>
      <c r="R53" s="20">
        <f>Z53/(AB53+AD53+AC53)</f>
        <v/>
      </c>
      <c r="S53" s="18" t="inlineStr">
        <is>
          <t>视频</t>
        </is>
      </c>
      <c r="T53" s="21" t="n">
        <v>0.47</v>
      </c>
      <c r="U53" s="21" t="n">
        <v>0.27</v>
      </c>
      <c r="V53" s="21" t="n">
        <v>0.3</v>
      </c>
      <c r="W53" s="21" t="n">
        <v>0.12</v>
      </c>
      <c r="X53" s="21" t="n"/>
      <c r="Y53" s="21" t="n"/>
      <c r="Z53" s="18" t="n">
        <v>75000</v>
      </c>
      <c r="AA53" s="154">
        <f>SUM((Z53/P53)*1000)</f>
        <v/>
      </c>
      <c r="AB53" s="18" t="n">
        <v>51000</v>
      </c>
      <c r="AC53" s="18" t="n">
        <v>573</v>
      </c>
      <c r="AD53" s="18" t="n">
        <v>12000</v>
      </c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</row>
    <row r="54">
      <c r="A54" s="18" t="n"/>
      <c r="B54" s="18" t="inlineStr">
        <is>
          <t>cpe 太高，不ok</t>
        </is>
      </c>
      <c r="C54" s="18" t="n"/>
      <c r="D54" s="18" t="inlineStr">
        <is>
          <t>电商</t>
        </is>
      </c>
      <c r="E54" s="19" t="inlineStr">
        <is>
          <t>184方江景大平层 ，装修风格简约大方，场景适配性高</t>
        </is>
      </c>
      <c r="F54" s="18" t="inlineStr">
        <is>
          <t>牧牧的家</t>
        </is>
      </c>
      <c r="G54" s="18" t="inlineStr">
        <is>
          <t>https://www.xingtu.cn/ad/creator/author-homepage/douyin-video/6690478800708304908?market_track_id=SUA9KH7ZBLCVW9Q8I8O3&amp;search_session_id=7611015321839599625&amp;possessStarId</t>
        </is>
      </c>
      <c r="H54" s="18" t="inlineStr">
        <is>
          <t>https://www.douyin.com/user/MS4wLjABAAAALfr_yeD1TZl2Imjm_V45ptcvrG4DNFWWuqY_26vhXTg</t>
        </is>
      </c>
      <c r="I54" s="18" t="inlineStr">
        <is>
          <t>mumudejia87</t>
        </is>
      </c>
      <c r="J54" s="18" t="inlineStr">
        <is>
          <t>家居</t>
        </is>
      </c>
      <c r="K54" s="18" t="inlineStr">
        <is>
          <t>尾部</t>
        </is>
      </c>
      <c r="L54" s="18" t="n">
        <v>31</v>
      </c>
      <c r="M54" s="18" t="inlineStr">
        <is>
          <t>2000-20000</t>
        </is>
      </c>
      <c r="N54" s="18" t="inlineStr">
        <is>
          <t>新锐白领
精致妈妈
小镇青年</t>
        </is>
      </c>
      <c r="O54" s="35" t="n">
        <v>0.635</v>
      </c>
      <c r="P54" s="18" t="n">
        <v>428000</v>
      </c>
      <c r="Q54" s="18">
        <f>SUM(Z54*1.05)</f>
        <v/>
      </c>
      <c r="R54" s="20">
        <f>Z54/(AB54+AD54+AC54)</f>
        <v/>
      </c>
      <c r="S54" s="18" t="inlineStr">
        <is>
          <t>视频</t>
        </is>
      </c>
      <c r="T54" s="21" t="n">
        <v>0.7</v>
      </c>
      <c r="U54" s="21" t="n">
        <v>0.36</v>
      </c>
      <c r="V54" s="21" t="n">
        <v>0.45</v>
      </c>
      <c r="W54" s="21" t="n">
        <v>0.03</v>
      </c>
      <c r="X54" s="21" t="n"/>
      <c r="Y54" s="21" t="n"/>
      <c r="Z54" s="18" t="n">
        <v>19800</v>
      </c>
      <c r="AA54" s="154">
        <f>SUM((Z54/P54)*1000)</f>
        <v/>
      </c>
      <c r="AB54" s="18" t="n">
        <v>1321</v>
      </c>
      <c r="AC54" s="18" t="n">
        <v>149</v>
      </c>
      <c r="AD54" s="18" t="n">
        <v>202</v>
      </c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</row>
    <row r="55" ht="46" customHeight="1" s="151">
      <c r="A55" s="65" t="n"/>
      <c r="B55" s="65" t="inlineStr">
        <is>
          <t>以下为3.3最新提报</t>
        </is>
      </c>
      <c r="E55" s="61" t="n"/>
      <c r="F55" s="60" t="n"/>
      <c r="G55" s="60" t="n"/>
      <c r="H55" s="60" t="n"/>
      <c r="I55" s="60" t="n"/>
      <c r="J55" s="60" t="n"/>
      <c r="K55" s="60" t="n"/>
      <c r="L55" s="60" t="n"/>
      <c r="M55" s="60" t="n"/>
      <c r="N55" s="60" t="n"/>
      <c r="O55" s="63" t="n"/>
      <c r="P55" s="60" t="n"/>
      <c r="Q55" s="60" t="n"/>
      <c r="R55" s="62" t="n"/>
      <c r="S55" s="60" t="n"/>
      <c r="T55" s="66" t="n"/>
      <c r="U55" s="63" t="n"/>
      <c r="V55" s="63" t="n"/>
      <c r="W55" s="63" t="n"/>
      <c r="X55" s="63" t="n"/>
      <c r="Y55" s="63" t="n"/>
      <c r="Z55" s="60" t="n"/>
      <c r="AA55" s="159" t="n"/>
      <c r="AB55" s="60" t="n"/>
      <c r="AC55" s="60" t="n"/>
      <c r="AD55" s="60" t="n"/>
      <c r="AE55" s="60" t="n"/>
      <c r="AF55" s="60" t="n"/>
      <c r="AG55" s="60" t="n"/>
      <c r="AH55" s="60" t="n"/>
      <c r="AI55" s="60" t="n"/>
      <c r="AJ55" s="60" t="n"/>
      <c r="AK55" s="60" t="n"/>
      <c r="AL55" s="60" t="n"/>
      <c r="AM55" s="60" t="n"/>
      <c r="AN55" s="60" t="n"/>
      <c r="AO55" s="60" t="n"/>
      <c r="AP55" s="60" t="n"/>
    </row>
    <row r="56" ht="24.75" customHeight="1" s="151">
      <c r="A56" s="18" t="n"/>
      <c r="B56" s="18" t="n"/>
      <c r="C56" s="18" t="n"/>
      <c r="D56" s="18" t="inlineStr">
        <is>
          <t>品牌</t>
        </is>
      </c>
      <c r="E56" s="32" t="inlineStr">
        <is>
          <t>00后已婚小夫妻~刚搬进自己设计的新家</t>
        </is>
      </c>
      <c r="F56" s="18" t="inlineStr">
        <is>
          <t>子申的宝藏（新手辣妈版）</t>
        </is>
      </c>
      <c r="G56" s="18" t="inlineStr">
        <is>
          <t>https://www.xingtu.cn/ad/creator/author-homepage/douyin-video/6652976723044335628?market_track_id=JHTNBEGQO60RJNOU4K0V&amp;search_session_id=7612610999124672522&amp;possessStarId</t>
        </is>
      </c>
      <c r="H56" s="18" t="inlineStr">
        <is>
          <t>https://www.douyin.com/user/MS4wLjABAAAAgZ8hMEqeWypZqFR0qPPKjCIA2Kn9dlhqX3LjzGHx_40</t>
        </is>
      </c>
      <c r="I56" s="18" t="n">
        <v>1724264870</v>
      </c>
      <c r="J56" s="18" t="inlineStr">
        <is>
          <t>情侣</t>
        </is>
      </c>
      <c r="K56" s="18" t="inlineStr">
        <is>
          <t>腰部</t>
        </is>
      </c>
      <c r="L56" s="18" t="n">
        <v>84</v>
      </c>
      <c r="M56" s="18" t="inlineStr">
        <is>
          <t>2000-20000</t>
        </is>
      </c>
      <c r="N56" s="18" t="inlineStr">
        <is>
          <t>新锐白领
小镇青年
精致妈妈</t>
        </is>
      </c>
      <c r="O56" s="21" t="n">
        <v>0.5</v>
      </c>
      <c r="P56" s="18" t="n">
        <v>729000</v>
      </c>
      <c r="Q56" s="18">
        <f>Z56*1.05</f>
        <v/>
      </c>
      <c r="R56" s="20">
        <f>Z56/(AB56+AD56+AC56)</f>
        <v/>
      </c>
      <c r="S56" s="18" t="inlineStr">
        <is>
          <t>视频</t>
        </is>
      </c>
      <c r="T56" s="35" t="n">
        <v>0.623</v>
      </c>
      <c r="U56" s="21" t="n">
        <v>0.27</v>
      </c>
      <c r="V56" s="21" t="n">
        <v>0.42</v>
      </c>
      <c r="W56" s="21" t="n">
        <v>0.12</v>
      </c>
      <c r="X56" s="21" t="n"/>
      <c r="Y56" s="21" t="n"/>
      <c r="Z56" s="18" t="n">
        <v>42800</v>
      </c>
      <c r="AA56" s="154">
        <f>SUM((Z56/P56)*1000)</f>
        <v/>
      </c>
      <c r="AB56" s="18" t="n">
        <v>40000</v>
      </c>
      <c r="AC56" s="18" t="n">
        <v>728</v>
      </c>
      <c r="AD56" s="18" t="n">
        <v>576</v>
      </c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</row>
    <row r="57">
      <c r="A57" s="18" t="n"/>
      <c r="B57" s="18" t="n"/>
      <c r="C57" s="18" t="n"/>
      <c r="D57" s="18" t="inlineStr">
        <is>
          <t>电商</t>
        </is>
      </c>
      <c r="E57" s="32" t="inlineStr">
        <is>
          <t>新中式×中古风混搭，专业家居博主</t>
        </is>
      </c>
      <c r="F57" s="18" t="inlineStr">
        <is>
          <t>微微的家</t>
        </is>
      </c>
      <c r="G57" s="18" t="inlineStr">
        <is>
          <t>https://www.xingtu.cn/ad/creator/author-homepage/douyin-video/7411126425756893221?market_track_id=JHTNBEGQO60RJNOU4K0V&amp;search_session_id=7612611836790308873&amp;possessStarId</t>
        </is>
      </c>
      <c r="H57" s="18" t="inlineStr">
        <is>
          <t>https://www.douyin.com/user/MS4wLjABAAAARUypKahedhA7ZUKq8lGwB7JlQ6dWkAaafyXnU9MdhTgLGC5w0AW2ZKnxtVsg5nZw</t>
        </is>
      </c>
      <c r="I57" s="18" t="n">
        <v>71119734676</v>
      </c>
      <c r="J57" s="18" t="inlineStr">
        <is>
          <t>家居</t>
        </is>
      </c>
      <c r="K57" s="18" t="inlineStr">
        <is>
          <t>尾部</t>
        </is>
      </c>
      <c r="L57" s="18" t="n">
        <v>13.7</v>
      </c>
      <c r="M57" s="18" t="inlineStr">
        <is>
          <t>2000-20000</t>
        </is>
      </c>
      <c r="N57" s="18" t="inlineStr">
        <is>
          <t>新锐白领
精致妈妈
小镇青年</t>
        </is>
      </c>
      <c r="O57" s="21" t="n">
        <v>0.73</v>
      </c>
      <c r="P57" s="18" t="n">
        <v>486000</v>
      </c>
      <c r="Q57" s="18">
        <f>Z57*1.05</f>
        <v/>
      </c>
      <c r="R57" s="20">
        <f>Z57/(AB57+AD57+AC57)</f>
        <v/>
      </c>
      <c r="S57" s="18" t="inlineStr">
        <is>
          <t>视频</t>
        </is>
      </c>
      <c r="T57" s="21" t="n">
        <v>0.93</v>
      </c>
      <c r="U57" s="21" t="n">
        <v>0.3</v>
      </c>
      <c r="V57" s="21" t="n">
        <v>0.6</v>
      </c>
      <c r="W57" s="21" t="n">
        <v>0.04</v>
      </c>
      <c r="X57" s="21" t="n"/>
      <c r="Y57" s="21" t="n"/>
      <c r="Z57" s="18" t="n">
        <v>17000</v>
      </c>
      <c r="AA57" s="154">
        <f>SUM((Z57/P57)*1000)</f>
        <v/>
      </c>
      <c r="AB57" s="18" t="n">
        <v>15000</v>
      </c>
      <c r="AC57" s="18" t="n">
        <v>347</v>
      </c>
      <c r="AD57" s="18" t="n">
        <v>320</v>
      </c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</row>
    <row r="58" ht="24.75" customHeight="1" s="151">
      <c r="A58" s="18" t="n"/>
      <c r="B58" s="18" t="n"/>
      <c r="C58" s="18" t="n"/>
      <c r="D58" s="18" t="inlineStr">
        <is>
          <t>品牌</t>
        </is>
      </c>
      <c r="E58" s="32" t="inlineStr">
        <is>
          <t>多孩家庭亲子家庭，调性高，转化好</t>
        </is>
      </c>
      <c r="F58" s="18" t="inlineStr">
        <is>
          <t>阿拉冰冰</t>
        </is>
      </c>
      <c r="G58" s="18" t="inlineStr">
        <is>
          <t>https://www.xingtu.cn/ad/creator/author-homepage/douyin-video/6870162144202063885?market_track_id=JHTNBEGQO60RJNOU4K0V&amp;search_session_id=7612612744516632585&amp;possessStarId</t>
        </is>
      </c>
      <c r="H58" s="18" t="inlineStr">
        <is>
          <t>https://www.douyin.com/user/MS4wLjABAAAASQlIT9yA-LNfju8IjDx0j2GdcdLhlHwn_qr83KMtCY0</t>
        </is>
      </c>
      <c r="I58" s="18" t="inlineStr">
        <is>
          <t>alabingbing7</t>
        </is>
      </c>
      <c r="J58" s="18" t="inlineStr">
        <is>
          <t>亲子</t>
        </is>
      </c>
      <c r="K58" s="18" t="inlineStr">
        <is>
          <t>尾部</t>
        </is>
      </c>
      <c r="L58" s="18" t="n">
        <v>15.9</v>
      </c>
      <c r="M58" s="18" t="inlineStr">
        <is>
          <t>2000-20000</t>
        </is>
      </c>
      <c r="N58" s="18" t="inlineStr">
        <is>
          <t>新锐白领
小镇青年
精致妈妈</t>
        </is>
      </c>
      <c r="O58" s="21" t="n">
        <v>0.7</v>
      </c>
      <c r="P58" s="18" t="n">
        <v>556000</v>
      </c>
      <c r="Q58" s="18">
        <f>Z58*1.05</f>
        <v/>
      </c>
      <c r="R58" s="20">
        <f>Z58/(AB58+AD58+AC58)</f>
        <v/>
      </c>
      <c r="S58" s="18" t="inlineStr">
        <is>
          <t>视频</t>
        </is>
      </c>
      <c r="T58" s="21" t="n">
        <v>0.5</v>
      </c>
      <c r="U58" s="21" t="n">
        <v>0.26</v>
      </c>
      <c r="V58" s="21" t="n">
        <v>0.65</v>
      </c>
      <c r="W58" s="21" t="n">
        <v>0.04</v>
      </c>
      <c r="X58" s="21" t="n"/>
      <c r="Y58" s="21" t="n"/>
      <c r="Z58" s="18" t="n">
        <v>28000</v>
      </c>
      <c r="AA58" s="154">
        <f>SUM((Z58/P58)*1000)</f>
        <v/>
      </c>
      <c r="AB58" s="18" t="n">
        <v>2395</v>
      </c>
      <c r="AC58" s="18" t="n">
        <v>74</v>
      </c>
      <c r="AD58" s="18" t="n">
        <v>614</v>
      </c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</row>
    <row r="59" ht="24.75" customHeight="1" s="151">
      <c r="A59" s="18" t="n"/>
      <c r="B59" s="18" t="n"/>
      <c r="C59" s="18" t="n"/>
      <c r="D59" s="18" t="inlineStr">
        <is>
          <t>品牌</t>
        </is>
      </c>
      <c r="E59" s="32" t="inlineStr">
        <is>
          <t>家庭生活达人A3指数高，粉丝受众精准</t>
        </is>
      </c>
      <c r="F59" s="18" t="inlineStr">
        <is>
          <t xml:space="preserve">
杠金</t>
        </is>
      </c>
      <c r="G59" s="18" t="inlineStr">
        <is>
          <t>https://www.xingtu.cn/ad/creator/author-homepage/douyin-video/7427403870072111155?market_track_id=JHTNBEGQO60RJNOU4K0V&amp;search_session_id=7612612744516632585&amp;possessStarId</t>
        </is>
      </c>
      <c r="H59" s="18" t="inlineStr">
        <is>
          <t>https://www.douyin.com/user/MS4wLjABAAAAvTAJb8dJVKxeMB1JkonLZFg0RomZgtjxb05Ya0FR4H4</t>
        </is>
      </c>
      <c r="I59" s="18" t="n">
        <v>24299565616</v>
      </c>
      <c r="J59" s="18" t="inlineStr">
        <is>
          <t>家庭</t>
        </is>
      </c>
      <c r="K59" s="18" t="inlineStr">
        <is>
          <t>尾部</t>
        </is>
      </c>
      <c r="L59" s="18" t="n">
        <v>11</v>
      </c>
      <c r="M59" s="18" t="inlineStr">
        <is>
          <t>20000-100000</t>
        </is>
      </c>
      <c r="N59" s="18" t="inlineStr">
        <is>
          <t>新锐白领
精致妈妈
小镇青年</t>
        </is>
      </c>
      <c r="O59" s="21" t="n">
        <v>0.6</v>
      </c>
      <c r="P59" s="18" t="n">
        <v>759000</v>
      </c>
      <c r="Q59" s="18">
        <f>Z59*1.05</f>
        <v/>
      </c>
      <c r="R59" s="20">
        <f>Z59/(AB59+AD59+AC59)</f>
        <v/>
      </c>
      <c r="S59" s="18" t="inlineStr">
        <is>
          <t>视频</t>
        </is>
      </c>
      <c r="T59" s="21" t="n">
        <v>0.82</v>
      </c>
      <c r="U59" s="21" t="n">
        <v>0.35</v>
      </c>
      <c r="V59" s="21" t="n">
        <v>0.4</v>
      </c>
      <c r="W59" s="21" t="n">
        <v>0.06</v>
      </c>
      <c r="X59" s="21" t="n"/>
      <c r="Y59" s="21" t="n"/>
      <c r="Z59" s="18" t="n">
        <v>30000</v>
      </c>
      <c r="AA59" s="154">
        <f>SUM((Z59/P59)*1000)</f>
        <v/>
      </c>
      <c r="AB59" s="18" t="n">
        <v>6260</v>
      </c>
      <c r="AC59" s="18" t="n">
        <v>756</v>
      </c>
      <c r="AD59" s="18" t="n">
        <v>464</v>
      </c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</row>
    <row r="60">
      <c r="A60" s="18" t="n"/>
      <c r="B60" s="18" t="n"/>
      <c r="C60" s="18" t="n"/>
      <c r="D60" s="18" t="inlineStr">
        <is>
          <t>电商</t>
        </is>
      </c>
      <c r="E60" s="32" t="inlineStr">
        <is>
          <t>A3指数高，粉丝画像匹配度高</t>
        </is>
      </c>
      <c r="F60" s="18" t="inlineStr">
        <is>
          <t>黄先森的早餐日记</t>
        </is>
      </c>
      <c r="G60" s="18" t="inlineStr">
        <is>
          <t>https://www.xingtu.cn/ad/creator/author-homepage/douyin-video/6877547150427848712?market_track_id=KXF3U58FINQOMQVTKIE7&amp;search_session_id=7612870942158635034&amp;possessStarId</t>
        </is>
      </c>
      <c r="H60" s="18" t="inlineStr">
        <is>
          <t>https://www.douyin.com/user/MS4wLjABAAAAzx_SHNZCoiEF9zJCwNb6F7xPqm-jHdPyJZPBuIqkmw4</t>
        </is>
      </c>
      <c r="I60" s="18" t="inlineStr">
        <is>
          <t>hxsdzcrj</t>
        </is>
      </c>
      <c r="J60" s="18" t="inlineStr">
        <is>
          <t>美食</t>
        </is>
      </c>
      <c r="K60" s="18" t="inlineStr">
        <is>
          <t>肩部</t>
        </is>
      </c>
      <c r="L60" s="18" t="n">
        <v>448.2</v>
      </c>
      <c r="M60" s="18" t="inlineStr">
        <is>
          <t>20000-100000</t>
        </is>
      </c>
      <c r="N60" s="18" t="inlineStr">
        <is>
          <t>资深中产
精致妈妈
新锐白领</t>
        </is>
      </c>
      <c r="O60" s="35" t="n">
        <v>0.611</v>
      </c>
      <c r="P60" s="18" t="n">
        <v>678000</v>
      </c>
      <c r="Q60" s="18">
        <f>Z60*1.05</f>
        <v/>
      </c>
      <c r="R60" s="20">
        <f>Z60/(AB60+AD60+AC60)</f>
        <v/>
      </c>
      <c r="S60" s="18" t="inlineStr">
        <is>
          <t>视频</t>
        </is>
      </c>
      <c r="T60" s="21" t="n">
        <v>0.73</v>
      </c>
      <c r="U60" s="21" t="n">
        <v>0.12</v>
      </c>
      <c r="V60" s="21" t="n">
        <v>0.5</v>
      </c>
      <c r="W60" s="21" t="n">
        <v>0.24</v>
      </c>
      <c r="X60" s="21" t="n"/>
      <c r="Y60" s="21" t="n"/>
      <c r="Z60" s="18" t="n">
        <v>68000</v>
      </c>
      <c r="AA60" s="154">
        <f>SUM((Z60/P60)*1000)</f>
        <v/>
      </c>
      <c r="AB60" s="18" t="n">
        <v>8002</v>
      </c>
      <c r="AC60" s="18" t="n">
        <v>295</v>
      </c>
      <c r="AD60" s="18" t="n">
        <v>1645</v>
      </c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</row>
    <row r="61" ht="24.75" customHeight="1" s="151">
      <c r="A61" s="18" t="n"/>
      <c r="B61" s="18" t="n"/>
      <c r="C61" s="18" t="n"/>
      <c r="D61" s="18" t="inlineStr">
        <is>
          <t>电商</t>
        </is>
      </c>
      <c r="E61" s="32" t="inlineStr">
        <is>
          <t>A3指数高，达人有创意，视频数据好</t>
        </is>
      </c>
      <c r="F61" s="18" t="inlineStr">
        <is>
          <t>谢反反</t>
        </is>
      </c>
      <c r="G61" s="18" t="inlineStr">
        <is>
          <t>https://www.xingtu.cn/ad/creator/author-homepage/douyin-video/7296811576265277490?market_track_id=NBFHER5MW37GY5E9I36C&amp;search_session_id=7612904275731628041&amp;possessStarId</t>
        </is>
      </c>
      <c r="H61" s="18" t="inlineStr">
        <is>
          <t>https://www.douyin.com/user/MS4wLjABAAAAUffHkEq19-jESF1fZkTu3bWAm9hJGebHwIobcTsfadbEBf7WjmG6lmfKfUW1SWCW</t>
        </is>
      </c>
      <c r="I61" s="18" t="inlineStr">
        <is>
          <t>larry_thoreau</t>
        </is>
      </c>
      <c r="J61" s="18" t="inlineStr">
        <is>
          <t>房屋装修</t>
        </is>
      </c>
      <c r="K61" s="18" t="inlineStr">
        <is>
          <t>腰部</t>
        </is>
      </c>
      <c r="L61" s="18" t="n">
        <v>52</v>
      </c>
      <c r="M61" s="18" t="n">
        <v>100000</v>
      </c>
      <c r="N61" s="18" t="inlineStr">
        <is>
          <t>新锐白领
小镇青年
精致妈妈</t>
        </is>
      </c>
      <c r="O61" s="21" t="n">
        <v>0.51</v>
      </c>
      <c r="P61" s="18" t="n">
        <v>4552000</v>
      </c>
      <c r="Q61" s="18">
        <f>Z61*1.05</f>
        <v/>
      </c>
      <c r="R61" s="20">
        <f>Z61/(AB61+AD61+AC61)</f>
        <v/>
      </c>
      <c r="S61" s="18" t="inlineStr">
        <is>
          <t>视频</t>
        </is>
      </c>
      <c r="T61" s="21" t="n">
        <v>0.63</v>
      </c>
      <c r="U61" s="21" t="n">
        <v>0.35</v>
      </c>
      <c r="V61" s="21" t="n">
        <v>0.41</v>
      </c>
      <c r="W61" s="21" t="n">
        <v>0.07000000000000001</v>
      </c>
      <c r="X61" s="21" t="n"/>
      <c r="Y61" s="21" t="n"/>
      <c r="Z61" s="18" t="n">
        <v>65000</v>
      </c>
      <c r="AA61" s="154">
        <f>SUM((Z61/P61)*1000)</f>
        <v/>
      </c>
      <c r="AB61" s="18" t="n">
        <v>1370000</v>
      </c>
      <c r="AC61" s="18" t="n">
        <v>10000</v>
      </c>
      <c r="AD61" s="18" t="n">
        <v>31000</v>
      </c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</row>
    <row r="62" ht="24.75" customHeight="1" s="151">
      <c r="A62" s="18" t="n"/>
      <c r="B62" s="18" t="n"/>
      <c r="C62" s="18" t="n"/>
      <c r="D62" s="18" t="inlineStr">
        <is>
          <t>品牌</t>
        </is>
      </c>
      <c r="E62" s="32" t="inlineStr">
        <is>
          <t>粉丝年龄和性别契合度高，A3数据亮眼</t>
        </is>
      </c>
      <c r="F62" s="18" t="inlineStr">
        <is>
          <t>绿萝去哪儿</t>
        </is>
      </c>
      <c r="G62" s="18" t="inlineStr">
        <is>
          <t>https://www.xingtu.cn/ad/creator/author-homepage/douyin-video/6681057961172795404?market_track_id=CYF5EVY6IO8FUOF70E80&amp;search_session_id=7612907392548421659&amp;possessStarId</t>
        </is>
      </c>
      <c r="H62" s="18" t="inlineStr">
        <is>
          <t>https://www.douyin.com/user/MS4wLjABAAAAv03JeFhWkbCcVR6OOSJtI9vc6NRr269VW6Fr5TuILfQ</t>
        </is>
      </c>
      <c r="I62" s="18" t="n">
        <v>1489184367</v>
      </c>
      <c r="J62" s="18" t="inlineStr">
        <is>
          <t>生活家居</t>
        </is>
      </c>
      <c r="K62" s="18" t="inlineStr">
        <is>
          <t>腰部</t>
        </is>
      </c>
      <c r="L62" s="18" t="n">
        <v>200</v>
      </c>
      <c r="M62" s="18" t="inlineStr">
        <is>
          <t>20000-100000</t>
        </is>
      </c>
      <c r="N62" s="18" t="inlineStr">
        <is>
          <t>小镇青年
新锐白领
精致妈妈</t>
        </is>
      </c>
      <c r="O62" s="21" t="n">
        <v>0.4</v>
      </c>
      <c r="P62" s="18" t="n">
        <v>1200000</v>
      </c>
      <c r="Q62" s="18">
        <f>Z62*1.05</f>
        <v/>
      </c>
      <c r="R62" s="20">
        <f>Z62/(AB62+AD62+AC62)</f>
        <v/>
      </c>
      <c r="S62" s="18" t="inlineStr">
        <is>
          <t>视频</t>
        </is>
      </c>
      <c r="T62" s="21" t="n">
        <v>0.71</v>
      </c>
      <c r="U62" s="21" t="n">
        <v>0.21</v>
      </c>
      <c r="V62" s="21" t="n">
        <v>0.44</v>
      </c>
      <c r="W62" s="21" t="n">
        <v>0.18</v>
      </c>
      <c r="X62" s="21" t="n"/>
      <c r="Y62" s="21" t="n"/>
      <c r="Z62" s="18" t="n">
        <v>78000</v>
      </c>
      <c r="AA62" s="154">
        <f>SUM((Z62/P62)*1000)</f>
        <v/>
      </c>
      <c r="AB62" s="18" t="n">
        <v>18000</v>
      </c>
      <c r="AC62" s="18" t="n">
        <v>457</v>
      </c>
      <c r="AD62" s="18" t="n">
        <v>7758</v>
      </c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</row>
    <row r="63">
      <c r="A63" s="18" t="n"/>
      <c r="B63" s="18" t="n"/>
      <c r="C63" s="18" t="n"/>
      <c r="D63" s="18" t="inlineStr">
        <is>
          <t>电商</t>
        </is>
      </c>
      <c r="E63" s="32" t="inlineStr">
        <is>
          <t>粉丝画像契合，综合性价比高</t>
        </is>
      </c>
      <c r="F63" s="18" t="inlineStr">
        <is>
          <t>一只芋圆仔</t>
        </is>
      </c>
      <c r="G63" s="18" t="inlineStr">
        <is>
          <t>https://www.xingtu.cn/ad/creator/author-homepage/douyin-video/7215143016137228343?market_track_id=ZWASKBQKMRJE74YLWW0T&amp;search_session_id=7612924184762941490&amp;possessStarId</t>
        </is>
      </c>
      <c r="H63" s="18" t="inlineStr">
        <is>
          <t>https://www.douyin.com/user/MS4wLjABAAAAP9FAhfUuXfeXuRmUQTZ3slajCN0N0L1aLQQO3x_CWn0QJ9ckx6pIu7zIhQhaoi7A</t>
        </is>
      </c>
      <c r="I63" s="18" t="n">
        <v>35826521129</v>
      </c>
      <c r="J63" s="18" t="inlineStr">
        <is>
          <t>生活家居</t>
        </is>
      </c>
      <c r="K63" s="18" t="inlineStr">
        <is>
          <t>尾部</t>
        </is>
      </c>
      <c r="L63" s="18" t="n">
        <v>13</v>
      </c>
      <c r="M63" s="18" t="inlineStr">
        <is>
          <t>2000-20000</t>
        </is>
      </c>
      <c r="N63" s="18" t="inlineStr">
        <is>
          <t>小镇青年
新锐白领
精致妈妈</t>
        </is>
      </c>
      <c r="O63" s="35" t="n">
        <v>0.552</v>
      </c>
      <c r="P63" s="18" t="n">
        <v>329000</v>
      </c>
      <c r="Q63" s="18">
        <f>Z63*1.05</f>
        <v/>
      </c>
      <c r="R63" s="20">
        <f>Z63/(AB63+AD63+AC63)</f>
        <v/>
      </c>
      <c r="S63" s="18" t="inlineStr">
        <is>
          <t>视频</t>
        </is>
      </c>
      <c r="T63" s="21" t="n">
        <v>0.79</v>
      </c>
      <c r="U63" s="21" t="n">
        <v>0.26</v>
      </c>
      <c r="V63" s="21" t="n">
        <v>0.44</v>
      </c>
      <c r="W63" s="21" t="n">
        <v>0.14</v>
      </c>
      <c r="X63" s="21" t="n"/>
      <c r="Y63" s="21" t="n"/>
      <c r="Z63" s="18" t="n">
        <v>15800</v>
      </c>
      <c r="AA63" s="154">
        <f>SUM((Z63/P63)*1000)</f>
        <v/>
      </c>
      <c r="AB63" s="18" t="n">
        <v>5600</v>
      </c>
      <c r="AC63" s="18" t="n">
        <v>55</v>
      </c>
      <c r="AD63" s="18" t="n">
        <v>2616</v>
      </c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</row>
    <row r="64" ht="24.75" customHeight="1" s="151">
      <c r="A64" s="37" t="n"/>
      <c r="B64" s="37" t="n"/>
      <c r="C64" s="37" t="n"/>
      <c r="D64" s="37" t="inlineStr">
        <is>
          <t>品牌</t>
        </is>
      </c>
      <c r="E64" s="38" t="inlineStr">
        <is>
          <t>女粉占比稍逊，新锐白领占比达40%，31-40年龄占比近50%</t>
        </is>
      </c>
      <c r="F64" s="37" t="inlineStr">
        <is>
          <t>设计师小北</t>
        </is>
      </c>
      <c r="G64" s="37" t="inlineStr">
        <is>
          <t>https://www.xingtu.cn/ad/creator/author-homepage/douyin-video/6691420211976863756?market_track_id=ZWASKBQKMRJE74YLWW0T&amp;search_session_id=7612924623893954606&amp;possessStarId</t>
        </is>
      </c>
      <c r="H64" s="37" t="inlineStr">
        <is>
          <t>https://www.douyin.com/user/MS4wLjABAAAAQVoXcsLDAhu05iT-D12Iysy6xhKjFhAyfRAgWgv_NKA</t>
        </is>
      </c>
      <c r="I64" s="37" t="inlineStr">
        <is>
          <t>B910605</t>
        </is>
      </c>
      <c r="J64" s="37" t="inlineStr">
        <is>
          <t>生活家居</t>
        </is>
      </c>
      <c r="K64" s="37" t="inlineStr">
        <is>
          <t>腰部</t>
        </is>
      </c>
      <c r="L64" s="37" t="n">
        <v>253</v>
      </c>
      <c r="M64" s="37" t="inlineStr">
        <is>
          <t>2000-20000</t>
        </is>
      </c>
      <c r="N64" s="37" t="inlineStr">
        <is>
          <t>新锐白领
小镇青年
精致妈妈</t>
        </is>
      </c>
      <c r="O64" s="67" t="n">
        <v>0.569</v>
      </c>
      <c r="P64" s="37" t="n">
        <v>4567000</v>
      </c>
      <c r="Q64" s="37">
        <f>Z64*1.05</f>
        <v/>
      </c>
      <c r="R64" s="40">
        <f>Z64/(AB64+AD64+AC64)</f>
        <v/>
      </c>
      <c r="S64" s="37" t="inlineStr">
        <is>
          <t>视频</t>
        </is>
      </c>
      <c r="T64" s="41" t="n">
        <v>0.4</v>
      </c>
      <c r="U64" s="41" t="n">
        <v>0.31</v>
      </c>
      <c r="V64" s="41" t="n">
        <v>0.47</v>
      </c>
      <c r="W64" s="41" t="n">
        <v>0.06</v>
      </c>
      <c r="X64" s="41" t="n"/>
      <c r="Y64" s="41" t="n"/>
      <c r="Z64" s="37" t="n">
        <v>59800</v>
      </c>
      <c r="AA64" s="157">
        <f>SUM((Z64/P64)*1000)</f>
        <v/>
      </c>
      <c r="AB64" s="37" t="n">
        <v>22000</v>
      </c>
      <c r="AC64" s="37" t="n">
        <v>768</v>
      </c>
      <c r="AD64" s="37" t="n">
        <v>2567</v>
      </c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43" t="n"/>
      <c r="AR64" s="43" t="n"/>
    </row>
    <row r="65" ht="24.75" customHeight="1" s="151">
      <c r="A65" s="18" t="n"/>
      <c r="B65" s="18" t="n"/>
      <c r="C65" s="18" t="n"/>
      <c r="D65" s="18" t="inlineStr">
        <is>
          <t>品牌</t>
        </is>
      </c>
      <c r="E65" s="32" t="inlineStr">
        <is>
          <t>三大核心人群占比50%+，女粉和31-40年龄占比最高</t>
        </is>
      </c>
      <c r="F65" s="18" t="inlineStr">
        <is>
          <t>吴先生的小家</t>
        </is>
      </c>
      <c r="G65" s="18" t="inlineStr">
        <is>
          <t>https://www.xingtu.cn/ad/creator/author-homepage/douyin-video/7352563615523831846?market_track_id=ZWASKBQKMRJE74YLWW0T&amp;search_session_id=7612928637989568563&amp;possessStarId</t>
        </is>
      </c>
      <c r="H65" s="18" t="inlineStr">
        <is>
          <t>https://www.douyin.com/user/MS4wLjABAAAAgQVOa4WQ3cDk9Z3fGmEQMIKnZrLhfe-e3SXQwBHv8w9YpxR48MqGTTYvf-_NGLuI</t>
        </is>
      </c>
      <c r="I65" s="18" t="n">
        <v>69212916501</v>
      </c>
      <c r="J65" s="18" t="inlineStr">
        <is>
          <t>生活家居</t>
        </is>
      </c>
      <c r="K65" s="18" t="inlineStr">
        <is>
          <t>尾部</t>
        </is>
      </c>
      <c r="L65" s="18" t="n">
        <v>44</v>
      </c>
      <c r="M65" s="37" t="inlineStr">
        <is>
          <t>150-2000</t>
        </is>
      </c>
      <c r="N65" s="18" t="inlineStr">
        <is>
          <t>新锐白领
小镇青年
精致妈妈</t>
        </is>
      </c>
      <c r="O65" s="35" t="n">
        <v>0.505</v>
      </c>
      <c r="P65" s="18" t="n">
        <v>861000</v>
      </c>
      <c r="Q65" s="18">
        <f>Z65*1.05</f>
        <v/>
      </c>
      <c r="R65" s="20">
        <f>Z65/(AB65+AD65+AC65)</f>
        <v/>
      </c>
      <c r="S65" s="18" t="inlineStr">
        <is>
          <t>视频</t>
        </is>
      </c>
      <c r="T65" s="21" t="n">
        <v>0.75</v>
      </c>
      <c r="U65" s="21" t="n">
        <v>0.33</v>
      </c>
      <c r="V65" s="21" t="n">
        <v>0.4</v>
      </c>
      <c r="W65" s="21" t="n">
        <v>0.06</v>
      </c>
      <c r="X65" s="21" t="n"/>
      <c r="Y65" s="21" t="n"/>
      <c r="Z65" s="18" t="n">
        <v>21800</v>
      </c>
      <c r="AA65" s="154">
        <f>SUM((Z65/P65)*1000)</f>
        <v/>
      </c>
      <c r="AB65" s="18" t="n">
        <v>2137</v>
      </c>
      <c r="AC65" s="18" t="n">
        <v>213</v>
      </c>
      <c r="AD65" s="18" t="n">
        <v>511</v>
      </c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</row>
    <row r="66">
      <c r="A66" s="18" t="n"/>
      <c r="B66" s="18" t="n"/>
      <c r="C66" s="18" t="n"/>
      <c r="D66" s="18" t="inlineStr">
        <is>
          <t>电商</t>
        </is>
      </c>
      <c r="E66" s="32" t="inlineStr">
        <is>
          <t>核心粉丝画像契合度高</t>
        </is>
      </c>
      <c r="F66" s="18" t="inlineStr">
        <is>
          <t>爱家的小言</t>
        </is>
      </c>
      <c r="G66" s="18" t="inlineStr">
        <is>
          <t>https://www.xingtu.cn/ad/creator/author-homepage/douyin-video/6847685914861256712?market_track_id=ZWASKBQKMRJE74YLWW0T&amp;search_session_id=7612929464566906889&amp;possessStarId</t>
        </is>
      </c>
      <c r="H66" s="18" t="inlineStr">
        <is>
          <t>https://www.douyin.com/user/MS4wLjABAAAAvlVAsV0qst24Wwa1RhvrDPZQy2XnMJ9jXAArajRxG5U</t>
        </is>
      </c>
      <c r="I66" s="18" t="inlineStr">
        <is>
          <t>xiaoyan422888</t>
        </is>
      </c>
      <c r="J66" s="18" t="inlineStr">
        <is>
          <t>生活家居</t>
        </is>
      </c>
      <c r="K66" s="18" t="inlineStr">
        <is>
          <t>腰部</t>
        </is>
      </c>
      <c r="L66" s="18" t="n">
        <v>68</v>
      </c>
      <c r="M66" s="18" t="inlineStr">
        <is>
          <t>2000-20000</t>
        </is>
      </c>
      <c r="N66" s="18" t="inlineStr">
        <is>
          <t>新锐白领
小镇青年
精致妈妈</t>
        </is>
      </c>
      <c r="O66" s="35" t="n">
        <v>0.591</v>
      </c>
      <c r="P66" s="18" t="n">
        <v>363000</v>
      </c>
      <c r="Q66" s="18">
        <f>Z66*1.05</f>
        <v/>
      </c>
      <c r="R66" s="20">
        <f>Z66/(AB66+AD66+AC66)</f>
        <v/>
      </c>
      <c r="S66" s="18" t="inlineStr">
        <is>
          <t>视频</t>
        </is>
      </c>
      <c r="T66" s="21" t="n">
        <v>0.57</v>
      </c>
      <c r="U66" s="21" t="n">
        <v>0.31</v>
      </c>
      <c r="V66" s="21" t="n">
        <v>0.44</v>
      </c>
      <c r="W66" s="21" t="n">
        <v>0.12</v>
      </c>
      <c r="X66" s="21" t="n"/>
      <c r="Y66" s="21" t="n"/>
      <c r="Z66" s="18" t="n">
        <v>42000</v>
      </c>
      <c r="AA66" s="154">
        <f>SUM((Z66/P66)*1000)</f>
        <v/>
      </c>
      <c r="AB66" s="18" t="n">
        <v>6146</v>
      </c>
      <c r="AC66" s="18" t="n">
        <v>290</v>
      </c>
      <c r="AD66" s="18" t="n">
        <v>496</v>
      </c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</row>
    <row r="67" ht="24.75" customHeight="1" s="151">
      <c r="A67" s="18" t="n"/>
      <c r="B67" s="18" t="n"/>
      <c r="C67" s="18" t="n"/>
      <c r="D67" s="18" t="inlineStr">
        <is>
          <t>电商</t>
        </is>
      </c>
      <c r="E67" s="32" t="inlineStr">
        <is>
          <t>三大核心人群占比60%+，近期数据好，投放效果好</t>
        </is>
      </c>
      <c r="F67" s="18" t="inlineStr">
        <is>
          <t>爱折腾的稀瓜</t>
        </is>
      </c>
      <c r="G67" s="18" t="inlineStr">
        <is>
          <t>https://www.xingtu.cn/ad/creator/author-homepage/douyin-video/7475264104974778406?market_track_id=ZWASKBQKMRJE74YLWW0T&amp;search_session_id=7612933352894545947&amp;possessStarId</t>
        </is>
      </c>
      <c r="H67" s="18" t="inlineStr">
        <is>
          <t>https://www.douyin.com/user/MS4wLjABAAAA-k56s429UgYVRVj7_ppi7YZ171L9zDXOkdM1Kl46PqQ</t>
        </is>
      </c>
      <c r="I67" s="18" t="inlineStr">
        <is>
          <t>winter105piao</t>
        </is>
      </c>
      <c r="J67" s="18" t="inlineStr">
        <is>
          <t>生活家居</t>
        </is>
      </c>
      <c r="K67" s="18" t="inlineStr">
        <is>
          <t>尾部</t>
        </is>
      </c>
      <c r="L67" s="18" t="n">
        <v>23.4</v>
      </c>
      <c r="M67" s="18" t="inlineStr">
        <is>
          <t>2000-20000</t>
        </is>
      </c>
      <c r="N67" s="18" t="inlineStr">
        <is>
          <t>新锐白领
小镇青年
资深中产</t>
        </is>
      </c>
      <c r="O67" s="35" t="n">
        <v>0.608</v>
      </c>
      <c r="P67" s="18" t="n">
        <v>2153000</v>
      </c>
      <c r="Q67" s="18">
        <f>Z67*1.05</f>
        <v/>
      </c>
      <c r="R67" s="20">
        <f>Z67/(AB67+AD67+AC67)</f>
        <v/>
      </c>
      <c r="S67" s="18" t="inlineStr">
        <is>
          <t>视频</t>
        </is>
      </c>
      <c r="T67" s="35" t="n">
        <v>0.505</v>
      </c>
      <c r="U67" s="21" t="n">
        <v>0.32</v>
      </c>
      <c r="V67" s="21" t="n">
        <v>0.43</v>
      </c>
      <c r="W67" s="21" t="n">
        <v>0.12</v>
      </c>
      <c r="X67" s="21" t="n"/>
      <c r="Y67" s="21" t="n"/>
      <c r="Z67" s="18" t="n">
        <v>29500</v>
      </c>
      <c r="AA67" s="154">
        <f>SUM((Z67/P67)*1000)</f>
        <v/>
      </c>
      <c r="AB67" s="18" t="n">
        <v>32000</v>
      </c>
      <c r="AC67" s="18" t="n">
        <v>895</v>
      </c>
      <c r="AD67" s="18" t="n">
        <v>24000</v>
      </c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</row>
    <row r="68">
      <c r="A68" s="18" t="n"/>
      <c r="B68" s="18" t="n"/>
      <c r="C68" s="18" t="n"/>
      <c r="D68" s="18" t="inlineStr">
        <is>
          <t>品牌</t>
        </is>
      </c>
      <c r="E68" s="32" t="inlineStr">
        <is>
          <t>核心投放粉丝契合度高</t>
        </is>
      </c>
      <c r="F68" s="18" t="inlineStr">
        <is>
          <t xml:space="preserve">
心心的小蜗居🏠</t>
        </is>
      </c>
      <c r="G68" s="18" t="inlineStr">
        <is>
          <t>https://www.xingtu.cn/ad/creator/author-homepage/douyin-video/7209600735070126136?market_track_id=N9IQ7NEJKRBGPYRMSWWF&amp;search_session_id=7612939479762698291&amp;possessStarId</t>
        </is>
      </c>
      <c r="H68" s="18" t="inlineStr">
        <is>
          <t>https://www.douyin.com/user/MS4wLjABAAAAP6YjZLD6MkDQVfiFvhCKdWpPJNz959om7-SO1HklBfwyJSwZLmJIVFC83Gh5_01z</t>
        </is>
      </c>
      <c r="I68" s="18" t="inlineStr">
        <is>
          <t>zkx20221102</t>
        </is>
      </c>
      <c r="J68" s="18" t="inlineStr">
        <is>
          <t>生活家居</t>
        </is>
      </c>
      <c r="K68" s="18" t="inlineStr">
        <is>
          <t>尾部</t>
        </is>
      </c>
      <c r="L68" s="18" t="n">
        <v>14.8</v>
      </c>
      <c r="M68" s="18" t="inlineStr">
        <is>
          <t>2000-20000</t>
        </is>
      </c>
      <c r="N68" s="18" t="inlineStr">
        <is>
          <t>新锐白领
小镇青年
精致妈妈</t>
        </is>
      </c>
      <c r="O68" s="35" t="n">
        <v>0.507</v>
      </c>
      <c r="P68" s="18" t="n">
        <v>743000</v>
      </c>
      <c r="Q68" s="18">
        <f>Z68*1.05</f>
        <v/>
      </c>
      <c r="R68" s="20">
        <f>Z68/(AB68+AD68+AC68)</f>
        <v/>
      </c>
      <c r="S68" s="18" t="inlineStr">
        <is>
          <t>视频</t>
        </is>
      </c>
      <c r="T68" s="21" t="n">
        <v>0.74</v>
      </c>
      <c r="U68" s="21" t="n">
        <v>0.32</v>
      </c>
      <c r="V68" s="21" t="n">
        <v>0.45</v>
      </c>
      <c r="W68" s="21" t="n">
        <v>0.05</v>
      </c>
      <c r="X68" s="21" t="n"/>
      <c r="Y68" s="21" t="n"/>
      <c r="Z68" s="18" t="n">
        <v>19800</v>
      </c>
      <c r="AA68" s="154">
        <f>SUM((Z68/P68)*1000)</f>
        <v/>
      </c>
      <c r="AB68" s="18" t="n">
        <v>6464</v>
      </c>
      <c r="AC68" s="18" t="n">
        <v>98</v>
      </c>
      <c r="AD68" s="18" t="n">
        <v>129</v>
      </c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</row>
    <row r="69" ht="24.75" customHeight="1" s="151">
      <c r="A69" s="18" t="n"/>
      <c r="B69" s="18" t="n"/>
      <c r="C69" s="18" t="n"/>
      <c r="D69" s="18" t="inlineStr">
        <is>
          <t>品牌</t>
        </is>
      </c>
      <c r="E69" s="32" t="inlineStr">
        <is>
          <t>粉丝宝子们覆盖26-40岁女性超活力群体</t>
        </is>
      </c>
      <c r="F69" s="18" t="inlineStr">
        <is>
          <t>泡芙欧尼</t>
        </is>
      </c>
      <c r="G69" s="18" t="inlineStr">
        <is>
          <t>https://www.xingtu.cn/ad/creator/author-homepage/douyin-video/6761626737932517384?market_track_id=N9IQ7NEJKRBGPYRMSWWF&amp;search_session_id=7612939785783017510&amp;possessStarId</t>
        </is>
      </c>
      <c r="H69" s="18" t="inlineStr">
        <is>
          <t>https://www.douyin.com/user/MS4wLjABAAAAzGNmyPglN_tEeXltzb0FRx_IWcvcG8H1vSWvvcYscCs</t>
        </is>
      </c>
      <c r="I69" s="18" t="inlineStr">
        <is>
          <t>mie20002</t>
        </is>
      </c>
      <c r="J69" s="18" t="inlineStr">
        <is>
          <t>生活家居</t>
        </is>
      </c>
      <c r="K69" s="18" t="inlineStr">
        <is>
          <t>腰部</t>
        </is>
      </c>
      <c r="L69" s="18" t="n">
        <v>111</v>
      </c>
      <c r="M69" s="18" t="inlineStr">
        <is>
          <t>2000-20000</t>
        </is>
      </c>
      <c r="N69" s="18" t="inlineStr">
        <is>
          <t>新锐白领
小镇青年
精致妈妈</t>
        </is>
      </c>
      <c r="O69" s="35" t="n">
        <v>0.511</v>
      </c>
      <c r="P69" s="18" t="n">
        <v>1191000</v>
      </c>
      <c r="Q69" s="18">
        <f>Z69*1.05</f>
        <v/>
      </c>
      <c r="R69" s="20">
        <f>Z69/(AB69+AD69+AC69)</f>
        <v/>
      </c>
      <c r="S69" s="18" t="inlineStr">
        <is>
          <t>视频</t>
        </is>
      </c>
      <c r="T69" s="35" t="n">
        <v>0.596</v>
      </c>
      <c r="U69" s="21" t="n">
        <v>0.29</v>
      </c>
      <c r="V69" s="21" t="n">
        <v>0.49</v>
      </c>
      <c r="W69" s="21" t="n">
        <v>0.07000000000000001</v>
      </c>
      <c r="X69" s="21" t="n"/>
      <c r="Y69" s="21" t="n"/>
      <c r="Z69" s="18" t="n">
        <v>49800</v>
      </c>
      <c r="AA69" s="154">
        <f>SUM((Z69/P69)*1000)</f>
        <v/>
      </c>
      <c r="AB69" s="18" t="n">
        <v>3689</v>
      </c>
      <c r="AC69" s="18" t="n">
        <v>629</v>
      </c>
      <c r="AD69" s="18" t="n">
        <v>324</v>
      </c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</row>
    <row r="70" ht="37.15" customHeight="1" s="151">
      <c r="A70" s="18" t="n"/>
      <c r="B70" s="18" t="n"/>
      <c r="C70" s="18" t="n"/>
      <c r="D70" s="18" t="inlineStr">
        <is>
          <t>电商</t>
        </is>
      </c>
      <c r="E70" s="32" t="inlineStr">
        <is>
          <t>A3数据好，触达用户 31-40岁居多，
集中 分布在一线城市</t>
        </is>
      </c>
      <c r="F70" s="18" t="inlineStr">
        <is>
          <t>油炸水蜜桃🍑</t>
        </is>
      </c>
      <c r="G70" s="18" t="inlineStr">
        <is>
          <t>https://www.xingtu.cn/ad/creator/author-homepage/douyin-video/7163093702716424205?market_track_id=N9IQ7NEJKRBGPYRMSWWF&amp;search_session_id=7612939785783017510&amp;possessStarId</t>
        </is>
      </c>
      <c r="H70" s="18" t="inlineStr">
        <is>
          <t>https://www.douyin.com/user/MS4wLjABAAAAC_oB-DcCsAMhMV1WabgD7hp9l_-6HXNXBtM8n_k9cQA</t>
        </is>
      </c>
      <c r="I70" s="18" t="n">
        <v>878732441</v>
      </c>
      <c r="J70" s="18" t="inlineStr">
        <is>
          <t>生活家居</t>
        </is>
      </c>
      <c r="K70" s="18" t="inlineStr">
        <is>
          <t>尾部</t>
        </is>
      </c>
      <c r="L70" s="18" t="n">
        <v>41</v>
      </c>
      <c r="M70" s="18" t="inlineStr">
        <is>
          <t>20000-100000</t>
        </is>
      </c>
      <c r="N70" s="18" t="inlineStr">
        <is>
          <t>新锐白领
小镇青年
精致妈妈</t>
        </is>
      </c>
      <c r="O70" s="35" t="n">
        <v>0.514</v>
      </c>
      <c r="P70" s="18" t="n">
        <v>304000</v>
      </c>
      <c r="Q70" s="18">
        <f>Z70*1.05</f>
        <v/>
      </c>
      <c r="R70" s="20">
        <f>Z70/(AB70+AD70+AC70)</f>
        <v/>
      </c>
      <c r="S70" s="18" t="inlineStr">
        <is>
          <t>视频</t>
        </is>
      </c>
      <c r="T70" s="21" t="n">
        <v>0.5</v>
      </c>
      <c r="U70" s="21" t="n">
        <v>0.28</v>
      </c>
      <c r="V70" s="21" t="n">
        <v>0.41</v>
      </c>
      <c r="W70" s="21" t="n">
        <v>0.11</v>
      </c>
      <c r="X70" s="21" t="n"/>
      <c r="Y70" s="21" t="n"/>
      <c r="Z70" s="18" t="n">
        <v>25500</v>
      </c>
      <c r="AA70" s="154">
        <f>SUM((Z70/P70)*1000)</f>
        <v/>
      </c>
      <c r="AB70" s="18" t="n">
        <v>5749</v>
      </c>
      <c r="AC70" s="18" t="n">
        <v>309</v>
      </c>
      <c r="AD70" s="18" t="n">
        <v>1117</v>
      </c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</row>
    <row r="71">
      <c r="A71" s="18" t="n"/>
      <c r="B71" s="18" t="n"/>
      <c r="C71" s="18" t="n"/>
      <c r="D71" s="18" t="inlineStr">
        <is>
          <t>电商</t>
        </is>
      </c>
      <c r="E71" s="32" t="inlineStr">
        <is>
          <t>粉丝画像匹配度高，适配性强</t>
        </is>
      </c>
      <c r="F71" s="18" t="inlineStr">
        <is>
          <t>七七的生活</t>
        </is>
      </c>
      <c r="G71" s="18" t="inlineStr">
        <is>
          <t>https://www.xingtu.cn/ad/creator/author-homepage/douyin-video/7413640819007029267?market_track_id=N9IQ7NEJKRBGPYRMSWWF&amp;search_session_id=7612941942036414515&amp;possessStarId</t>
        </is>
      </c>
      <c r="H71" s="18" t="inlineStr">
        <is>
          <t>https://www.douyin.com/user/MS4wLjABAAAAkJFloFA-68D6sZUUM615Vzi8ObcJ7Ply6_aLRWYwYxJGJ6MWXXjYJT61bQcCpQJn</t>
        </is>
      </c>
      <c r="I71" s="18" t="n">
        <v>26500072136</v>
      </c>
      <c r="J71" s="18" t="inlineStr">
        <is>
          <t>生活家居</t>
        </is>
      </c>
      <c r="K71" s="18" t="inlineStr">
        <is>
          <t>尾部</t>
        </is>
      </c>
      <c r="L71" s="18" t="n">
        <v>11.7</v>
      </c>
      <c r="M71" s="18" t="inlineStr">
        <is>
          <t>2000-20000</t>
        </is>
      </c>
      <c r="N71" s="18" t="inlineStr">
        <is>
          <t>精致妈妈
新锐白领
小镇青年</t>
        </is>
      </c>
      <c r="O71" s="35" t="n">
        <v>0.609</v>
      </c>
      <c r="P71" s="18" t="n">
        <v>68000</v>
      </c>
      <c r="Q71" s="18">
        <f>Z71*1.05</f>
        <v/>
      </c>
      <c r="R71" s="20">
        <f>Z71/(AB71+AD71+AC71)</f>
        <v/>
      </c>
      <c r="S71" s="18" t="inlineStr">
        <is>
          <t>视频</t>
        </is>
      </c>
      <c r="T71" s="21" t="n">
        <v>0.84</v>
      </c>
      <c r="U71" s="21" t="n">
        <v>0.36</v>
      </c>
      <c r="V71" s="21" t="n">
        <v>0.47</v>
      </c>
      <c r="W71" s="21" t="n">
        <v>0.06</v>
      </c>
      <c r="X71" s="21" t="n"/>
      <c r="Y71" s="21" t="n"/>
      <c r="Z71" s="18" t="n">
        <v>7700</v>
      </c>
      <c r="AA71" s="154">
        <f>SUM((Z71/P71)*1000)</f>
        <v/>
      </c>
      <c r="AB71" s="18" t="n">
        <v>1553</v>
      </c>
      <c r="AC71" s="18" t="n">
        <v>181</v>
      </c>
      <c r="AD71" s="18" t="n">
        <v>829</v>
      </c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</row>
    <row r="72">
      <c r="A72" s="18" t="n"/>
      <c r="B72" s="18" t="n"/>
      <c r="C72" s="18" t="n"/>
      <c r="D72" s="18" t="inlineStr">
        <is>
          <t>品牌</t>
        </is>
      </c>
      <c r="E72" s="32" t="inlineStr">
        <is>
          <t>A3数据好，粉丝画像契合度高</t>
        </is>
      </c>
      <c r="F72" s="18" t="inlineStr">
        <is>
          <t>煮味娘</t>
        </is>
      </c>
      <c r="G72" s="18" t="inlineStr">
        <is>
          <t>https://www.xingtu.cn/ad/creator/author-homepage/douyin-video/6690565304818335758?market_track_id=O233IZ869NSDQCZLCJHD&amp;search_session_id=7612972205831831561&amp;possessStarId</t>
        </is>
      </c>
      <c r="H72" s="18" t="inlineStr">
        <is>
          <t>https://www.douyin.com/user/MS4wLjABAAAA9XCy4m6UWZDVnXhEc7gzcDlAKZJ_-1KJzI16OCmL78MM1ch4LRoxjPYh--eHhBHc</t>
        </is>
      </c>
      <c r="I72" s="18" t="inlineStr">
        <is>
          <t>zhuweiniang</t>
        </is>
      </c>
      <c r="J72" s="18" t="inlineStr">
        <is>
          <t>美食</t>
        </is>
      </c>
      <c r="K72" s="18" t="inlineStr">
        <is>
          <t>腰部</t>
        </is>
      </c>
      <c r="L72" s="18" t="n">
        <v>88</v>
      </c>
      <c r="M72" s="18" t="inlineStr">
        <is>
          <t>20000-100000</t>
        </is>
      </c>
      <c r="N72" s="18" t="inlineStr">
        <is>
          <t>精致妈妈
小镇青年
新锐白领</t>
        </is>
      </c>
      <c r="O72" s="35" t="n">
        <v>0.524</v>
      </c>
      <c r="P72" s="18" t="n">
        <v>512000</v>
      </c>
      <c r="Q72" s="18">
        <f>Z72*1.05</f>
        <v/>
      </c>
      <c r="R72" s="20">
        <f>Z72/(AB72+AD72+AC72)</f>
        <v/>
      </c>
      <c r="S72" s="18" t="inlineStr">
        <is>
          <t>视频</t>
        </is>
      </c>
      <c r="T72" s="21" t="n">
        <v>0.89</v>
      </c>
      <c r="U72" s="21" t="n">
        <v>0.24</v>
      </c>
      <c r="V72" s="21" t="n">
        <v>0.52</v>
      </c>
      <c r="W72" s="21" t="n">
        <v>0.14</v>
      </c>
      <c r="X72" s="21" t="n"/>
      <c r="Y72" s="21" t="n"/>
      <c r="Z72" s="18" t="n">
        <v>30000</v>
      </c>
      <c r="AA72" s="154">
        <f>SUM((Z72/P72)*1000)</f>
        <v/>
      </c>
      <c r="AB72" s="18" t="n">
        <v>8642</v>
      </c>
      <c r="AC72" s="18" t="n">
        <v>269</v>
      </c>
      <c r="AD72" s="18" t="n">
        <v>1855</v>
      </c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</row>
    <row r="73">
      <c r="A73" s="18" t="n"/>
      <c r="B73" s="18" t="n"/>
      <c r="C73" s="18" t="n"/>
      <c r="D73" s="18" t="inlineStr">
        <is>
          <t>品牌</t>
        </is>
      </c>
      <c r="E73" s="32" t="inlineStr">
        <is>
          <t>旧房改造，数据好</t>
        </is>
      </c>
      <c r="F73" s="18" t="inlineStr">
        <is>
          <t>春秋与诗及你</t>
        </is>
      </c>
      <c r="G73" s="18" t="inlineStr">
        <is>
          <t>https://www.xingtu.cn/ad/creator/author-homepage/douyin-video/7297376877595852826?market_track_id=ZTGPPKPB1QN8N8QD8AWP&amp;search_session_id=7613003383180017673&amp;possessStarId</t>
        </is>
      </c>
      <c r="H73" s="18" t="inlineStr">
        <is>
          <t>https://www.douyin.com/user/MS4wLjABAAAAnnd_otANYtuTi4Jn0kS5cLYvnjZuIqB5bchusrHnzEg</t>
        </is>
      </c>
      <c r="I73" s="18" t="inlineStr">
        <is>
          <t>mndys</t>
        </is>
      </c>
      <c r="J73" s="18" t="inlineStr">
        <is>
          <t>家居</t>
        </is>
      </c>
      <c r="K73" s="18" t="inlineStr">
        <is>
          <t>尾部</t>
        </is>
      </c>
      <c r="L73" s="18" t="n">
        <v>36</v>
      </c>
      <c r="M73" s="18" t="inlineStr">
        <is>
          <t>2000-20000</t>
        </is>
      </c>
      <c r="N73" s="18" t="inlineStr">
        <is>
          <t>新锐白领
小镇青年
精致妈妈</t>
        </is>
      </c>
      <c r="O73" s="21" t="n">
        <v>0.5</v>
      </c>
      <c r="P73" s="18" t="n">
        <v>4152000</v>
      </c>
      <c r="Q73" s="18">
        <f>Z73*1.05</f>
        <v/>
      </c>
      <c r="R73" s="20">
        <f>Z73/(AB73+AD73+AC73)</f>
        <v/>
      </c>
      <c r="S73" s="18" t="inlineStr">
        <is>
          <t>视频</t>
        </is>
      </c>
      <c r="T73" s="21" t="n">
        <v>0.4</v>
      </c>
      <c r="U73" s="21" t="n">
        <v>0.22</v>
      </c>
      <c r="V73" s="21" t="n">
        <v>0.5600000000000001</v>
      </c>
      <c r="W73" s="21" t="n">
        <v>0.12</v>
      </c>
      <c r="X73" s="21" t="n"/>
      <c r="Y73" s="21" t="n"/>
      <c r="Z73" s="18" t="n">
        <v>50000</v>
      </c>
      <c r="AA73" s="154">
        <f>SUM((Z73/P73)*1000)</f>
        <v/>
      </c>
      <c r="AB73" s="18" t="n">
        <v>31000</v>
      </c>
      <c r="AC73" s="18" t="n">
        <v>828</v>
      </c>
      <c r="AD73" s="18" t="n">
        <v>17000</v>
      </c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</row>
    <row r="74">
      <c r="A74" s="18" t="n"/>
      <c r="B74" s="18" t="n"/>
      <c r="C74" s="18" t="n"/>
      <c r="D74" s="18" t="inlineStr">
        <is>
          <t>品牌</t>
        </is>
      </c>
      <c r="E74" s="32" t="inlineStr">
        <is>
          <t>专业家居博主，粉丝契合度高</t>
        </is>
      </c>
      <c r="F74" s="18" t="inlineStr">
        <is>
          <t>任大宝🏠</t>
        </is>
      </c>
      <c r="G74" s="18" t="inlineStr">
        <is>
          <t>https://www.xingtu.cn/ad/creator/author-homepage/douyin-video/7143503434384146469?market_track_id=ZTGPPKPB1QN8N8QD8AWP&amp;search_session_id=7613001832579448870&amp;possessStarId</t>
        </is>
      </c>
      <c r="H74" s="18" t="inlineStr">
        <is>
          <t>https://www.douyin.com/user/MS4wLjABAAAA063eYdIfBZzUreE0ASL_ULuh7pZ_1PYgFbAhh91aCEmuwLXh029g7GzlE7h5st2A</t>
        </is>
      </c>
      <c r="I74" s="18" t="n">
        <v>37904836991</v>
      </c>
      <c r="J74" s="18" t="inlineStr">
        <is>
          <t>家居</t>
        </is>
      </c>
      <c r="K74" s="18" t="inlineStr">
        <is>
          <t>腰部</t>
        </is>
      </c>
      <c r="L74" s="18" t="n">
        <v>50</v>
      </c>
      <c r="M74" s="18" t="inlineStr">
        <is>
          <t>2000-20000</t>
        </is>
      </c>
      <c r="N74" s="18" t="inlineStr">
        <is>
          <t>新锐白领
小镇青年
精致妈妈</t>
        </is>
      </c>
      <c r="O74" s="21" t="n">
        <v>0.51</v>
      </c>
      <c r="P74" s="18" t="n">
        <v>2064000</v>
      </c>
      <c r="Q74" s="18">
        <f>Z74*1.05</f>
        <v/>
      </c>
      <c r="R74" s="20">
        <f>Z74/(AB74+AD74+AC74)</f>
        <v/>
      </c>
      <c r="S74" s="18" t="inlineStr">
        <is>
          <t>视频</t>
        </is>
      </c>
      <c r="T74" s="21" t="n">
        <v>0.57</v>
      </c>
      <c r="U74" s="21" t="n">
        <v>0.26</v>
      </c>
      <c r="V74" s="21" t="n">
        <v>0.42</v>
      </c>
      <c r="W74" s="21" t="n">
        <v>0.15</v>
      </c>
      <c r="X74" s="21" t="n"/>
      <c r="Y74" s="21" t="n"/>
      <c r="Z74" s="18" t="n">
        <v>28000</v>
      </c>
      <c r="AA74" s="154">
        <f>SUM((Z74/P74)*1000)</f>
        <v/>
      </c>
      <c r="AB74" s="18" t="n">
        <v>643</v>
      </c>
      <c r="AC74" s="18" t="n">
        <v>463</v>
      </c>
      <c r="AD74" s="18" t="n">
        <v>3294</v>
      </c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</row>
    <row r="75">
      <c r="A75" s="18" t="n"/>
      <c r="B75" s="18" t="n"/>
      <c r="C75" s="18" t="n"/>
      <c r="D75" s="18" t="inlineStr">
        <is>
          <t>电商</t>
        </is>
      </c>
      <c r="E75" s="32" t="inlineStr">
        <is>
          <t>立室内设计师</t>
        </is>
      </c>
      <c r="F75" s="18" t="inlineStr">
        <is>
          <t>设计师小北</t>
        </is>
      </c>
      <c r="G75" s="18" t="inlineStr">
        <is>
          <t>https://www.xingtu.cn/ad/creator/author-homepage/douyin-video/6691420211976863756?market_track_id=ZTGPPKPB1QN8N8QD8AWP&amp;search_session_id=7613000898088108042&amp;possessStarId</t>
        </is>
      </c>
      <c r="H75" s="18" t="inlineStr">
        <is>
          <t>https://www.douyin.com/user/MS4wLjABAAAAQVoXcsLDAhu05iT-D12Iysy6xhKjFhAyfRAgWgv_NKA</t>
        </is>
      </c>
      <c r="I75" s="18" t="inlineStr">
        <is>
          <t>B910605</t>
        </is>
      </c>
      <c r="J75" s="18" t="inlineStr">
        <is>
          <t>家居</t>
        </is>
      </c>
      <c r="K75" s="18" t="inlineStr">
        <is>
          <t>腰部</t>
        </is>
      </c>
      <c r="L75" s="18" t="n">
        <v>260</v>
      </c>
      <c r="M75" s="18" t="inlineStr">
        <is>
          <t>2000-20000</t>
        </is>
      </c>
      <c r="N75" s="18" t="inlineStr">
        <is>
          <t>新锐白领
小镇青年
精致妈妈</t>
        </is>
      </c>
      <c r="O75" s="21" t="n">
        <v>0.5600000000000001</v>
      </c>
      <c r="P75" s="18" t="n">
        <v>4567000</v>
      </c>
      <c r="Q75" s="18">
        <f>Z75*1.05</f>
        <v/>
      </c>
      <c r="R75" s="20">
        <f>Z75/(AB75+AD75+AC75)</f>
        <v/>
      </c>
      <c r="S75" s="18" t="inlineStr">
        <is>
          <t>视频</t>
        </is>
      </c>
      <c r="T75" s="21" t="n">
        <v>0.5</v>
      </c>
      <c r="U75" s="21" t="n">
        <v>0.29</v>
      </c>
      <c r="V75" s="21" t="n">
        <v>0.48</v>
      </c>
      <c r="W75" s="21" t="n">
        <v>0.12</v>
      </c>
      <c r="X75" s="21" t="n"/>
      <c r="Y75" s="21" t="n"/>
      <c r="Z75" s="18" t="n">
        <v>59800</v>
      </c>
      <c r="AA75" s="154">
        <f>SUM((Z75/P75)*1000)</f>
        <v/>
      </c>
      <c r="AB75" s="18" t="n">
        <v>22000</v>
      </c>
      <c r="AC75" s="18" t="n">
        <v>768</v>
      </c>
      <c r="AD75" s="18" t="n">
        <v>2567</v>
      </c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</row>
    <row r="76" ht="46" customHeight="1" s="151">
      <c r="A76" s="65" t="n"/>
      <c r="B76" s="65" t="inlineStr">
        <is>
          <t>以下为3.4最新提报</t>
        </is>
      </c>
      <c r="E76" s="61" t="n"/>
      <c r="F76" s="60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63" t="n"/>
      <c r="P76" s="60" t="n"/>
      <c r="Q76" s="60" t="n"/>
      <c r="R76" s="62" t="n"/>
      <c r="S76" s="60" t="n"/>
      <c r="T76" s="66" t="n"/>
      <c r="U76" s="63" t="n"/>
      <c r="V76" s="63" t="n"/>
      <c r="W76" s="63" t="n"/>
      <c r="X76" s="63" t="n"/>
      <c r="Y76" s="63" t="n"/>
      <c r="Z76" s="60" t="n"/>
      <c r="AA76" s="159" t="n"/>
      <c r="AB76" s="60" t="n"/>
      <c r="AC76" s="60" t="n"/>
      <c r="AD76" s="60" t="n"/>
      <c r="AE76" s="60" t="n"/>
      <c r="AF76" s="60" t="n"/>
      <c r="AG76" s="60" t="n"/>
      <c r="AH76" s="60" t="n"/>
      <c r="AI76" s="60" t="n"/>
      <c r="AJ76" s="60" t="n"/>
      <c r="AK76" s="60" t="n"/>
      <c r="AL76" s="60" t="n"/>
      <c r="AM76" s="60" t="n"/>
      <c r="AN76" s="60" t="n"/>
      <c r="AO76" s="60" t="n"/>
      <c r="AP76" s="60" t="n"/>
    </row>
    <row r="77">
      <c r="A77" s="18" t="n"/>
      <c r="B77" s="18" t="inlineStr">
        <is>
          <t>粉丝过于下沉</t>
        </is>
      </c>
      <c r="C77" s="18" t="n"/>
      <c r="D77" s="18" t="inlineStr">
        <is>
          <t>电商</t>
        </is>
      </c>
      <c r="E77" s="32" t="inlineStr">
        <is>
          <t>A3数据好，粉丝画像契合</t>
        </is>
      </c>
      <c r="F77" s="18" t="inlineStr">
        <is>
          <t>K陈醋</t>
        </is>
      </c>
      <c r="G77" s="18" t="inlineStr">
        <is>
          <t>https://www.xingtu.cn/ad/creator/author-homepage/douyin-video/7286272063084429369?market_track_id=MZCT008XDQ9LRFKWE2VY&amp;search_session_id=7613243975943913523&amp;possessStarId</t>
        </is>
      </c>
      <c r="H77" s="18" t="inlineStr">
        <is>
          <t>https://www.douyin.com/user/MS4wLjABAAAAZ-xWxEMO6xr9oNSAHhMQrwAKjYmKtkFr0QLWrxmg0-Y</t>
        </is>
      </c>
      <c r="I77" s="18" t="n">
        <v>956975295</v>
      </c>
      <c r="J77" s="18" t="inlineStr">
        <is>
          <t>家居</t>
        </is>
      </c>
      <c r="K77" s="18" t="inlineStr">
        <is>
          <t>尾部</t>
        </is>
      </c>
      <c r="L77" s="18" t="n">
        <v>20</v>
      </c>
      <c r="M77" s="18" t="inlineStr">
        <is>
          <t>20000-100000</t>
        </is>
      </c>
      <c r="N77" s="18" t="inlineStr">
        <is>
          <t>新锐白领
小镇青年
精致妈妈</t>
        </is>
      </c>
      <c r="O77" s="21" t="n">
        <v>0.55</v>
      </c>
      <c r="P77" s="18" t="n">
        <v>1949000</v>
      </c>
      <c r="Q77" s="18">
        <f>Z77*1.05</f>
        <v/>
      </c>
      <c r="R77" s="20">
        <f>Z77/(AB77+AD77+AC77)</f>
        <v/>
      </c>
      <c r="S77" s="18" t="inlineStr">
        <is>
          <t>视频</t>
        </is>
      </c>
      <c r="T77" s="35" t="n">
        <v>0.588</v>
      </c>
      <c r="U77" s="21" t="n">
        <v>0.28</v>
      </c>
      <c r="V77" s="21" t="n">
        <v>0.4</v>
      </c>
      <c r="W77" s="21" t="n">
        <v>0.12</v>
      </c>
      <c r="X77" s="21" t="n"/>
      <c r="Y77" s="21" t="n"/>
      <c r="Z77" s="18" t="n">
        <v>40000</v>
      </c>
      <c r="AA77" s="154">
        <f>SUM((Z77/P77)*1000)</f>
        <v/>
      </c>
      <c r="AB77" s="18" t="n">
        <v>28000</v>
      </c>
      <c r="AC77" s="18" t="n">
        <v>1880</v>
      </c>
      <c r="AD77" s="18" t="n">
        <v>5544</v>
      </c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</row>
    <row r="78">
      <c r="A78" s="18" t="n"/>
      <c r="B78" s="18" t="inlineStr">
        <is>
          <t>粉丝过于下沉</t>
        </is>
      </c>
      <c r="C78" s="18" t="n"/>
      <c r="D78" s="18" t="inlineStr">
        <is>
          <t>品牌</t>
        </is>
      </c>
      <c r="E78" s="32" t="inlineStr">
        <is>
          <t>粉丝画像核心人群占比高</t>
        </is>
      </c>
      <c r="F78" s="18" t="inlineStr">
        <is>
          <t>追同学装修日记</t>
        </is>
      </c>
      <c r="G78" s="18" t="inlineStr">
        <is>
          <t>https://www.xingtu.cn/ad/creator/author-homepage/douyin-video/6629658460059336711?market_track_id=MZCT008XDQ9LRFKWE2VY&amp;search_session_id=7613242839255744521&amp;possessStarId</t>
        </is>
      </c>
      <c r="H78" s="18" t="inlineStr">
        <is>
          <t>https://www.douyin.com/user/MS4wLjABAAAADuP3bF1OcPUmbyMptWG0cIfrxGNLefaMoyoK71ODLh4</t>
        </is>
      </c>
      <c r="I78" s="18" t="inlineStr">
        <is>
          <t>zhuibuaiwan</t>
        </is>
      </c>
      <c r="J78" s="18" t="inlineStr">
        <is>
          <t>家居</t>
        </is>
      </c>
      <c r="K78" s="18" t="inlineStr">
        <is>
          <t>尾部</t>
        </is>
      </c>
      <c r="L78" s="18" t="n">
        <v>25</v>
      </c>
      <c r="M78" s="18" t="inlineStr">
        <is>
          <t>2000-20000</t>
        </is>
      </c>
      <c r="N78" s="18" t="inlineStr">
        <is>
          <t>新锐白领
小镇青年
精致妈妈</t>
        </is>
      </c>
      <c r="O78" s="21" t="n">
        <v>0.65</v>
      </c>
      <c r="P78" s="18" t="n">
        <v>832000</v>
      </c>
      <c r="Q78" s="18">
        <f>Z78*1.05</f>
        <v/>
      </c>
      <c r="R78" s="20">
        <f>Z78/(AB78+AD78+AC78)</f>
        <v/>
      </c>
      <c r="S78" s="18" t="inlineStr">
        <is>
          <t>视频</t>
        </is>
      </c>
      <c r="T78" s="21" t="n">
        <v>0.54</v>
      </c>
      <c r="U78" s="21" t="n">
        <v>0.34</v>
      </c>
      <c r="V78" s="21" t="n">
        <v>0.49</v>
      </c>
      <c r="W78" s="21" t="n">
        <v>0.05</v>
      </c>
      <c r="X78" s="21" t="n"/>
      <c r="Y78" s="21" t="n"/>
      <c r="Z78" s="18" t="n">
        <v>39800</v>
      </c>
      <c r="AA78" s="154">
        <f>SUM((Z78/P78)*1000)</f>
        <v/>
      </c>
      <c r="AB78" s="18" t="n">
        <v>15000</v>
      </c>
      <c r="AC78" s="18" t="n">
        <v>514</v>
      </c>
      <c r="AD78" s="18" t="n">
        <v>276</v>
      </c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</row>
    <row r="79">
      <c r="A79" s="18" t="n"/>
      <c r="B79" s="18" t="inlineStr">
        <is>
          <t>ok</t>
        </is>
      </c>
      <c r="C79" s="18" t="n"/>
      <c r="D79" s="18" t="inlineStr">
        <is>
          <t>电商</t>
        </is>
      </c>
      <c r="E79" s="32" t="inlineStr">
        <is>
          <t>豪宅探房，调性高</t>
        </is>
      </c>
      <c r="F79" s="18" t="inlineStr">
        <is>
          <t>设计帮帮忙</t>
        </is>
      </c>
      <c r="G79" s="18" t="inlineStr">
        <is>
          <t>https://www.xingtu.cn/ad/creator/author-homepage/douyin-video/6629723076944723982?market_track_id=MZCT008XDQ9LRFKWE2VY&amp;search_session_id=7613238334059888666&amp;possessStarId</t>
        </is>
      </c>
      <c r="H79" s="18" t="inlineStr">
        <is>
          <t>https://www.douyin.com/user/MS4wLjABAAAAiMXgOIae2J55MiXM0s8r1FsElMSypnQdPrEd48eZFVY</t>
        </is>
      </c>
      <c r="I79" s="18" t="n">
        <v>1117709568</v>
      </c>
      <c r="J79" s="18" t="inlineStr">
        <is>
          <t>家居</t>
        </is>
      </c>
      <c r="K79" s="18" t="inlineStr">
        <is>
          <t>头部</t>
        </is>
      </c>
      <c r="L79" s="18" t="n">
        <v>661</v>
      </c>
      <c r="M79" s="18" t="inlineStr">
        <is>
          <t>2000-20000</t>
        </is>
      </c>
      <c r="N79" s="18" t="inlineStr">
        <is>
          <t>新锐白领
小镇青年
精致妈妈</t>
        </is>
      </c>
      <c r="O79" s="21" t="n">
        <v>0.5</v>
      </c>
      <c r="P79" s="18" t="n">
        <v>1419000</v>
      </c>
      <c r="Q79" s="18">
        <f>Z79*1.05</f>
        <v/>
      </c>
      <c r="R79" s="20">
        <f>Z79/(AB79+AD79+AC79)</f>
        <v/>
      </c>
      <c r="S79" s="18" t="inlineStr">
        <is>
          <t>视频</t>
        </is>
      </c>
      <c r="T79" s="21" t="n">
        <v>0.53</v>
      </c>
      <c r="U79" s="21" t="n">
        <v>0.24</v>
      </c>
      <c r="V79" s="21" t="n">
        <v>0.49</v>
      </c>
      <c r="W79" s="21" t="n">
        <v>0.15</v>
      </c>
      <c r="X79" s="21" t="n"/>
      <c r="Y79" s="21" t="n"/>
      <c r="Z79" s="18" t="n">
        <v>88000</v>
      </c>
      <c r="AA79" s="154">
        <f>SUM((Z79/P79)*1000)</f>
        <v/>
      </c>
      <c r="AB79" s="18" t="n">
        <v>41000</v>
      </c>
      <c r="AC79" s="18" t="n">
        <v>1128</v>
      </c>
      <c r="AD79" s="18" t="n">
        <v>14000</v>
      </c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</row>
    <row r="80">
      <c r="A80" s="18" t="n"/>
      <c r="B80" s="18" t="inlineStr">
        <is>
          <t>受众偏年轻和下沉</t>
        </is>
      </c>
      <c r="C80" s="18" t="n"/>
      <c r="D80" s="18" t="inlineStr">
        <is>
          <t>品牌</t>
        </is>
      </c>
      <c r="E80" s="32" t="inlineStr">
        <is>
          <t>多孩家庭，场景适配</t>
        </is>
      </c>
      <c r="F80" s="18" t="inlineStr">
        <is>
          <t>肖萧潇的日月星</t>
        </is>
      </c>
      <c r="G80" s="18" t="inlineStr">
        <is>
          <t>https://www.xingtu.cn/ad/creator/author-homepage/douyin-video/7212663785511714874?market_track_id=MZCT008XDQ9LRFKWE2VY&amp;search_session_id=7613236685597949962&amp;possessStarId</t>
        </is>
      </c>
      <c r="H80" s="18" t="inlineStr">
        <is>
          <t>https://www.douyin.com/user/MS4wLjABAAAA8i9Yi9gV4RDqVvKtoXXIebIOnLLtOOJpoP3zQICKudg</t>
        </is>
      </c>
      <c r="I80" s="18" t="n">
        <v>966474</v>
      </c>
      <c r="J80" s="18" t="inlineStr">
        <is>
          <t>母婴</t>
        </is>
      </c>
      <c r="K80" s="18" t="inlineStr">
        <is>
          <t>腰部</t>
        </is>
      </c>
      <c r="L80" s="18" t="n">
        <v>108</v>
      </c>
      <c r="M80" s="18" t="inlineStr">
        <is>
          <t>2000-20000</t>
        </is>
      </c>
      <c r="N80" s="18" t="inlineStr">
        <is>
          <t>小镇青年
新锐白领
精致妈妈</t>
        </is>
      </c>
      <c r="O80" s="21" t="n">
        <v>0.48</v>
      </c>
      <c r="P80" s="18" t="n">
        <v>1136000</v>
      </c>
      <c r="Q80" s="18">
        <f>Z80*1.05</f>
        <v/>
      </c>
      <c r="R80" s="20">
        <f>Z80/(AB80+AD80+AC80)</f>
        <v/>
      </c>
      <c r="S80" s="18" t="inlineStr">
        <is>
          <t>视频</t>
        </is>
      </c>
      <c r="T80" s="21" t="n">
        <v>0.8100000000000001</v>
      </c>
      <c r="U80" s="21" t="n">
        <v>0.27</v>
      </c>
      <c r="V80" s="21" t="n">
        <v>0.37</v>
      </c>
      <c r="W80" s="21" t="n">
        <v>0.1</v>
      </c>
      <c r="X80" s="21" t="n"/>
      <c r="Y80" s="21" t="n"/>
      <c r="Z80" s="18" t="n">
        <v>43000</v>
      </c>
      <c r="AA80" s="154">
        <f>SUM((Z80/P80)*1000)</f>
        <v/>
      </c>
      <c r="AB80" s="18" t="n">
        <v>18000</v>
      </c>
      <c r="AC80" s="18" t="n">
        <v>607</v>
      </c>
      <c r="AD80" s="18" t="n">
        <v>2001</v>
      </c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</row>
    <row r="81">
      <c r="A81" s="18" t="n"/>
      <c r="B81" s="18" t="inlineStr">
        <is>
          <t>ok</t>
        </is>
      </c>
      <c r="C81" s="18" t="n"/>
      <c r="D81" s="18" t="inlineStr">
        <is>
          <t>电商</t>
        </is>
      </c>
      <c r="E81" s="32" t="inlineStr">
        <is>
          <t>家居改造类博主，转化率高</t>
        </is>
      </c>
      <c r="F81" s="18" t="inlineStr">
        <is>
          <t>一禾de田园小院儿</t>
        </is>
      </c>
      <c r="G81" s="18" t="inlineStr">
        <is>
          <t>https://www.xingtu.cn/ad/creator/author-homepage/douyin-video/7307527579370520603?market_track_id=BE9M1106TZDMQ96PG2WO&amp;search_session_id=7613227907317907502&amp;possessStarId</t>
        </is>
      </c>
      <c r="H81" s="18" t="inlineStr">
        <is>
          <t>https://www.douyin.com/user/MS4wLjABAAAAdhPlRBdVIyaR81Rr4Oz-8qAu3Rn00lpzmuHzv9LqGR9PPjJD8IAkG3zhDF6EiRo2</t>
        </is>
      </c>
      <c r="I81" s="18" t="n">
        <v>50719548808</v>
      </c>
      <c r="J81" s="18" t="inlineStr">
        <is>
          <t>家居</t>
        </is>
      </c>
      <c r="K81" s="18" t="inlineStr">
        <is>
          <t>尾部</t>
        </is>
      </c>
      <c r="L81" s="18" t="n">
        <v>16</v>
      </c>
      <c r="M81" s="18" t="inlineStr">
        <is>
          <t>2000-20000</t>
        </is>
      </c>
      <c r="N81" s="18" t="inlineStr">
        <is>
          <t>新锐白领
资深中产
小镇青年</t>
        </is>
      </c>
      <c r="O81" s="21" t="n">
        <v>0.53</v>
      </c>
      <c r="P81" s="18" t="n">
        <v>123000</v>
      </c>
      <c r="Q81" s="18">
        <f>Z81*1.05</f>
        <v/>
      </c>
      <c r="R81" s="20">
        <f>Z81/(AB81+AD81+AC81)</f>
        <v/>
      </c>
      <c r="S81" s="18" t="inlineStr">
        <is>
          <t>视频</t>
        </is>
      </c>
      <c r="T81" s="21" t="n">
        <v>0.66</v>
      </c>
      <c r="U81" s="21" t="n">
        <v>0.16</v>
      </c>
      <c r="V81" s="21" t="n">
        <v>0.42</v>
      </c>
      <c r="W81" s="21" t="n">
        <v>0.24</v>
      </c>
      <c r="X81" s="21" t="n"/>
      <c r="Y81" s="21" t="n"/>
      <c r="Z81" s="18" t="n">
        <v>20000</v>
      </c>
      <c r="AA81" s="154">
        <f>SUM((Z81/P81)*1000)</f>
        <v/>
      </c>
      <c r="AB81" s="18" t="n">
        <v>3194</v>
      </c>
      <c r="AC81" s="18" t="n">
        <v>142</v>
      </c>
      <c r="AD81" s="18" t="n">
        <v>170</v>
      </c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</row>
    <row r="82" ht="24.75" customHeight="1" s="151">
      <c r="A82" s="18" t="n"/>
      <c r="B82" s="18" t="inlineStr">
        <is>
          <t>ok</t>
        </is>
      </c>
      <c r="C82" s="18" t="n"/>
      <c r="D82" s="18" t="inlineStr">
        <is>
          <t>品牌</t>
        </is>
      </c>
      <c r="E82" s="32" t="inlineStr">
        <is>
          <t>基础数据和转化率都很好，女粉占比稍低</t>
        </is>
      </c>
      <c r="F82" s="18" t="inlineStr">
        <is>
          <t>王一工</t>
        </is>
      </c>
      <c r="G82" s="18" t="inlineStr">
        <is>
          <t>https://www.xingtu.cn/ad/creator/author-homepage/douyin-video/7033786770315542542?market_track_id=ZTGPPKPB1QN8N8QD8AWP&amp;search_session_id=7612998250903388186&amp;possessStarId</t>
        </is>
      </c>
      <c r="H82" s="18" t="inlineStr">
        <is>
          <t>https://www.douyin.com/user/MS4wLjABAAAAq4exE1wcLVUQMzNLIqTNfetMJm9s9wZXP5pupQ91c3sSlyFNdE6oopJowgFxd4Uq</t>
        </is>
      </c>
      <c r="I82" s="18" t="inlineStr">
        <is>
          <t>imok686</t>
        </is>
      </c>
      <c r="J82" s="18" t="inlineStr">
        <is>
          <t>家居</t>
        </is>
      </c>
      <c r="K82" s="18" t="inlineStr">
        <is>
          <t>肩部</t>
        </is>
      </c>
      <c r="L82" s="18" t="n">
        <v>387</v>
      </c>
      <c r="M82" s="18" t="inlineStr">
        <is>
          <t>100000+</t>
        </is>
      </c>
      <c r="N82" s="18" t="inlineStr">
        <is>
          <t>新锐白领
小镇青年
精致妈妈</t>
        </is>
      </c>
      <c r="O82" s="21" t="n">
        <v>0.57</v>
      </c>
      <c r="P82" s="18" t="n">
        <v>9273000</v>
      </c>
      <c r="Q82" s="18">
        <f>Z82*1.05</f>
        <v/>
      </c>
      <c r="R82" s="20">
        <f>Z82/(AB82+AD82+AC82)</f>
        <v/>
      </c>
      <c r="S82" s="18" t="inlineStr">
        <is>
          <t>视频</t>
        </is>
      </c>
      <c r="T82" s="21" t="n">
        <v>0.48</v>
      </c>
      <c r="U82" s="21" t="n">
        <v>0.3</v>
      </c>
      <c r="V82" s="21" t="n">
        <v>0.45</v>
      </c>
      <c r="W82" s="21" t="n">
        <v>0.11</v>
      </c>
      <c r="X82" s="21" t="n"/>
      <c r="Y82" s="21" t="n"/>
      <c r="Z82" s="18" t="n">
        <v>175000</v>
      </c>
      <c r="AA82" s="154">
        <f>SUM((Z82/P82)*1000)</f>
        <v/>
      </c>
      <c r="AB82" s="18" t="n">
        <v>223000</v>
      </c>
      <c r="AC82" s="18" t="n">
        <v>12000</v>
      </c>
      <c r="AD82" s="18" t="n">
        <v>73000</v>
      </c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</row>
    <row r="83" ht="24.75" customHeight="1" s="151">
      <c r="A83" s="18" t="n"/>
      <c r="B83" s="18" t="inlineStr">
        <is>
          <t>调性太差</t>
        </is>
      </c>
      <c r="C83" s="18" t="n"/>
      <c r="D83" s="18" t="inlineStr">
        <is>
          <t>品牌</t>
        </is>
      </c>
      <c r="E83" s="32" t="inlineStr">
        <is>
          <t>建筑学硕士，也做室内设计，专业技术强</t>
        </is>
      </c>
      <c r="F83" s="18" t="inlineStr">
        <is>
          <t>在逃许师傅</t>
        </is>
      </c>
      <c r="G83" s="18" t="inlineStr">
        <is>
          <t>https://www.xingtu.cn/ad/creator/author-homepage/douyin-video/7237693402249494560?market_track_id=ZTGPPKPB1QN8N8QD8AWP&amp;search_session_id=7612995721113665574&amp;possessStarId</t>
        </is>
      </c>
      <c r="H83" s="18" t="inlineStr">
        <is>
          <t>https://www.douyin.com/user/MS4wLjABAAAA9YU4u9kZcGzGzr0ca4sT4-aDqkN8Pm4sEaS2jfEZGJU7raTBd3TsTI36FaCmgctp</t>
        </is>
      </c>
      <c r="I83" s="18" t="n">
        <v>45999744020</v>
      </c>
      <c r="J83" s="18" t="inlineStr">
        <is>
          <t>家居</t>
        </is>
      </c>
      <c r="K83" s="18" t="inlineStr">
        <is>
          <t>腰部</t>
        </is>
      </c>
      <c r="L83" s="18" t="n">
        <v>93</v>
      </c>
      <c r="M83" s="18" t="inlineStr">
        <is>
          <t>2000-20000</t>
        </is>
      </c>
      <c r="N83" s="18" t="inlineStr">
        <is>
          <t>新锐白领
小镇青年
精致妈妈</t>
        </is>
      </c>
      <c r="O83" s="35" t="n">
        <v>0.533</v>
      </c>
      <c r="P83" s="18" t="n">
        <v>1967000</v>
      </c>
      <c r="Q83" s="18">
        <f>Z83*1.05</f>
        <v/>
      </c>
      <c r="R83" s="20">
        <f>Z83/(AB83+AD83+AC83)</f>
        <v/>
      </c>
      <c r="S83" s="18" t="inlineStr">
        <is>
          <t>视频</t>
        </is>
      </c>
      <c r="T83" s="21" t="n">
        <v>0.61</v>
      </c>
      <c r="U83" s="21" t="n">
        <v>0.32</v>
      </c>
      <c r="V83" s="21" t="n">
        <v>0.4</v>
      </c>
      <c r="W83" s="21" t="n">
        <v>0.08</v>
      </c>
      <c r="X83" s="21" t="n"/>
      <c r="Y83" s="21" t="n"/>
      <c r="Z83" s="18" t="n">
        <v>90000</v>
      </c>
      <c r="AA83" s="154">
        <f>SUM((Z83/P83)*1000)</f>
        <v/>
      </c>
      <c r="AB83" s="18" t="n">
        <v>45000</v>
      </c>
      <c r="AC83" s="18" t="n">
        <v>2246</v>
      </c>
      <c r="AD83" s="18" t="n">
        <v>1023</v>
      </c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</row>
    <row r="84">
      <c r="A84" s="18" t="n"/>
      <c r="B84" s="18" t="inlineStr">
        <is>
          <t>受众太年轻</t>
        </is>
      </c>
      <c r="C84" s="18" t="n"/>
      <c r="D84" s="18" t="inlineStr">
        <is>
          <t>品牌</t>
        </is>
      </c>
      <c r="E84" s="32" t="inlineStr">
        <is>
          <t>手工原创博主，创意好，画像匹配</t>
        </is>
      </c>
      <c r="F84" s="18" t="inlineStr">
        <is>
          <t xml:space="preserve">
雅杰不加班</t>
        </is>
      </c>
      <c r="G84" s="18" t="inlineStr">
        <is>
          <t>https://www.xingtu.cn/ad/creator/author-homepage/douyin-video/7225455728285188157?market_track_id=IHKJ7RCF85I21XAQ009Q&amp;search_session_id=7613295973854871603&amp;possessStarId</t>
        </is>
      </c>
      <c r="H84" s="18" t="inlineStr">
        <is>
          <t>https://www.douyin.com/user/MS4wLjABAAAAuhXbv8NUQf-wNDmUaV5U4D5KCHUigR7QsO4E_6ji5kUabmtzcFYUtrQu3SkYmVSR</t>
        </is>
      </c>
      <c r="I84" s="18" t="inlineStr">
        <is>
          <t>YAJIEBUJIABAN</t>
        </is>
      </c>
      <c r="J84" s="18" t="inlineStr">
        <is>
          <t>家居</t>
        </is>
      </c>
      <c r="K84" s="18" t="inlineStr">
        <is>
          <t>尾部</t>
        </is>
      </c>
      <c r="L84" s="18" t="n">
        <v>24</v>
      </c>
      <c r="M84" s="18" t="inlineStr">
        <is>
          <t>20000-100000</t>
        </is>
      </c>
      <c r="N84" s="18" t="inlineStr">
        <is>
          <t>新锐白领
小镇青年
Z世代</t>
        </is>
      </c>
      <c r="O84" s="35" t="n">
        <v>0.618</v>
      </c>
      <c r="P84" s="18" t="n">
        <v>697000</v>
      </c>
      <c r="Q84" s="18">
        <f>Z84*1.05</f>
        <v/>
      </c>
      <c r="R84" s="20">
        <f>Z84/(AB84+AD84+AC84)</f>
        <v/>
      </c>
      <c r="S84" s="18" t="inlineStr">
        <is>
          <t>视频</t>
        </is>
      </c>
      <c r="T84" s="21" t="n">
        <v>0.5</v>
      </c>
      <c r="U84" s="21" t="n">
        <v>0.34</v>
      </c>
      <c r="V84" s="21" t="n">
        <v>0.4</v>
      </c>
      <c r="W84" s="21" t="n">
        <v>0.06</v>
      </c>
      <c r="X84" s="21" t="n"/>
      <c r="Y84" s="21" t="n"/>
      <c r="Z84" s="18" t="n">
        <v>60000</v>
      </c>
      <c r="AA84" s="154">
        <f>SUM((Z84/P84)*1000)</f>
        <v/>
      </c>
      <c r="AB84" s="18" t="n">
        <v>38000</v>
      </c>
      <c r="AC84" s="18" t="n">
        <v>483</v>
      </c>
      <c r="AD84" s="18" t="n">
        <v>15000</v>
      </c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</row>
    <row r="85">
      <c r="A85" s="53" t="n"/>
      <c r="B85" s="53" t="inlineStr">
        <is>
          <t>ok</t>
        </is>
      </c>
      <c r="C85" s="53" t="n"/>
      <c r="D85" s="53" t="inlineStr">
        <is>
          <t>品牌</t>
        </is>
      </c>
      <c r="E85" s="54" t="inlineStr">
        <is>
          <t>粉丝画像匹配度高</t>
        </is>
      </c>
      <c r="F85" s="53" t="inlineStr">
        <is>
          <t>有猫野人</t>
        </is>
      </c>
      <c r="G85" s="53" t="inlineStr">
        <is>
          <t>https://www.xingtu.cn/ad/creator/author-homepage/douyin-video/7352030108036644901?market_track_id=M7AZXMJ7R29ET9J3CFY9&amp;search_session_id=7613295809123352586&amp;possessStarId</t>
        </is>
      </c>
      <c r="H85" s="53" t="inlineStr">
        <is>
          <t>https://www.douyin.com/user/MS4wLjABAAAAWe0wnZPzKj2XGvjTmPDlIGVwyllIgwtk2y-n4oCsYSfG5OEtVPP7Sd22um79jfR2</t>
        </is>
      </c>
      <c r="I85" s="53" t="inlineStr">
        <is>
          <t>lonely88zhou</t>
        </is>
      </c>
      <c r="J85" s="53" t="inlineStr">
        <is>
          <t>家居</t>
        </is>
      </c>
      <c r="K85" s="53" t="inlineStr">
        <is>
          <t>尾部</t>
        </is>
      </c>
      <c r="L85" s="53" t="n">
        <v>10.5</v>
      </c>
      <c r="M85" s="53" t="inlineStr">
        <is>
          <t>2000-20000</t>
        </is>
      </c>
      <c r="N85" s="53" t="inlineStr">
        <is>
          <t>新锐白领
资深中产
精致妈妈</t>
        </is>
      </c>
      <c r="O85" s="59" t="n">
        <v>0.624</v>
      </c>
      <c r="P85" s="53" t="n">
        <v>333000</v>
      </c>
      <c r="Q85" s="53">
        <f>Z85*1.05</f>
        <v/>
      </c>
      <c r="R85" s="55">
        <f>Z85/(AB85+AD85+AC85)</f>
        <v/>
      </c>
      <c r="S85" s="53" t="inlineStr">
        <is>
          <t>视频</t>
        </is>
      </c>
      <c r="T85" s="56" t="n">
        <v>0.66</v>
      </c>
      <c r="U85" s="56" t="n">
        <v>0.2</v>
      </c>
      <c r="V85" s="56" t="n">
        <v>0.42</v>
      </c>
      <c r="W85" s="56" t="n">
        <v>0.22</v>
      </c>
      <c r="X85" s="56" t="n"/>
      <c r="Y85" s="56" t="n"/>
      <c r="Z85" s="53" t="n">
        <v>43000</v>
      </c>
      <c r="AA85" s="160">
        <f>SUM((Z85/P85)*1000)</f>
        <v/>
      </c>
      <c r="AB85" s="69" t="n">
        <v>5378</v>
      </c>
      <c r="AC85" s="53" t="n">
        <v>235</v>
      </c>
      <c r="AD85" s="53" t="n">
        <v>282</v>
      </c>
      <c r="AE85" s="53" t="n"/>
      <c r="AF85" s="53" t="n"/>
      <c r="AG85" s="53" t="n"/>
      <c r="AH85" s="53" t="n"/>
      <c r="AI85" s="53" t="n"/>
      <c r="AJ85" s="53" t="n"/>
      <c r="AK85" s="53" t="n"/>
      <c r="AL85" s="53" t="n"/>
      <c r="AM85" s="53" t="n"/>
      <c r="AN85" s="53" t="n"/>
      <c r="AO85" s="53" t="n"/>
      <c r="AP85" s="53" t="n"/>
      <c r="AQ85" s="57" t="n"/>
      <c r="AR85" s="57" t="n"/>
    </row>
    <row r="86">
      <c r="A86" s="18" t="n"/>
      <c r="B86" s="18" t="inlineStr">
        <is>
          <t>ok</t>
        </is>
      </c>
      <c r="C86" s="18" t="n"/>
      <c r="D86" s="18" t="inlineStr">
        <is>
          <t>品牌</t>
        </is>
      </c>
      <c r="E86" s="32" t="inlineStr">
        <is>
          <t>粉丝画像适配</t>
        </is>
      </c>
      <c r="F86" s="18" t="inlineStr">
        <is>
          <t>叮叮妈妈加油</t>
        </is>
      </c>
      <c r="G86" s="18" t="inlineStr">
        <is>
          <t>https://www.xingtu.cn/ad/creator/author-homepage/douyin-video/7121607124089569316?market_track_id=CTMSOHG2UEDVFASGDN5K&amp;search_session_id=7613298886794395674&amp;possessStarId</t>
        </is>
      </c>
      <c r="H86" s="18" t="inlineStr">
        <is>
          <t>https://www.douyin.com/user/MS4wLjABAAAA_N4YHaBZG_IZZPlX7oB0vR7z3cTveIodjhr3FXhmnYwo0qy9nnZzVA0idcTMj3-H</t>
        </is>
      </c>
      <c r="I86" s="18" t="inlineStr">
        <is>
          <t>2017Ccdd</t>
        </is>
      </c>
      <c r="J86" s="18" t="inlineStr">
        <is>
          <t>美食</t>
        </is>
      </c>
      <c r="K86" s="18" t="inlineStr">
        <is>
          <t>腰部</t>
        </is>
      </c>
      <c r="L86" s="18" t="n">
        <v>79</v>
      </c>
      <c r="M86" s="18" t="inlineStr">
        <is>
          <t>近一个月未发布商单</t>
        </is>
      </c>
      <c r="N86" s="18" t="inlineStr">
        <is>
          <t>精致妈妈
小镇青年
新锐白领</t>
        </is>
      </c>
      <c r="O86" s="35" t="n">
        <v>0.542</v>
      </c>
      <c r="P86" s="18" t="n">
        <v>175000</v>
      </c>
      <c r="Q86" s="18">
        <f>Z86*1.05</f>
        <v/>
      </c>
      <c r="R86" s="20">
        <f>Z86/(AB86+AD86+AC86)</f>
        <v/>
      </c>
      <c r="S86" s="18" t="inlineStr">
        <is>
          <t>视频</t>
        </is>
      </c>
      <c r="T86" s="21" t="n">
        <v>0.82</v>
      </c>
      <c r="U86" s="21" t="n">
        <v>0.23</v>
      </c>
      <c r="V86" s="21" t="n">
        <v>0.5</v>
      </c>
      <c r="W86" s="21" t="n">
        <v>0.26</v>
      </c>
      <c r="X86" s="21" t="n"/>
      <c r="Y86" s="21" t="n"/>
      <c r="Z86" s="18" t="n">
        <v>28000</v>
      </c>
      <c r="AA86" s="154">
        <f>SUM((Z86/P86)*1000)</f>
        <v/>
      </c>
      <c r="AB86" s="18" t="n">
        <v>5509</v>
      </c>
      <c r="AC86" s="18" t="n">
        <v>232</v>
      </c>
      <c r="AD86" s="18" t="n">
        <v>1091</v>
      </c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</row>
    <row r="87">
      <c r="A87" s="18" t="n"/>
      <c r="B87" s="18" t="inlineStr">
        <is>
          <t>粉丝和观众不匹配，数据可能不真实</t>
        </is>
      </c>
      <c r="C87" s="18" t="n"/>
      <c r="D87" s="18" t="inlineStr">
        <is>
          <t>品牌</t>
        </is>
      </c>
      <c r="E87" s="32" t="inlineStr">
        <is>
          <t>家居博主垂类画像精准</t>
        </is>
      </c>
      <c r="F87" s="18" t="inlineStr">
        <is>
          <t>贝勒爷装修日记</t>
        </is>
      </c>
      <c r="G87" s="18" t="inlineStr">
        <is>
          <t>https://www.xingtu.cn/ad/creator/author-homepage/douyin-video/6997128678010273805?market_track_id=T3F09RSZB5J532D966YC&amp;search_session_id=7613301898976575514&amp;possessStarId</t>
        </is>
      </c>
      <c r="H87" s="18" t="inlineStr">
        <is>
          <t>https://www.douyin.com/user/MS4wLjABAAAA5qA_IOOFelSPMHIXHW-NyZNIX55R8yceM5gpFr99Ugend87C0wVRO2g1CSHDY67o</t>
        </is>
      </c>
      <c r="I87" s="18" t="inlineStr">
        <is>
          <t>dybej0siilpo</t>
        </is>
      </c>
      <c r="J87" s="18" t="inlineStr">
        <is>
          <t>家居</t>
        </is>
      </c>
      <c r="K87" s="18" t="inlineStr">
        <is>
          <t>尾部</t>
        </is>
      </c>
      <c r="L87" s="18" t="n">
        <v>43</v>
      </c>
      <c r="M87" s="18" t="inlineStr">
        <is>
          <t>2000-20000</t>
        </is>
      </c>
      <c r="N87" s="18" t="inlineStr">
        <is>
          <t>小镇青年
新锐白领
Z世代</t>
        </is>
      </c>
      <c r="O87" s="21" t="n">
        <v>0.48</v>
      </c>
      <c r="P87" s="18" t="n">
        <v>3575000</v>
      </c>
      <c r="Q87" s="18">
        <f>Z87*1.05</f>
        <v/>
      </c>
      <c r="R87" s="20">
        <f>Z87/(AB87+AD87+AC87)</f>
        <v/>
      </c>
      <c r="S87" s="18" t="inlineStr">
        <is>
          <t>视频</t>
        </is>
      </c>
      <c r="T87" s="21" t="n">
        <v>0.53</v>
      </c>
      <c r="U87" s="21" t="n">
        <v>0.2</v>
      </c>
      <c r="V87" s="21" t="n">
        <v>0.46</v>
      </c>
      <c r="W87" s="21" t="n">
        <v>0.2</v>
      </c>
      <c r="X87" s="21" t="n"/>
      <c r="Y87" s="21" t="n"/>
      <c r="Z87" s="18" t="n">
        <v>17000</v>
      </c>
      <c r="AA87" s="154">
        <f>SUM((Z87/P87)*1000)</f>
        <v/>
      </c>
      <c r="AB87" s="18" t="n">
        <v>18000</v>
      </c>
      <c r="AC87" s="18" t="n">
        <v>852</v>
      </c>
      <c r="AD87" s="18" t="n">
        <v>3463</v>
      </c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</row>
    <row r="88">
      <c r="A88" s="18" t="n"/>
      <c r="B88" s="18" t="inlineStr">
        <is>
          <t>ok</t>
        </is>
      </c>
      <c r="C88" s="18" t="n"/>
      <c r="D88" s="18" t="inlineStr">
        <is>
          <t>品牌</t>
        </is>
      </c>
      <c r="E88" s="32" t="inlineStr">
        <is>
          <t>总体数据较好，曝光量高</t>
        </is>
      </c>
      <c r="F88" s="18" t="inlineStr">
        <is>
          <t xml:space="preserve">
大姐吖</t>
        </is>
      </c>
      <c r="G88" s="18" t="inlineStr">
        <is>
          <t>https://www.xingtu.cn/ad/creator/author-homepage/douyin-video/7012557078963159043?market_track_id=T3F09RSZB5J532D966YC&amp;search_session_id=7613303540936818738&amp;possessStarId</t>
        </is>
      </c>
      <c r="H88" s="18" t="inlineStr">
        <is>
          <t>https://www.douyin.com/user/MS4wLjABAAAAfNVPEhjcQudNSFplx0LoYrdvH8rrT7GoYQ_Ij09FMfw</t>
        </is>
      </c>
      <c r="I88" s="18" t="n">
        <v>607324288</v>
      </c>
      <c r="J88" s="18" t="inlineStr">
        <is>
          <t>生活</t>
        </is>
      </c>
      <c r="K88" s="18" t="inlineStr">
        <is>
          <t>腰部</t>
        </is>
      </c>
      <c r="L88" s="18" t="n">
        <v>69</v>
      </c>
      <c r="M88" s="18" t="inlineStr">
        <is>
          <t>100000+</t>
        </is>
      </c>
      <c r="N88" s="18" t="inlineStr">
        <is>
          <t>小镇青年
新锐白领
精致妈妈</t>
        </is>
      </c>
      <c r="O88" s="21" t="n">
        <v>0.46</v>
      </c>
      <c r="P88" s="18" t="n">
        <v>3691000</v>
      </c>
      <c r="Q88" s="18">
        <f>Z88*1.05</f>
        <v/>
      </c>
      <c r="R88" s="20">
        <f>Z88/(AB88+AD88+AC88)</f>
        <v/>
      </c>
      <c r="S88" s="18" t="inlineStr">
        <is>
          <t>视频</t>
        </is>
      </c>
      <c r="T88" s="21" t="n">
        <v>0.77</v>
      </c>
      <c r="U88" s="21" t="n">
        <v>0.34</v>
      </c>
      <c r="V88" s="21" t="n">
        <v>0.4</v>
      </c>
      <c r="W88" s="21" t="n">
        <v>0.07000000000000001</v>
      </c>
      <c r="X88" s="21" t="n"/>
      <c r="Y88" s="21" t="n"/>
      <c r="Z88" s="18" t="n">
        <v>92000</v>
      </c>
      <c r="AA88" s="154">
        <f>SUM((Z88/P88)*1000)</f>
        <v/>
      </c>
      <c r="AB88" s="18" t="n">
        <v>57000</v>
      </c>
      <c r="AC88" s="18" t="n">
        <v>1677</v>
      </c>
      <c r="AD88" s="18" t="n">
        <v>3698</v>
      </c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</row>
    <row r="89">
      <c r="A89" s="18" t="n"/>
      <c r="B89" s="18" t="inlineStr">
        <is>
          <t>粉丝和观众画像不一致，偏下沉</t>
        </is>
      </c>
      <c r="C89" s="18" t="n"/>
      <c r="D89" s="18" t="inlineStr">
        <is>
          <t>品牌</t>
        </is>
      </c>
      <c r="E89" s="32" t="inlineStr">
        <is>
          <t>奶油风装修，专业家居博主</t>
        </is>
      </c>
      <c r="F89" s="18" t="inlineStr">
        <is>
          <t>mona宅家中</t>
        </is>
      </c>
      <c r="G89" s="18" t="inlineStr">
        <is>
          <t>https://www.xingtu.cn/ad/creator/author-homepage/douyin-video/6870161635978248200?market_track_id=T3F09RSZB5J532D966YC&amp;search_session_id=7613305670808518694&amp;possessStarId</t>
        </is>
      </c>
      <c r="H89" s="18" t="inlineStr">
        <is>
          <t>https://www.douyin.com/user/MS4wLjABAAAAqvZxAHFLfL78cSnQE4ryO2MVRIV7Js0d30t7HrghwW8</t>
        </is>
      </c>
      <c r="I89" s="18" t="inlineStr">
        <is>
          <t>mona21666</t>
        </is>
      </c>
      <c r="J89" s="18" t="inlineStr">
        <is>
          <t>家居</t>
        </is>
      </c>
      <c r="K89" s="18" t="inlineStr">
        <is>
          <t>尾部</t>
        </is>
      </c>
      <c r="L89" s="18" t="n">
        <v>35</v>
      </c>
      <c r="M89" s="18" t="inlineStr">
        <is>
          <t>近一个月未发布商单</t>
        </is>
      </c>
      <c r="N89" s="18" t="inlineStr">
        <is>
          <t>新锐白领
精致妈妈
小镇青年</t>
        </is>
      </c>
      <c r="O89" s="35" t="n">
        <v>0.835</v>
      </c>
      <c r="P89" s="18" t="n">
        <v>1391000</v>
      </c>
      <c r="Q89" s="18">
        <f>Z89*1.05</f>
        <v/>
      </c>
      <c r="R89" s="20">
        <f>Z89/(AB89+AD89+AC89)</f>
        <v/>
      </c>
      <c r="S89" s="18" t="inlineStr">
        <is>
          <t>视频</t>
        </is>
      </c>
      <c r="T89" s="21" t="n">
        <v>0.8100000000000001</v>
      </c>
      <c r="U89" s="18" t="n">
        <v>395</v>
      </c>
      <c r="V89" s="21" t="n">
        <v>0.52</v>
      </c>
      <c r="W89" s="21" t="n">
        <v>0.03</v>
      </c>
      <c r="X89" s="21" t="n"/>
      <c r="Y89" s="21" t="n"/>
      <c r="Z89" s="18" t="n">
        <v>39000</v>
      </c>
      <c r="AA89" s="154">
        <f>SUM((Z89/P89)*1000)</f>
        <v/>
      </c>
      <c r="AB89" s="18" t="n">
        <v>4068</v>
      </c>
      <c r="AC89" s="18" t="n">
        <v>132</v>
      </c>
      <c r="AD89" s="18" t="n">
        <v>185</v>
      </c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</row>
    <row r="90">
      <c r="A90" s="18" t="n"/>
      <c r="B90" s="18" t="inlineStr">
        <is>
          <t>ok</t>
        </is>
      </c>
      <c r="C90" s="18" t="n"/>
      <c r="D90" s="18" t="inlineStr">
        <is>
          <t>品牌</t>
        </is>
      </c>
      <c r="E90" s="19" t="inlineStr">
        <is>
          <t xml:space="preserve">粉丝画像匹配度高，A3数据好，宅女的森林原木小屋 </t>
        </is>
      </c>
      <c r="F90" s="18" t="inlineStr">
        <is>
          <t>小青柑</t>
        </is>
      </c>
      <c r="G90" s="18" t="inlineStr">
        <is>
          <t>https://www.xingtu.cn/ad/creator/author-homepage/douyin-video/7143563533668581389?market_track_id=JF1X85GBF9MLNYSFVA7A&amp;search_session_id=7612602001314414619&amp;possessStarId</t>
        </is>
      </c>
      <c r="H90" s="18" t="inlineStr">
        <is>
          <t>https://www.douyin.com/user/MS4wLjABAAAA4ZqwUCLTLLMJOCrGnhGEe3MZOPbHG7muT-NIS0tFonE</t>
        </is>
      </c>
      <c r="I90" s="18" t="n">
        <v>47700823717</v>
      </c>
      <c r="J90" s="18" t="inlineStr">
        <is>
          <t>家居</t>
        </is>
      </c>
      <c r="K90" s="18" t="inlineStr">
        <is>
          <t>腰部</t>
        </is>
      </c>
      <c r="L90" s="18" t="n">
        <v>65.7</v>
      </c>
      <c r="M90" s="18" t="inlineStr">
        <is>
          <t>20000-100000</t>
        </is>
      </c>
      <c r="N90" s="18" t="inlineStr">
        <is>
          <t>新锐白领
小镇青年
精致妈妈</t>
        </is>
      </c>
      <c r="O90" s="21" t="n">
        <v>0.53</v>
      </c>
      <c r="P90" s="18" t="n">
        <v>760000</v>
      </c>
      <c r="Q90" s="18">
        <f>SUM(Z90*1.05)</f>
        <v/>
      </c>
      <c r="R90" s="20">
        <f>Z90/(AB90+AD90+AC90)</f>
        <v/>
      </c>
      <c r="S90" s="18" t="inlineStr">
        <is>
          <t>视频</t>
        </is>
      </c>
      <c r="T90" s="21" t="n">
        <v>0.89</v>
      </c>
      <c r="U90" s="21" t="n">
        <v>0.36</v>
      </c>
      <c r="V90" s="21" t="n">
        <v>0.39</v>
      </c>
      <c r="W90" s="21" t="n">
        <v>0.08</v>
      </c>
      <c r="X90" s="21" t="n"/>
      <c r="Y90" s="21" t="n"/>
      <c r="Z90" s="18" t="n">
        <v>50000</v>
      </c>
      <c r="AA90" s="154">
        <f>SUM((Z90/P90)*1000)</f>
        <v/>
      </c>
      <c r="AB90" s="18" t="n">
        <v>19000</v>
      </c>
      <c r="AC90" s="18" t="n">
        <v>642</v>
      </c>
      <c r="AD90" s="18" t="n">
        <v>2676</v>
      </c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</row>
    <row r="91" ht="24.75" customHeight="1" s="151">
      <c r="A91" s="18" t="n"/>
      <c r="B91" s="18" t="inlineStr">
        <is>
          <t>男性观众占比过大</t>
        </is>
      </c>
      <c r="C91" s="18" t="n"/>
      <c r="D91" s="18" t="inlineStr">
        <is>
          <t>电商</t>
        </is>
      </c>
      <c r="E91" s="32" t="inlineStr">
        <is>
          <t>粉丝画像匹配，爆款上单均为高单价家电</t>
        </is>
      </c>
      <c r="F91" s="18" t="inlineStr">
        <is>
          <t>陈龙颜</t>
        </is>
      </c>
      <c r="G91" s="18" t="inlineStr">
        <is>
          <t>https://www.xingtu.cn/ad/creator/author-homepage/douyin-video/6870160240763994120?market_track_id=1NN8XWAK1CGIJFNAQBZ8&amp;search_session_id=7613355683773808649&amp;possessStarId</t>
        </is>
      </c>
      <c r="H91" s="18" t="inlineStr">
        <is>
          <t>https://www.douyin.com/user/MS4wLjABAAAAAwdV_ZaHwV7yn4Imf8Q1PqZ7IENSzyyY0u24mWgn-xE</t>
        </is>
      </c>
      <c r="I91" s="18" t="inlineStr">
        <is>
          <t>8062093I</t>
        </is>
      </c>
      <c r="J91" s="18" t="inlineStr">
        <is>
          <t>家居</t>
        </is>
      </c>
      <c r="K91" s="18" t="inlineStr">
        <is>
          <t>尾部</t>
        </is>
      </c>
      <c r="L91" s="18" t="n">
        <v>29</v>
      </c>
      <c r="M91" s="18" t="inlineStr">
        <is>
          <t>20000-100000</t>
        </is>
      </c>
      <c r="N91" s="18" t="inlineStr">
        <is>
          <t>新锐白领
小镇青年
精致妈妈</t>
        </is>
      </c>
      <c r="O91" s="21" t="n">
        <v>0.53</v>
      </c>
      <c r="P91" s="18" t="n">
        <v>4647000</v>
      </c>
      <c r="Q91" s="18">
        <f>SUM(Z91*1.05)</f>
        <v/>
      </c>
      <c r="R91" s="20">
        <f>Z91/(AB91+AD91+AC91)</f>
        <v/>
      </c>
      <c r="S91" s="18" t="inlineStr">
        <is>
          <t>视频</t>
        </is>
      </c>
      <c r="T91" s="21" t="n">
        <v>0.5600000000000001</v>
      </c>
      <c r="U91" s="21" t="n">
        <v>0.35</v>
      </c>
      <c r="V91" s="21" t="n">
        <v>0.37</v>
      </c>
      <c r="W91" s="21" t="n">
        <v>0.1</v>
      </c>
      <c r="X91" s="21" t="n"/>
      <c r="Y91" s="21" t="n"/>
      <c r="Z91" s="18" t="n">
        <v>40000</v>
      </c>
      <c r="AA91" s="154">
        <f>SUM((Z91/P91)*1000)</f>
        <v/>
      </c>
      <c r="AB91" s="18" t="n">
        <v>15000</v>
      </c>
      <c r="AC91" s="18" t="n">
        <v>1051</v>
      </c>
      <c r="AD91" s="18" t="n">
        <v>1547</v>
      </c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</row>
    <row r="92">
      <c r="A92" s="18" t="n"/>
      <c r="B92" s="18" t="inlineStr">
        <is>
          <t>观众太年轻和下沉</t>
        </is>
      </c>
      <c r="C92" s="18" t="n"/>
      <c r="D92" s="18" t="inlineStr">
        <is>
          <t>电商</t>
        </is>
      </c>
      <c r="E92" s="32" t="inlineStr">
        <is>
          <t>A3新增高，出现过大家电爆款商单</t>
        </is>
      </c>
      <c r="F92" s="18" t="inlineStr">
        <is>
          <t>家文枸杞</t>
        </is>
      </c>
      <c r="G92" s="18" t="inlineStr">
        <is>
          <t>https://www.xingtu.cn/ad/creator/author-homepage/douyin-video/7151686548088586254?market_track_id=FLCBD4RXT5HYWEMG7UHR&amp;search_session_id=7611816153388367918&amp;possessStarId</t>
        </is>
      </c>
      <c r="H92" s="18" t="inlineStr">
        <is>
          <t>https://www.douyin.com/user/MS4wLjABAAAA-B8K8qRcEYfVBRrGhcVxZa5o1rm4kukc7Oq3j21tEHU</t>
        </is>
      </c>
      <c r="I92" s="18" t="inlineStr">
        <is>
          <t>jiawengouqi</t>
        </is>
      </c>
      <c r="J92" s="18" t="inlineStr">
        <is>
          <t>装修、家居</t>
        </is>
      </c>
      <c r="K92" s="18" t="inlineStr">
        <is>
          <t>腰部</t>
        </is>
      </c>
      <c r="L92" s="18" t="n">
        <v>50</v>
      </c>
      <c r="M92" s="18" t="inlineStr">
        <is>
          <t>100000+</t>
        </is>
      </c>
      <c r="N92" s="18" t="inlineStr">
        <is>
          <t>新锐白领
小镇青年
Z世代</t>
        </is>
      </c>
      <c r="O92" s="35" t="n">
        <v>0.47</v>
      </c>
      <c r="P92" s="155" t="n">
        <v>2919000</v>
      </c>
      <c r="Q92" s="18">
        <f>SUM(Z92*1.05)</f>
        <v/>
      </c>
      <c r="R92" s="20">
        <f>SUM(Z92/(AB92+AC92+AD92))</f>
        <v/>
      </c>
      <c r="S92" s="18" t="inlineStr">
        <is>
          <t>视频</t>
        </is>
      </c>
      <c r="T92" s="21" t="n">
        <v>0.54</v>
      </c>
      <c r="U92" s="21" t="n">
        <v>0.35</v>
      </c>
      <c r="V92" s="21" t="n">
        <v>0.44</v>
      </c>
      <c r="W92" s="21" t="n">
        <v>0.05</v>
      </c>
      <c r="X92" s="21" t="n"/>
      <c r="Y92" s="21" t="n"/>
      <c r="Z92" s="18" t="n">
        <v>40000</v>
      </c>
      <c r="AA92" s="154">
        <f>SUM((Z92/P92)*1000)</f>
        <v/>
      </c>
      <c r="AB92" s="18" t="n">
        <v>9612</v>
      </c>
      <c r="AC92" s="18" t="n">
        <v>276</v>
      </c>
      <c r="AD92" s="18" t="n">
        <v>746</v>
      </c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</row>
    <row r="93" ht="24.75" customHeight="1" s="151">
      <c r="A93" s="18" t="n"/>
      <c r="B93" s="18" t="inlineStr">
        <is>
          <t>过于年轻和下沉</t>
        </is>
      </c>
      <c r="C93" s="18" t="n"/>
      <c r="D93" s="18" t="inlineStr">
        <is>
          <t>电商</t>
        </is>
      </c>
      <c r="E93" s="32" t="inlineStr">
        <is>
          <t>粉丝画像微偏差，出过大家电千万播放爆款数据</t>
        </is>
      </c>
      <c r="F93" s="18" t="inlineStr">
        <is>
          <t xml:space="preserve">
罗天真</t>
        </is>
      </c>
      <c r="G93" s="18" t="inlineStr">
        <is>
          <t>https://www.xingtu.cn/ad/creator/author-homepage/douyin-video/7008950281987686413?market_track_id=1NN8XWAK1CGIJFNAQBZ8&amp;search_session_id=7613351311513714726&amp;possessStarId</t>
        </is>
      </c>
      <c r="H93" s="18" t="inlineStr">
        <is>
          <t>https://www.douyin.com/user/MS4wLjABAAAAaiXLTcfTvuyI_yPSnMdmJQbyrZ2g0sKYzUVs_UnJ0mq9lEIqcE0XyW7VpZbVkzWx</t>
        </is>
      </c>
      <c r="I93" s="18" t="inlineStr">
        <is>
          <t>LTZx1019</t>
        </is>
      </c>
      <c r="J93" s="18" t="inlineStr">
        <is>
          <t>家居</t>
        </is>
      </c>
      <c r="K93" s="18" t="inlineStr">
        <is>
          <t>腰部</t>
        </is>
      </c>
      <c r="L93" s="18" t="n">
        <v>86</v>
      </c>
      <c r="M93" s="18" t="inlineStr">
        <is>
          <t>20000-100000</t>
        </is>
      </c>
      <c r="N93" s="18" t="inlineStr">
        <is>
          <t>小镇青年
新锐白领
精致妈妈</t>
        </is>
      </c>
      <c r="O93" s="21" t="n">
        <v>0.48</v>
      </c>
      <c r="P93" s="18" t="n">
        <v>1923000</v>
      </c>
      <c r="Q93" s="18">
        <f>SUM(Z93*1.05)</f>
        <v/>
      </c>
      <c r="R93" s="20">
        <f>SUM(Z93/(AB93+AC93+AD93))</f>
        <v/>
      </c>
      <c r="S93" s="18" t="inlineStr">
        <is>
          <t>视频</t>
        </is>
      </c>
      <c r="T93" s="21" t="n">
        <v>0.8</v>
      </c>
      <c r="U93" s="21" t="n">
        <v>0.38</v>
      </c>
      <c r="V93" s="21" t="n">
        <v>0.4</v>
      </c>
      <c r="W93" s="21" t="n">
        <v>0.04</v>
      </c>
      <c r="X93" s="21" t="n"/>
      <c r="Y93" s="21" t="n"/>
      <c r="Z93" s="18" t="n">
        <v>37500</v>
      </c>
      <c r="AA93" s="154">
        <f>SUM((Z93/P93)*1000)</f>
        <v/>
      </c>
      <c r="AB93" s="18" t="n">
        <v>19000</v>
      </c>
      <c r="AC93" s="18" t="n">
        <v>2716</v>
      </c>
      <c r="AD93" s="18" t="n">
        <v>2323</v>
      </c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</row>
    <row r="94" ht="24.75" customHeight="1" s="151">
      <c r="A94" s="18" t="n"/>
      <c r="B94" s="18" t="inlineStr">
        <is>
          <t>男性用户占比太高</t>
        </is>
      </c>
      <c r="C94" s="18" t="n"/>
      <c r="D94" s="18" t="inlineStr">
        <is>
          <t>电商</t>
        </is>
      </c>
      <c r="E94" s="32" t="inlineStr">
        <is>
          <t>女粉占比较稍低，但爆款商单均为高客单价大家电</t>
        </is>
      </c>
      <c r="F94" s="18" t="inlineStr">
        <is>
          <t>我是王小毛吖</t>
        </is>
      </c>
      <c r="G94" s="18" t="inlineStr">
        <is>
          <t>https://www.xingtu.cn/ad/creator/author-homepage/douyin-video/6926304630271901711?market_track_id=0OYPCAVV8EYK36F21DKG&amp;search_session_id=7613346160124297225&amp;possessStarId</t>
        </is>
      </c>
      <c r="H94" s="18" t="inlineStr">
        <is>
          <t>https://www.douyin.com/user/MS4wLjABAAAAj4jdFLdrSSmm1yQo6MMLOSXaMM0biQjbTVDPT3VRmuY</t>
        </is>
      </c>
      <c r="I94" s="18" t="n">
        <v>2224187723</v>
      </c>
      <c r="J94" s="18" t="inlineStr">
        <is>
          <t>家居</t>
        </is>
      </c>
      <c r="K94" s="18" t="inlineStr">
        <is>
          <t>腰部</t>
        </is>
      </c>
      <c r="L94" s="18" t="n">
        <v>75</v>
      </c>
      <c r="M94" s="18" t="inlineStr">
        <is>
          <t>2000-20000</t>
        </is>
      </c>
      <c r="N94" s="18" t="inlineStr">
        <is>
          <t>新锐白领
小镇青年
精致妈妈</t>
        </is>
      </c>
      <c r="O94" s="21" t="n">
        <v>0.57</v>
      </c>
      <c r="P94" s="18" t="n">
        <v>863000</v>
      </c>
      <c r="Q94" s="18">
        <f>SUM(Z94*1.05)</f>
        <v/>
      </c>
      <c r="R94" s="20">
        <f>SUM(Z94/(AB94+AC94+AD94))</f>
        <v/>
      </c>
      <c r="S94" s="18" t="inlineStr">
        <is>
          <t>视频</t>
        </is>
      </c>
      <c r="T94" s="21" t="n">
        <v>0.44</v>
      </c>
      <c r="U94" s="21" t="n">
        <v>0.31</v>
      </c>
      <c r="V94" s="21" t="n">
        <v>0.49</v>
      </c>
      <c r="W94" s="21" t="n">
        <v>0.1</v>
      </c>
      <c r="X94" s="21" t="n"/>
      <c r="Y94" s="21" t="n"/>
      <c r="Z94" s="18" t="n">
        <v>44800</v>
      </c>
      <c r="AA94" s="154">
        <f>SUM((Z94/P94)*1000)</f>
        <v/>
      </c>
      <c r="AB94" s="18" t="n">
        <v>10000</v>
      </c>
      <c r="AC94" s="18" t="n">
        <v>187</v>
      </c>
      <c r="AD94" s="18" t="n">
        <v>320</v>
      </c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</row>
    <row r="95" ht="24.75" customHeight="1" s="151">
      <c r="A95" s="18" t="n"/>
      <c r="B95" s="18" t="inlineStr">
        <is>
          <t>三大人群占比太低</t>
        </is>
      </c>
      <c r="C95" s="18" t="n"/>
      <c r="D95" s="18" t="inlineStr">
        <is>
          <t>电商</t>
        </is>
      </c>
      <c r="E95" s="32" t="inlineStr">
        <is>
          <t>A3数据好，出过卡萨帝油烟机千万播放爆款，内容较日常</t>
        </is>
      </c>
      <c r="F95" s="18" t="inlineStr">
        <is>
          <t>黑子🎨</t>
        </is>
      </c>
      <c r="G95" s="18" t="inlineStr">
        <is>
          <t>https://www.xingtu.cn/ad/creator/author-homepage/douyin-video/6740972275522076676?market_track_id=0OYPCAVV8EYK36F21DKG&amp;search_session_id=7613344002150580262&amp;possessStarId</t>
        </is>
      </c>
      <c r="H95" s="18" t="inlineStr">
        <is>
          <t>https://www.douyin.com/user/MS4wLjABAAAA1L_6xSXNev3kU4eW6bo8Te3S8Ms380R0DtiWqjn0JSE</t>
        </is>
      </c>
      <c r="I95" s="18" t="n">
        <v>116258575</v>
      </c>
      <c r="J95" s="18" t="inlineStr">
        <is>
          <t>家居</t>
        </is>
      </c>
      <c r="K95" s="18" t="inlineStr">
        <is>
          <t>腰部</t>
        </is>
      </c>
      <c r="L95" s="18" t="n">
        <v>70</v>
      </c>
      <c r="M95" s="18" t="inlineStr">
        <is>
          <t>20000-100000</t>
        </is>
      </c>
      <c r="N95" s="18" t="inlineStr">
        <is>
          <t>新锐白领
小镇青年
精致妈妈</t>
        </is>
      </c>
      <c r="O95" s="21" t="n">
        <v>0.6</v>
      </c>
      <c r="P95" s="18" t="n">
        <v>1063000</v>
      </c>
      <c r="Q95" s="18">
        <f>SUM(Z95*1.05)</f>
        <v/>
      </c>
      <c r="R95" s="20">
        <f>SUM(Z95/(AB95+AC95+AD95))</f>
        <v/>
      </c>
      <c r="S95" s="18" t="inlineStr">
        <is>
          <t>视频</t>
        </is>
      </c>
      <c r="T95" s="21" t="n">
        <v>0.7</v>
      </c>
      <c r="U95" s="21" t="n">
        <v>0.31</v>
      </c>
      <c r="V95" s="21" t="n">
        <v>0.43</v>
      </c>
      <c r="W95" s="21" t="n">
        <v>0.12</v>
      </c>
      <c r="X95" s="21" t="n"/>
      <c r="Y95" s="21" t="n"/>
      <c r="Z95" s="18" t="n">
        <v>50000</v>
      </c>
      <c r="AA95" s="154">
        <f>SUM((Z95/P95)*1000)</f>
        <v/>
      </c>
      <c r="AB95" s="18" t="n">
        <v>25000</v>
      </c>
      <c r="AC95" s="18" t="n">
        <v>898</v>
      </c>
      <c r="AD95" s="18" t="n">
        <v>1323</v>
      </c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</row>
    <row r="96" ht="24.75" customHeight="1" s="151">
      <c r="A96" s="18" t="n"/>
      <c r="B96" s="18" t="n"/>
      <c r="C96" s="18" t="n"/>
      <c r="D96" s="18" t="inlineStr">
        <is>
          <t>电商</t>
        </is>
      </c>
      <c r="E96" s="32" t="inlineStr">
        <is>
          <t>大家电商单基本单单爆款，A3新增高，转化好</t>
        </is>
      </c>
      <c r="F96" s="18" t="inlineStr">
        <is>
          <t>李小冷不冷</t>
        </is>
      </c>
      <c r="G96" s="18" t="inlineStr">
        <is>
          <t>https://www.xingtu.cn/ad/creator/author-homepage/douyin-video/7011387294233919518?market_track_id=0OYPCAVV8EYK36F21DKG&amp;search_session_id=7613344002150580262&amp;possessStarId</t>
        </is>
      </c>
      <c r="H96" s="18" t="inlineStr">
        <is>
          <t>https://www.douyin.com/user/MS4wLjABAAAAcCjSwK8NJHrt0Cz_ix8LGKtU17tlcQpOxB54KvGAmTY</t>
        </is>
      </c>
      <c r="I96" s="18" t="n">
        <v>117188298</v>
      </c>
      <c r="J96" s="18" t="inlineStr">
        <is>
          <t>家居</t>
        </is>
      </c>
      <c r="K96" s="18" t="inlineStr">
        <is>
          <t>腰部</t>
        </is>
      </c>
      <c r="L96" s="18" t="n">
        <v>110</v>
      </c>
      <c r="M96" s="18" t="inlineStr">
        <is>
          <t>100000+</t>
        </is>
      </c>
      <c r="N96" s="18" t="inlineStr">
        <is>
          <t>新锐白领
精致妈妈
小镇青年</t>
        </is>
      </c>
      <c r="O96" s="35" t="n">
        <v>0.638</v>
      </c>
      <c r="P96" s="18" t="n">
        <v>2988000</v>
      </c>
      <c r="Q96" s="18">
        <f>SUM(Z96*1.05)</f>
        <v/>
      </c>
      <c r="R96" s="20">
        <f>SUM(Z96/(AB96+AC96+AD96))</f>
        <v/>
      </c>
      <c r="S96" s="18" t="inlineStr">
        <is>
          <t>视频</t>
        </is>
      </c>
      <c r="T96" s="21" t="n">
        <v>0.71</v>
      </c>
      <c r="U96" s="21" t="n">
        <v>0.36</v>
      </c>
      <c r="V96" s="21" t="n">
        <v>0.39</v>
      </c>
      <c r="W96" s="21" t="n">
        <v>0.08</v>
      </c>
      <c r="X96" s="21" t="n"/>
      <c r="Y96" s="21" t="n"/>
      <c r="Z96" s="18" t="n">
        <v>105000</v>
      </c>
      <c r="AA96" s="154">
        <f>SUM((Z96/P96)*1000)</f>
        <v/>
      </c>
      <c r="AB96" s="18" t="n">
        <v>15000</v>
      </c>
      <c r="AC96" s="18" t="n">
        <v>264</v>
      </c>
      <c r="AD96" s="18" t="n">
        <v>621</v>
      </c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</row>
    <row r="97">
      <c r="A97" s="60" t="n"/>
      <c r="B97" s="60" t="n"/>
      <c r="C97" s="60" t="n"/>
      <c r="D97" s="60" t="n"/>
      <c r="E97" s="61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  <c r="Z97" s="60" t="n"/>
      <c r="AA97" s="60" t="n"/>
      <c r="AB97" s="60" t="n"/>
      <c r="AC97" s="60" t="n"/>
      <c r="AD97" s="60" t="n"/>
      <c r="AE97" s="60" t="n"/>
      <c r="AF97" s="60" t="n"/>
      <c r="AG97" s="60" t="n"/>
      <c r="AH97" s="60" t="n"/>
      <c r="AI97" s="60" t="n"/>
      <c r="AJ97" s="60" t="n"/>
      <c r="AK97" s="60" t="n"/>
      <c r="AL97" s="60" t="n"/>
      <c r="AM97" s="60" t="n"/>
      <c r="AN97" s="60" t="n"/>
      <c r="AO97" s="60" t="n"/>
      <c r="AP97" s="60" t="n"/>
    </row>
    <row r="98" ht="24.75" customHeight="1" s="151">
      <c r="A98" s="18" t="n"/>
      <c r="B98" s="18" t="inlineStr">
        <is>
          <t>ok</t>
        </is>
      </c>
      <c r="C98" s="18" t="n"/>
      <c r="D98" s="18" t="inlineStr">
        <is>
          <t>品牌</t>
        </is>
      </c>
      <c r="E98" s="32" t="inlineStr">
        <is>
          <t>粉丝画像三大人群占比较高，粘性粉丝用户人群适配</t>
        </is>
      </c>
      <c r="F98" s="18" t="inlineStr">
        <is>
          <t>多琳Doreen</t>
        </is>
      </c>
      <c r="G98" s="18" t="inlineStr">
        <is>
          <t>https://www.xingtu.cn/ad/creator/author-homepage/douyin-video/7389515547106344970?market_track_id=YLXB7MTD8TPJAQ2SP4QR&amp;search_session_id=7613680168258830382&amp;possessStarId</t>
        </is>
      </c>
      <c r="H98" s="18" t="inlineStr">
        <is>
          <t>https://www.douyin.com/user/MS4wLjABAAAAoZ6CLpKzWCX0PzVpVpH1TIPOHXlA83s6lXi-w-FJBYI-INgk9uNE6LsDAhrI47sg</t>
        </is>
      </c>
      <c r="I98" s="18" t="inlineStr">
        <is>
          <t>niugeyingshiok</t>
        </is>
      </c>
      <c r="J98" s="18" t="inlineStr">
        <is>
          <t>家居</t>
        </is>
      </c>
      <c r="K98" s="18" t="inlineStr">
        <is>
          <t>尾部</t>
        </is>
      </c>
      <c r="L98" s="18" t="n">
        <v>23</v>
      </c>
      <c r="M98" s="18" t="inlineStr">
        <is>
          <t>150-2000</t>
        </is>
      </c>
      <c r="N98" s="18" t="inlineStr">
        <is>
          <t>新锐白领
小镇青年
资深中产</t>
        </is>
      </c>
      <c r="O98" s="21" t="n">
        <v>0.63</v>
      </c>
      <c r="P98" s="18" t="n">
        <v>674000</v>
      </c>
      <c r="Q98" s="18">
        <f>SUM(Z98*1.05)</f>
        <v/>
      </c>
      <c r="R98" s="20">
        <f>Z98/(AB98+AD98+AC98)</f>
        <v/>
      </c>
      <c r="S98" s="18" t="inlineStr">
        <is>
          <t>视频</t>
        </is>
      </c>
      <c r="T98" s="21" t="n">
        <v>0.25</v>
      </c>
      <c r="U98" s="21" t="n">
        <v>0.36</v>
      </c>
      <c r="V98" s="21" t="n">
        <v>0.41</v>
      </c>
      <c r="W98" s="21" t="n">
        <v>0.1</v>
      </c>
      <c r="X98" s="21" t="n"/>
      <c r="Y98" s="21" t="n"/>
      <c r="Z98" s="18" t="n">
        <v>29800</v>
      </c>
      <c r="AA98" s="154">
        <f>SUM((Z98/P98)*1000)</f>
        <v/>
      </c>
      <c r="AB98" s="18" t="n">
        <v>9513</v>
      </c>
      <c r="AC98" s="18" t="n">
        <v>171</v>
      </c>
      <c r="AD98" s="18" t="n">
        <v>400</v>
      </c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</row>
    <row r="99" ht="24.75" customHeight="1" s="151">
      <c r="A99" s="18" t="n"/>
      <c r="B99" s="18" t="inlineStr">
        <is>
          <t>不行，博主形象不是很好</t>
        </is>
      </c>
      <c r="C99" s="18" t="n"/>
      <c r="D99" s="18" t="inlineStr">
        <is>
          <t>品牌</t>
        </is>
      </c>
      <c r="E99" s="32" t="inlineStr">
        <is>
          <t>软装设计师，专业性强，粉丝画像适配</t>
        </is>
      </c>
      <c r="F99" s="18" t="inlineStr">
        <is>
          <t xml:space="preserve">
帆叔家居真带劲</t>
        </is>
      </c>
      <c r="G99" s="18" t="inlineStr">
        <is>
          <t>https://www.xingtu.cn/ad/creator/author-homepage/douyin-video/6870160260540137486?market_track_id=YLXB7MTD8TPJAQ2SP4QR&amp;search_session_id=7613679778771779594&amp;possessStarId</t>
        </is>
      </c>
      <c r="H99" s="18" t="inlineStr">
        <is>
          <t>https://www.douyin.com/user/MS4wLjABAAAASz4Fz2ZvwPrjz2p5h5YkRvH7s83R2_VApQX-jqHOtBg</t>
        </is>
      </c>
      <c r="I99" s="18" t="n">
        <v>7313992</v>
      </c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</row>
    <row r="100">
      <c r="A100" s="18" t="n"/>
      <c r="B100" s="18" t="inlineStr">
        <is>
          <t>太下沉了</t>
        </is>
      </c>
      <c r="C100" s="18" t="n"/>
      <c r="D100" s="18" t="inlineStr">
        <is>
          <t>电商</t>
        </is>
      </c>
      <c r="E100" s="32" t="inlineStr">
        <is>
          <t>画像适配，粉丝购买力强</t>
        </is>
      </c>
      <c r="F100" s="18" t="inlineStr">
        <is>
          <t>华灯初上</t>
        </is>
      </c>
      <c r="G100" s="18" t="inlineStr">
        <is>
          <t>https://www.xingtu.cn/ad/creator/author-homepage/douyin-video/7235217904738926596?market_track_id=2KVOMPJN4QSG01E4YUAX&amp;search_session_id=7613672629345452082&amp;possessStarId</t>
        </is>
      </c>
      <c r="H100" s="18" t="inlineStr">
        <is>
          <t>https://www.douyin.com/user/MS4wLjABAAAAtR50iDXDnqRgvZGtkakkoNhbJvAL145MBUi55rnGd4CooXaFwC5zmcfTfPJctKY9</t>
        </is>
      </c>
      <c r="I100" s="18" t="inlineStr">
        <is>
          <t>Luoxh202006</t>
        </is>
      </c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</row>
    <row r="101">
      <c r="A101" s="18" t="n"/>
      <c r="B101" s="18" t="inlineStr">
        <is>
          <t>ok</t>
        </is>
      </c>
      <c r="C101" s="18" t="n"/>
      <c r="D101" s="18" t="inlineStr">
        <is>
          <t>品牌</t>
        </is>
      </c>
      <c r="E101" s="32" t="inlineStr">
        <is>
          <t>新增A3强，粉丝画像适配</t>
        </is>
      </c>
      <c r="F101" s="18" t="inlineStr">
        <is>
          <t>大柱小花家</t>
        </is>
      </c>
      <c r="G101" s="18" t="inlineStr">
        <is>
          <t>https://www.xingtu.cn/ad/creator/author-homepage/douyin-video/7488345600363233306?market_track_id=2KVOMPJN4QSG01E4YUAX&amp;search_session_id=7613673581612662830&amp;possessStarId</t>
        </is>
      </c>
      <c r="H101" s="18" t="inlineStr">
        <is>
          <t>https://www.douyin.com/user/MS4wLjABAAAAz3CgZ8w-Ax6zIVV41_gwyemwR1iaYdL5x5urb2uPW8E-QVGLks7gcboovLp2GFIe</t>
        </is>
      </c>
      <c r="I101" s="18" t="inlineStr">
        <is>
          <t>dzxhj2025</t>
        </is>
      </c>
      <c r="J101" s="18" t="inlineStr">
        <is>
          <t>家居</t>
        </is>
      </c>
      <c r="K101" s="18" t="inlineStr">
        <is>
          <t>腰部</t>
        </is>
      </c>
      <c r="L101" s="18" t="n">
        <v>83</v>
      </c>
      <c r="M101" s="18" t="inlineStr">
        <is>
          <t>20000-100000</t>
        </is>
      </c>
      <c r="N101" s="18" t="inlineStr">
        <is>
          <t>新锐白领
小镇青年
精致妈妈</t>
        </is>
      </c>
      <c r="O101" s="21" t="n">
        <v>0.5</v>
      </c>
      <c r="P101" s="18" t="n">
        <v>321000</v>
      </c>
      <c r="Q101" s="18">
        <f>SUM(Z101*1.05)</f>
        <v/>
      </c>
      <c r="R101" s="20">
        <f>Z101/(AB101+AD101+AC101)</f>
        <v/>
      </c>
      <c r="S101" s="18" t="inlineStr">
        <is>
          <t>视频</t>
        </is>
      </c>
      <c r="T101" s="21" t="n">
        <v>0.65</v>
      </c>
      <c r="U101" s="21" t="n">
        <v>0.26</v>
      </c>
      <c r="V101" s="21" t="n">
        <v>0.44</v>
      </c>
      <c r="W101" s="21" t="n">
        <v>0.11</v>
      </c>
      <c r="X101" s="21" t="n"/>
      <c r="Y101" s="21" t="n"/>
      <c r="Z101" s="18" t="n">
        <v>88000</v>
      </c>
      <c r="AA101" s="154">
        <f>SUM((Z101/P101)*1000)</f>
        <v/>
      </c>
      <c r="AB101" s="22" t="n">
        <v>6736</v>
      </c>
      <c r="AC101" s="18" t="n">
        <v>174</v>
      </c>
      <c r="AD101" s="18" t="n">
        <v>1303</v>
      </c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</row>
    <row r="102">
      <c r="A102" s="18" t="n"/>
      <c r="B102" s="18" t="inlineStr">
        <is>
          <t>ok</t>
        </is>
      </c>
      <c r="C102" s="18" t="n"/>
      <c r="D102" s="18" t="inlineStr">
        <is>
          <t>电商</t>
        </is>
      </c>
      <c r="E102" s="32" t="inlineStr">
        <is>
          <t>画像适配</t>
        </is>
      </c>
      <c r="F102" s="18" t="inlineStr">
        <is>
          <t>陈透明</t>
        </is>
      </c>
      <c r="G102" s="18" t="inlineStr">
        <is>
          <t>https://www.xingtu.cn/ad/creator/author-homepage/douyin-video/6712186904856494092?market_track_id=H4ETHBZMFZY3TAGCQ3FA&amp;search_session_id=7613668965579276334&amp;possessStarId</t>
        </is>
      </c>
      <c r="H102" s="18" t="inlineStr">
        <is>
          <t>https://www.douyin.com/user/MS4wLjABAAAASaOzqb3HtzTba42DOg3aAsg7Xj9oYxXp4e_iSSmPwcGAU8sr2O5GDfJ9GPYkRqvS</t>
        </is>
      </c>
      <c r="I102" s="18" t="inlineStr">
        <is>
          <t>chentouming</t>
        </is>
      </c>
      <c r="J102" s="18" t="inlineStr">
        <is>
          <t>美食</t>
        </is>
      </c>
      <c r="K102" s="18" t="inlineStr">
        <is>
          <t>腰部</t>
        </is>
      </c>
      <c r="L102" s="18" t="n">
        <v>227</v>
      </c>
      <c r="M102" s="18" t="inlineStr">
        <is>
          <t>2000-20000</t>
        </is>
      </c>
      <c r="N102" s="18" t="inlineStr">
        <is>
          <t>新锐白领
精致妈妈
小镇青年</t>
        </is>
      </c>
      <c r="O102" s="21" t="n">
        <v>0.59</v>
      </c>
      <c r="P102" s="18" t="n">
        <v>643000</v>
      </c>
      <c r="Q102" s="18">
        <f>SUM(Z102*1.05)</f>
        <v/>
      </c>
      <c r="R102" s="20">
        <f>Z102/(AB102+AD102+AC102)</f>
        <v/>
      </c>
      <c r="S102" s="18" t="inlineStr">
        <is>
          <t>视频</t>
        </is>
      </c>
      <c r="T102" s="21" t="n">
        <v>0.77</v>
      </c>
      <c r="U102" s="21" t="n">
        <v>0.3</v>
      </c>
      <c r="V102" s="21" t="n">
        <v>0.43</v>
      </c>
      <c r="W102" s="21" t="n">
        <v>0.12</v>
      </c>
      <c r="X102" s="21" t="n"/>
      <c r="Y102" s="21" t="n"/>
      <c r="Z102" s="18" t="n">
        <v>38000</v>
      </c>
      <c r="AA102" s="154">
        <f>SUM((Z102/P102)*1000)</f>
        <v/>
      </c>
      <c r="AB102" s="18" t="n">
        <v>9361</v>
      </c>
      <c r="AC102" s="18" t="n">
        <v>298</v>
      </c>
      <c r="AD102" s="18" t="n">
        <v>1966</v>
      </c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</row>
    <row r="103" ht="24.75" customHeight="1" s="151">
      <c r="A103" s="18" t="n"/>
      <c r="B103" s="18" t="inlineStr">
        <is>
          <t>太下沉</t>
        </is>
      </c>
      <c r="C103" s="18" t="n"/>
      <c r="D103" s="18" t="inlineStr">
        <is>
          <t>品牌</t>
        </is>
      </c>
      <c r="E103" s="32" t="inlineStr">
        <is>
          <t>大家电爆款商单多，粉丝画像适配高</t>
        </is>
      </c>
      <c r="F103" s="18" t="inlineStr">
        <is>
          <t xml:space="preserve">
杰儿美食</t>
        </is>
      </c>
      <c r="G103" s="18" t="inlineStr">
        <is>
          <t>https://www.xingtu.cn/ad/creator/author-homepage/douyin-video/6629659220260159491?market_track_id=H4ETHBZMFZY3TAGCQ3FA&amp;search_session_id=7613666091105501234&amp;possessStarId</t>
        </is>
      </c>
      <c r="H103" s="18" t="inlineStr">
        <is>
          <t>https://www.douyin.com/user/MS4wLjABAAAAaGPupGXkpAjXZOVH21EVXCRlX-WY4k0pSwspKgpfC9c</t>
        </is>
      </c>
      <c r="I103" s="18" t="inlineStr">
        <is>
          <t>jieermeishi</t>
        </is>
      </c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</row>
    <row r="104">
      <c r="A104" s="37" t="n"/>
      <c r="B104" s="37" t="inlineStr">
        <is>
          <t>ok</t>
        </is>
      </c>
      <c r="C104" s="37" t="n"/>
      <c r="D104" s="37" t="inlineStr">
        <is>
          <t>品牌</t>
        </is>
      </c>
      <c r="E104" s="38" t="inlineStr">
        <is>
          <t>A3偏低，但粉丝画像高度适配</t>
        </is>
      </c>
      <c r="F104" s="37" t="inlineStr">
        <is>
          <t>吴爸爸的早餐日记</t>
        </is>
      </c>
      <c r="G104" s="37" t="inlineStr">
        <is>
          <t>https://www.xingtu.cn/ad/creator/author-homepage/douyin-video/6968524225481015299?market_track_id=H4ETHBZMFZY3TAGCQ3FA&amp;search_session_id=7613665705892266034&amp;possessStarId</t>
        </is>
      </c>
      <c r="H104" s="37" t="inlineStr">
        <is>
          <t>https://www.douyin.com/user/MS4wLjABAAAAvbVySaoiJbUbHymqxLMTMoWoy5m3jybj_ZtILScBFnw</t>
        </is>
      </c>
      <c r="I104" s="37" t="inlineStr">
        <is>
          <t>ddbbwwxx</t>
        </is>
      </c>
      <c r="J104" s="37" t="inlineStr">
        <is>
          <t>美食</t>
        </is>
      </c>
      <c r="K104" s="37" t="inlineStr">
        <is>
          <t>腰部</t>
        </is>
      </c>
      <c r="L104" s="37" t="n">
        <v>215</v>
      </c>
      <c r="M104" s="37" t="inlineStr">
        <is>
          <t>150-2000</t>
        </is>
      </c>
      <c r="N104" s="37" t="inlineStr">
        <is>
          <t>精致妈妈
新锐白领
资深中产</t>
        </is>
      </c>
      <c r="O104" s="41" t="n">
        <v>0.68</v>
      </c>
      <c r="P104" s="37" t="n">
        <v>1215000</v>
      </c>
      <c r="Q104" s="37">
        <f>SUM(Z104*1.05)</f>
        <v/>
      </c>
      <c r="R104" s="40">
        <f>Z104/(AB104+AD104+AC104)</f>
        <v/>
      </c>
      <c r="S104" s="37" t="inlineStr">
        <is>
          <t>视频</t>
        </is>
      </c>
      <c r="T104" s="41" t="n">
        <v>0.78</v>
      </c>
      <c r="U104" s="41" t="n">
        <v>0.23</v>
      </c>
      <c r="V104" s="41" t="n">
        <v>0.51</v>
      </c>
      <c r="W104" s="41" t="n">
        <v>0.15</v>
      </c>
      <c r="X104" s="41" t="n"/>
      <c r="Y104" s="41" t="n"/>
      <c r="Z104" s="37" t="n">
        <v>25000</v>
      </c>
      <c r="AA104" s="157">
        <f>SUM((Z104/P104)*1000)</f>
        <v/>
      </c>
      <c r="AB104" s="70" t="n">
        <v>3252</v>
      </c>
      <c r="AC104" s="37" t="n">
        <v>46</v>
      </c>
      <c r="AD104" s="37" t="n">
        <v>115</v>
      </c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43" t="n"/>
      <c r="AR104" s="43" t="n"/>
    </row>
    <row r="105">
      <c r="A105" s="18" t="n"/>
      <c r="B105" s="18" t="inlineStr">
        <is>
          <t>ok</t>
        </is>
      </c>
      <c r="C105" s="18" t="n"/>
      <c r="D105" s="18" t="inlineStr">
        <is>
          <t>品牌</t>
        </is>
      </c>
      <c r="E105" s="32" t="inlineStr">
        <is>
          <t>A3和粉丝画像适配度都OK</t>
        </is>
      </c>
      <c r="F105" s="18" t="inlineStr">
        <is>
          <t xml:space="preserve">
多多妈的小厨房</t>
        </is>
      </c>
      <c r="G105" s="18" t="inlineStr">
        <is>
          <t>https://www.xingtu.cn/ad/creator/author-homepage/douyin-video/7072745980210184223?market_track_id=H4ETHBZMFZY3TAGCQ3FA&amp;search_session_id=7613665085277880366&amp;possessStarId</t>
        </is>
      </c>
      <c r="H105" s="18" t="inlineStr">
        <is>
          <t>https://www.douyin.com/user/MS4wLjABAAAA_HxonAavr589mpQxQuiYeJM_UbmAFJze0ivECvL-BMo</t>
        </is>
      </c>
      <c r="I105" s="18" t="inlineStr">
        <is>
          <t>juping27965</t>
        </is>
      </c>
      <c r="J105" s="18" t="inlineStr">
        <is>
          <t>美食</t>
        </is>
      </c>
      <c r="K105" s="18" t="inlineStr">
        <is>
          <t>腰部</t>
        </is>
      </c>
      <c r="L105" s="18" t="n">
        <v>127</v>
      </c>
      <c r="M105" s="18" t="inlineStr">
        <is>
          <t>2000-20000</t>
        </is>
      </c>
      <c r="N105" s="18" t="inlineStr">
        <is>
          <t>精致妈妈
小镇青年
新锐白领</t>
        </is>
      </c>
      <c r="O105" s="21" t="n">
        <v>0.45</v>
      </c>
      <c r="P105" s="18" t="n">
        <v>1140000</v>
      </c>
      <c r="Q105" s="18">
        <f>SUM(Z105*1.05)</f>
        <v/>
      </c>
      <c r="R105" s="20">
        <f>Z105/(AB105+AD105+AC105)</f>
        <v/>
      </c>
      <c r="S105" s="18" t="inlineStr">
        <is>
          <t>视频</t>
        </is>
      </c>
      <c r="T105" s="21" t="n">
        <v>0.83</v>
      </c>
      <c r="U105" s="21" t="n">
        <v>0.26</v>
      </c>
      <c r="V105" s="21" t="n">
        <v>0.46</v>
      </c>
      <c r="W105" s="21" t="n">
        <v>0.08</v>
      </c>
      <c r="X105" s="21" t="n"/>
      <c r="Y105" s="21" t="n"/>
      <c r="Z105" s="18" t="n">
        <v>80000</v>
      </c>
      <c r="AA105" s="154">
        <f>SUM((Z105/P105)*1000)</f>
        <v/>
      </c>
      <c r="AB105" s="18" t="n">
        <v>19000</v>
      </c>
      <c r="AC105" s="18" t="n">
        <v>605</v>
      </c>
      <c r="AD105" s="18" t="n">
        <v>3799</v>
      </c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</row>
    <row r="106">
      <c r="A106" s="18" t="n"/>
      <c r="B106" s="18" t="inlineStr">
        <is>
          <t>ok</t>
        </is>
      </c>
      <c r="C106" s="18" t="n"/>
      <c r="D106" s="18" t="inlineStr">
        <is>
          <t>品牌</t>
        </is>
      </c>
      <c r="E106" s="32" t="inlineStr">
        <is>
          <t>粉丝画像适配性高</t>
        </is>
      </c>
      <c r="F106" s="18" t="inlineStr">
        <is>
          <t>小屁妈妈不温柔</t>
        </is>
      </c>
      <c r="G106" s="18" t="inlineStr">
        <is>
          <t>https://www.xingtu.cn/ad/creator/author-homepage/douyin-video/7381753558883893299?market_track_id=H4ETHBZMFZY3TAGCQ3FA&amp;search_session_id=7613664374527885358&amp;possessStarId</t>
        </is>
      </c>
      <c r="H106" s="18" t="inlineStr">
        <is>
          <t>https://www.douyin.com/user/MS4wLjABAAAAlW6qdt6ZVRhZtUHJNWqoM3xP-TOU3bXaVQyE5UjRTH8uU4lnR0hPF-7LlHozelfw</t>
        </is>
      </c>
      <c r="I106" s="18" t="inlineStr">
        <is>
          <t>bala_memeda</t>
        </is>
      </c>
      <c r="J106" s="18" t="inlineStr">
        <is>
          <t>美食</t>
        </is>
      </c>
      <c r="K106" s="18" t="inlineStr">
        <is>
          <t>腰部</t>
        </is>
      </c>
      <c r="L106" s="18" t="n">
        <v>102</v>
      </c>
      <c r="M106" s="18" t="inlineStr">
        <is>
          <t>2000-20000</t>
        </is>
      </c>
      <c r="N106" s="18" t="inlineStr">
        <is>
          <t>小镇青年
新锐白领
精致妈妈</t>
        </is>
      </c>
      <c r="O106" s="21" t="n">
        <v>0.46</v>
      </c>
      <c r="P106" s="18" t="n">
        <v>380000</v>
      </c>
      <c r="Q106" s="18">
        <f>SUM(Z106*1.05)</f>
        <v/>
      </c>
      <c r="R106" s="20">
        <f>Z106/(AB106+AD106+AC106)</f>
        <v/>
      </c>
      <c r="S106" s="18" t="inlineStr">
        <is>
          <t>视频</t>
        </is>
      </c>
      <c r="T106" s="21" t="n">
        <v>0.8</v>
      </c>
      <c r="U106" s="21" t="n">
        <v>0.28</v>
      </c>
      <c r="V106" s="21" t="n">
        <v>0.44</v>
      </c>
      <c r="W106" s="21" t="n">
        <v>0.1</v>
      </c>
      <c r="X106" s="21" t="n"/>
      <c r="Y106" s="21" t="n"/>
      <c r="Z106" s="18" t="n">
        <v>17000</v>
      </c>
      <c r="AA106" s="154">
        <f>SUM((Z106/P106)*1000)</f>
        <v/>
      </c>
      <c r="AB106" s="22" t="n">
        <v>4946</v>
      </c>
      <c r="AC106" s="18" t="n">
        <v>492</v>
      </c>
      <c r="AD106" s="18" t="n">
        <v>700</v>
      </c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</row>
    <row r="107">
      <c r="A107" s="18" t="n"/>
      <c r="B107" s="18" t="inlineStr">
        <is>
          <t>ok</t>
        </is>
      </c>
      <c r="C107" s="18" t="n"/>
      <c r="D107" s="18" t="inlineStr">
        <is>
          <t>品牌</t>
        </is>
      </c>
      <c r="E107" s="32" t="inlineStr">
        <is>
          <t>粉丝画像适配性高</t>
        </is>
      </c>
      <c r="F107" s="18" t="inlineStr">
        <is>
          <t>尤马马</t>
        </is>
      </c>
      <c r="G107" s="18" t="inlineStr">
        <is>
          <t>https://www.xingtu.cn/ad/creator/author-homepage/douyin-video/7147705319940948005?market_track_id=H4ETHBZMFZY3TAGCQ3FA&amp;search_session_id=7613664374527885358&amp;possessStarId</t>
        </is>
      </c>
      <c r="H107" s="18" t="inlineStr">
        <is>
          <t>https://www.douyin.com/user/MS4wLjABAAAA8VE5ljHzd8prz-FqC6920tEcl7HSI3b_ihPQol808HQ7nA-f6RDwkeZ3Mm8jMp3Y</t>
        </is>
      </c>
      <c r="I107" s="18" t="n">
        <v>80546539217</v>
      </c>
      <c r="J107" s="18" t="inlineStr">
        <is>
          <t>家居</t>
        </is>
      </c>
      <c r="K107" s="18" t="inlineStr">
        <is>
          <t>腰部</t>
        </is>
      </c>
      <c r="L107" s="18" t="n">
        <v>76</v>
      </c>
      <c r="M107" s="18" t="inlineStr">
        <is>
          <t>2000-20000</t>
        </is>
      </c>
      <c r="N107" s="18" t="inlineStr">
        <is>
          <t>资深中产
小镇青年
新锐白领</t>
        </is>
      </c>
      <c r="O107" s="21" t="n">
        <v>0.5</v>
      </c>
      <c r="P107" s="18" t="n">
        <v>916000</v>
      </c>
      <c r="Q107" s="18">
        <f>SUM(Z107*1.05)</f>
        <v/>
      </c>
      <c r="R107" s="20">
        <f>Z107/(AB107+AD107+AC107)</f>
        <v/>
      </c>
      <c r="S107" s="18" t="inlineStr">
        <is>
          <t>视频</t>
        </is>
      </c>
      <c r="T107" s="21" t="n">
        <v>0.9</v>
      </c>
      <c r="U107" s="21" t="n">
        <v>0.17</v>
      </c>
      <c r="V107" s="21" t="n">
        <v>0.4</v>
      </c>
      <c r="W107" s="18" t="n">
        <v>215</v>
      </c>
      <c r="X107" s="18" t="n"/>
      <c r="Y107" s="18" t="n"/>
      <c r="Z107" s="18" t="n">
        <v>80000</v>
      </c>
      <c r="AA107" s="154">
        <f>SUM((Z107/P107)*1000)</f>
        <v/>
      </c>
      <c r="AB107" s="18" t="n">
        <v>6565</v>
      </c>
      <c r="AC107" s="18" t="n">
        <v>392</v>
      </c>
      <c r="AD107" s="18" t="n">
        <v>442</v>
      </c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</row>
    <row r="108">
      <c r="A108" s="18" t="n"/>
      <c r="B108" s="18" t="inlineStr">
        <is>
          <t>调性不对</t>
        </is>
      </c>
      <c r="C108" s="18" t="n"/>
      <c r="D108" s="18" t="inlineStr">
        <is>
          <t>电商</t>
        </is>
      </c>
      <c r="E108" s="32" t="inlineStr">
        <is>
          <t>A3和粉丝画像适配</t>
        </is>
      </c>
      <c r="F108" s="18" t="inlineStr">
        <is>
          <t>妮家太美啦</t>
        </is>
      </c>
      <c r="G108" s="18" t="inlineStr">
        <is>
          <t>https://www.xingtu.cn/ad/creator/author-homepage/douyin-video/6629659019592073224?market_track_id=9T58FEEOSH7RZ6RU7JP4&amp;search_session_id=7613654499672358963&amp;possessStarId</t>
        </is>
      </c>
      <c r="H108" s="18" t="inlineStr">
        <is>
          <t>https://www.douyin.com/user/MS4wLjABAAAA-P7_GdR9aFaQkisBWd64Rn11rIAk5-nrYvqYnLRR3Iw</t>
        </is>
      </c>
      <c r="I108" s="18" t="inlineStr">
        <is>
          <t>520YXTK</t>
        </is>
      </c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</row>
    <row r="109" ht="24.75" customHeight="1" s="151">
      <c r="A109" s="18" t="n"/>
      <c r="B109" s="18" t="inlineStr">
        <is>
          <t>创意向ok的，但这个人群太年轻了</t>
        </is>
      </c>
      <c r="C109" s="18" t="n"/>
      <c r="D109" s="18" t="inlineStr">
        <is>
          <t>品牌</t>
        </is>
      </c>
      <c r="E109" s="32" t="inlineStr">
        <is>
          <t>创意博主，客户C5之前投过类似达人，粉丝画像OK</t>
        </is>
      </c>
      <c r="F109" s="18" t="inlineStr">
        <is>
          <t>呆猪.</t>
        </is>
      </c>
      <c r="G109" s="18" t="inlineStr">
        <is>
          <t>https://www.xingtu.cn/ad/creator/author-homepage/douyin-video/7441551962656636937?market_track_id=9T58FEEOSH7RZ6RU7JP4&amp;search_session_id=7613652077218316339&amp;possessStarId</t>
        </is>
      </c>
      <c r="H109" s="18" t="inlineStr">
        <is>
          <t>https://www.douyin.com/user/MS4wLjABAAAAPawOZPInC7aNMiahiNWqSTvSU73vSPqIAAE7PmkJSZ2bnoyStZpgGe55ibre3Iyg</t>
        </is>
      </c>
      <c r="I109" s="18" t="n">
        <v>86981708342</v>
      </c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</row>
    <row r="110" ht="24.75" customHeight="1" s="151">
      <c r="A110" s="18" t="n"/>
      <c r="B110" s="18" t="inlineStr">
        <is>
          <t>ok</t>
        </is>
      </c>
      <c r="C110" s="18" t="n"/>
      <c r="D110" s="18" t="inlineStr">
        <is>
          <t>电商</t>
        </is>
      </c>
      <c r="E110" s="32" t="inlineStr">
        <is>
          <t>尾部达人，粉丝画像高度匹性高，A3稍低</t>
        </is>
      </c>
      <c r="F110" s="18" t="inlineStr">
        <is>
          <t>本家哥哥～</t>
        </is>
      </c>
      <c r="G110" s="18" t="inlineStr">
        <is>
          <t>https://www.xingtu.cn/ad/creator/author-homepage/douyin-video/7407996550481182746?market_track_id=9T58FEEOSH7RZ6RU7JP4&amp;search_session_id=7613651291757068297&amp;possessStarId</t>
        </is>
      </c>
      <c r="H110" s="18" t="inlineStr">
        <is>
          <t>https://www.douyin.com/user/MS4wLjABAAAA5ksjDSvoNDp0_Cj4lJK78sgBsNYya-gkhHfv_Gm9yHcIzZM9JoReSh8Nz1XIT309</t>
        </is>
      </c>
      <c r="I110" s="18" t="n">
        <v>83292279929</v>
      </c>
      <c r="J110" s="18" t="inlineStr">
        <is>
          <t>家居</t>
        </is>
      </c>
      <c r="K110" s="18" t="inlineStr">
        <is>
          <t>尾部</t>
        </is>
      </c>
      <c r="L110" s="18" t="n">
        <v>11</v>
      </c>
      <c r="M110" s="18" t="inlineStr">
        <is>
          <t>150-2000</t>
        </is>
      </c>
      <c r="N110" s="18" t="inlineStr">
        <is>
          <t>新锐白领
资深中产
小镇青年</t>
        </is>
      </c>
      <c r="O110" s="21" t="n">
        <v>0.58</v>
      </c>
      <c r="P110" s="18" t="n">
        <v>131000</v>
      </c>
      <c r="Q110" s="18">
        <f>SUM(Z110*1.05)</f>
        <v/>
      </c>
      <c r="R110" s="20">
        <f>Z110/(AB110+AD110+AC110)</f>
        <v/>
      </c>
      <c r="S110" s="18" t="inlineStr">
        <is>
          <t>视频</t>
        </is>
      </c>
      <c r="T110" s="21" t="n">
        <v>0.57</v>
      </c>
      <c r="U110" s="21" t="n">
        <v>0.23</v>
      </c>
      <c r="V110" s="21" t="n">
        <v>0.45</v>
      </c>
      <c r="W110" s="21" t="n">
        <v>0.18</v>
      </c>
      <c r="X110" s="21" t="n"/>
      <c r="Y110" s="21" t="n"/>
      <c r="Z110" s="18" t="n">
        <v>12000</v>
      </c>
      <c r="AA110" s="154">
        <f>SUM((Z110/P110)*1000)</f>
        <v/>
      </c>
      <c r="AB110" s="18" t="n">
        <v>1021</v>
      </c>
      <c r="AC110" s="18" t="n">
        <v>103</v>
      </c>
      <c r="AD110" s="18" t="n">
        <v>137</v>
      </c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</row>
    <row r="111" ht="24.75" customHeight="1" s="151">
      <c r="A111" s="18" t="n"/>
      <c r="B111" s="18" t="inlineStr">
        <is>
          <t>调性不对</t>
        </is>
      </c>
      <c r="C111" s="18" t="n"/>
      <c r="D111" s="18" t="inlineStr">
        <is>
          <t>品牌</t>
        </is>
      </c>
      <c r="E111" s="32" t="inlineStr">
        <is>
          <t>A3和三大人群满足50%，粉丝年龄占比微偏差，创意性高</t>
        </is>
      </c>
      <c r="F111" s="18" t="inlineStr">
        <is>
          <t>小陈同学装修vlog</t>
        </is>
      </c>
      <c r="G111" s="18" t="inlineStr">
        <is>
          <t>https://www.xingtu.cn/ad/creator/author-homepage/douyin-video/7339119448336531492?market_track_id=9T58FEEOSH7RZ6RU7JP4&amp;search_session_id=7613650056704557102&amp;possessStarId</t>
        </is>
      </c>
      <c r="H111" s="18" t="inlineStr">
        <is>
          <t>https://www.douyin.com/user/MS4wLjABAAAAwXO-GxaDXyS0WJlPfR6TenCQAaKb0fsq3h_PabCyISRjszxeVS_MYpDP9Z52J_9m</t>
        </is>
      </c>
      <c r="I111" s="18" t="n">
        <v>30504141842</v>
      </c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</row>
    <row r="112">
      <c r="A112" s="18" t="n"/>
      <c r="B112" s="18" t="inlineStr">
        <is>
          <t>ok</t>
        </is>
      </c>
      <c r="C112" s="18" t="n"/>
      <c r="D112" s="18" t="inlineStr">
        <is>
          <t>电商</t>
        </is>
      </c>
      <c r="E112" s="32" t="inlineStr">
        <is>
          <t>氛围感家居场景，人群A3数据较好</t>
        </is>
      </c>
      <c r="F112" s="18" t="inlineStr">
        <is>
          <t>有杯美式</t>
        </is>
      </c>
      <c r="G112" s="18" t="inlineStr">
        <is>
          <t>https://www.xingtu.cn/ad/creator/author-homepage/douyin-video/7177294850537029670?market_track_id=G4M03VE5NZX91CG58L6U&amp;search_session_id=7613715835726888987&amp;possessStarId&amp;active_tab=content_performance&amp;active_module=.content-video-list-panel&amp;content_key_word=%E5%A4%A7%E5%B9%B3%E5%B1%82</t>
        </is>
      </c>
      <c r="H112" s="18" t="inlineStr">
        <is>
          <t>https://www.douyin.com/user/MS4wLjABAAAAPbj87_5buxdwlFq2PRpq2Z916eeLK-obh6GTg6FFHEA</t>
        </is>
      </c>
      <c r="I112" s="18" t="n">
        <v>266446315</v>
      </c>
      <c r="J112" s="18" t="inlineStr">
        <is>
          <t>家居</t>
        </is>
      </c>
      <c r="K112" s="18" t="inlineStr">
        <is>
          <t>尾部</t>
        </is>
      </c>
      <c r="L112" s="18" t="n">
        <v>18</v>
      </c>
      <c r="M112" s="18" t="inlineStr">
        <is>
          <t>150-2000</t>
        </is>
      </c>
      <c r="N112" s="18" t="inlineStr">
        <is>
          <t>新锐白领
精致妈妈
小镇青年</t>
        </is>
      </c>
      <c r="O112" s="21" t="n">
        <v>0.65</v>
      </c>
      <c r="P112" s="18" t="n">
        <v>427000</v>
      </c>
      <c r="Q112" s="18">
        <f>SUM(Z112*1.05)</f>
        <v/>
      </c>
      <c r="R112" s="20">
        <f>Z112/(AB112+AD112+AC112)</f>
        <v/>
      </c>
      <c r="S112" s="18" t="inlineStr">
        <is>
          <t>视频</t>
        </is>
      </c>
      <c r="T112" s="21" t="n">
        <v>0.45</v>
      </c>
      <c r="U112" s="21" t="n">
        <v>0.35</v>
      </c>
      <c r="V112" s="21" t="n">
        <v>0.38</v>
      </c>
      <c r="W112" s="21" t="n">
        <v>0.07000000000000001</v>
      </c>
      <c r="X112" s="21" t="n"/>
      <c r="Y112" s="21" t="n"/>
      <c r="Z112" s="18" t="n">
        <v>18000</v>
      </c>
      <c r="AA112" s="154">
        <f>SUM((Z112/P112)*1000)</f>
        <v/>
      </c>
      <c r="AB112" s="18" t="n">
        <v>1570</v>
      </c>
      <c r="AC112" s="18" t="n">
        <v>168</v>
      </c>
      <c r="AD112" s="18" t="n">
        <v>424</v>
      </c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</row>
    <row r="113">
      <c r="A113" s="37" t="n"/>
      <c r="B113" s="37" t="inlineStr">
        <is>
          <t>ok</t>
        </is>
      </c>
      <c r="C113" s="37" t="n"/>
      <c r="D113" s="37" t="inlineStr">
        <is>
          <t>品牌</t>
        </is>
      </c>
      <c r="E113" s="38" t="inlineStr">
        <is>
          <t>人群符合</t>
        </is>
      </c>
      <c r="F113" s="37" t="inlineStr">
        <is>
          <t>小君的vlog</t>
        </is>
      </c>
      <c r="G113" s="37" t="inlineStr">
        <is>
          <t>https://www.xingtu.cn/ad/creator/author-homepage/douyin-video/7374012112449830963?market_track_id=SW5R02Z287BG97RJ9TP0&amp;search_session_id=7613708909291520009&amp;possessStarId</t>
        </is>
      </c>
      <c r="H113" s="37" t="inlineStr">
        <is>
          <t>https://www.douyin.com/user/MS4wLjABAAAAWhUtU86K-QcRWDv9sq_jLbAHWRckIXJ5YcHK7qI9pOQ</t>
        </is>
      </c>
      <c r="I113" s="37" t="inlineStr">
        <is>
          <t>xiaojun632</t>
        </is>
      </c>
      <c r="J113" s="37" t="inlineStr">
        <is>
          <t>家居</t>
        </is>
      </c>
      <c r="K113" s="37" t="inlineStr">
        <is>
          <t>尾部</t>
        </is>
      </c>
      <c r="L113" s="37" t="n">
        <v>16</v>
      </c>
      <c r="M113" s="37" t="inlineStr">
        <is>
          <t>20000-100000</t>
        </is>
      </c>
      <c r="N113" s="37" t="inlineStr">
        <is>
          <t>精致妈妈
小镇青年
新锐白领</t>
        </is>
      </c>
      <c r="O113" s="41" t="n">
        <v>0.63</v>
      </c>
      <c r="P113" s="37" t="n">
        <v>748000</v>
      </c>
      <c r="Q113" s="37">
        <f>SUM(Z113*1.05)</f>
        <v/>
      </c>
      <c r="R113" s="40">
        <f>Z113/(AB113+AD113+AC113)</f>
        <v/>
      </c>
      <c r="S113" s="37" t="inlineStr">
        <is>
          <t>视频</t>
        </is>
      </c>
      <c r="T113" s="41" t="n">
        <v>0.86</v>
      </c>
      <c r="U113" s="41" t="n">
        <v>0.34</v>
      </c>
      <c r="V113" s="41" t="n">
        <v>0.5</v>
      </c>
      <c r="W113" s="41" t="n">
        <v>0.05</v>
      </c>
      <c r="X113" s="41" t="n"/>
      <c r="Y113" s="41" t="n"/>
      <c r="Z113" s="37" t="n">
        <v>25000</v>
      </c>
      <c r="AA113" s="157">
        <f>SUM((Z113/P113)*1000)</f>
        <v/>
      </c>
      <c r="AB113" s="70" t="n">
        <v>2238</v>
      </c>
      <c r="AC113" s="37" t="n">
        <v>103</v>
      </c>
      <c r="AD113" s="37" t="n">
        <v>55</v>
      </c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43" t="n"/>
      <c r="AR113" s="43" t="n"/>
    </row>
    <row r="114" ht="24.75" customHeight="1" s="151">
      <c r="A114" s="18" t="n"/>
      <c r="B114" s="18" t="inlineStr">
        <is>
          <t>人群也不太符</t>
        </is>
      </c>
      <c r="C114" s="18" t="n"/>
      <c r="D114" s="18" t="inlineStr">
        <is>
          <t>品牌</t>
        </is>
      </c>
      <c r="E114" s="32" t="inlineStr">
        <is>
          <t>人群符合核心要求，创意性高，可结合产品特点定制视频</t>
        </is>
      </c>
      <c r="F114" s="18" t="inlineStr">
        <is>
          <t>熙哥家🍯</t>
        </is>
      </c>
      <c r="G114" s="18" t="inlineStr">
        <is>
          <t>https://www.xingtu.cn/ad/creator/author-homepage/douyin-video/6870161864530067464?market_track_id=SW5R02Z287BG97RJ9TP0&amp;search_session_id=7613707172631248922&amp;possessStarId</t>
        </is>
      </c>
      <c r="H114" s="18" t="inlineStr">
        <is>
          <t>https://www.douyin.com/user/MS4wLjABAAAA9s29W8yTEu9z0lw-htFiNE5EKgb5NFtFxHSJ-3PiV4k</t>
        </is>
      </c>
      <c r="I114" s="18" t="inlineStr">
        <is>
          <t>zzxx999999</t>
        </is>
      </c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</row>
    <row r="115">
      <c r="A115" s="18" t="n"/>
      <c r="B115" s="18" t="inlineStr">
        <is>
          <t>ok</t>
        </is>
      </c>
      <c r="C115" s="18" t="n"/>
      <c r="D115" s="18" t="inlineStr">
        <is>
          <t>电商</t>
        </is>
      </c>
      <c r="E115" s="32" t="inlineStr">
        <is>
          <t>人群匹配度高，垂类博主</t>
        </is>
      </c>
      <c r="F115" s="18" t="inlineStr">
        <is>
          <t>丁小小</t>
        </is>
      </c>
      <c r="G115" s="18" t="inlineStr">
        <is>
          <t>https://www.xingtu.cn/ad/creator/author-homepage/douyin-video/6973984670757158925?market_track_id=SW5R02Z287BG97RJ9TP0&amp;search_session_id=7613706512968204297&amp;possessStarId</t>
        </is>
      </c>
      <c r="H115" s="18" t="inlineStr">
        <is>
          <t>https://www.douyin.com/user/MS4wLjABAAAAeMH1t7OsIdxsAxGYLyESXFhnRoFWAc9idky8prQSN6U</t>
        </is>
      </c>
      <c r="I115" s="18" t="inlineStr">
        <is>
          <t>dingxiaoting0</t>
        </is>
      </c>
      <c r="J115" s="18" t="inlineStr">
        <is>
          <t>家居</t>
        </is>
      </c>
      <c r="K115" s="18" t="inlineStr">
        <is>
          <t>尾部</t>
        </is>
      </c>
      <c r="L115" s="18" t="n">
        <v>23</v>
      </c>
      <c r="M115" s="18" t="inlineStr">
        <is>
          <t>2000-20000</t>
        </is>
      </c>
      <c r="N115" s="18" t="inlineStr">
        <is>
          <t>精致妈妈
新锐白领
小镇青年</t>
        </is>
      </c>
      <c r="O115" s="21" t="n">
        <v>0.6</v>
      </c>
      <c r="P115" s="18" t="n">
        <v>356000</v>
      </c>
      <c r="Q115" s="18">
        <f>SUM(Z115*1.05)</f>
        <v/>
      </c>
      <c r="R115" s="20">
        <f>Z115/(AB115+AD115+AC115)</f>
        <v/>
      </c>
      <c r="S115" s="18" t="inlineStr">
        <is>
          <t>视频</t>
        </is>
      </c>
      <c r="T115" s="21" t="n">
        <v>0.92</v>
      </c>
      <c r="U115" s="21" t="n">
        <v>0.36</v>
      </c>
      <c r="V115" s="21" t="n">
        <v>0.4</v>
      </c>
      <c r="W115" s="21" t="n">
        <v>0.07000000000000001</v>
      </c>
      <c r="X115" s="21" t="n"/>
      <c r="Y115" s="21" t="n"/>
      <c r="Z115" s="18" t="n">
        <v>25000</v>
      </c>
      <c r="AA115" s="154">
        <f>SUM((Z115/P115)*1000)</f>
        <v/>
      </c>
      <c r="AB115" s="18" t="n">
        <v>2668</v>
      </c>
      <c r="AC115" s="18" t="n">
        <v>46</v>
      </c>
      <c r="AD115" s="18" t="n">
        <v>24</v>
      </c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</row>
    <row r="116">
      <c r="A116" s="18" t="n"/>
      <c r="B116" s="18" t="inlineStr">
        <is>
          <t>ok</t>
        </is>
      </c>
      <c r="C116" s="18" t="n"/>
      <c r="D116" s="18" t="inlineStr">
        <is>
          <t>电商</t>
        </is>
      </c>
      <c r="E116" s="32" t="inlineStr">
        <is>
          <t>核心人群和A3新增数据亮眼</t>
        </is>
      </c>
      <c r="F116" s="18" t="inlineStr">
        <is>
          <t>蒜蒜蒜了八</t>
        </is>
      </c>
      <c r="G116" s="18" t="inlineStr">
        <is>
          <t>https://www.xingtu.cn/ad/creator/author-homepage/douyin-video/7081282575808856077?market_track_id=SW5R02Z287BG97RJ9TP0&amp;search_session_id=7613706512968204297&amp;possessStarId</t>
        </is>
      </c>
      <c r="H116" s="18" t="inlineStr">
        <is>
          <t>https://www.douyin.com/user/MS4wLjABAAAARm0fFK6Hcg4xhAZPIVpCIFlU9knYBEwU0nRhbYWpdJs</t>
        </is>
      </c>
      <c r="I116" s="18" t="inlineStr">
        <is>
          <t>dyrynfs41w96</t>
        </is>
      </c>
      <c r="J116" s="18" t="inlineStr">
        <is>
          <t>家居</t>
        </is>
      </c>
      <c r="K116" s="18" t="inlineStr">
        <is>
          <t>尾部</t>
        </is>
      </c>
      <c r="L116" s="18" t="n">
        <v>20</v>
      </c>
      <c r="M116" s="18" t="inlineStr">
        <is>
          <t>2000-20000</t>
        </is>
      </c>
      <c r="N116" s="18" t="inlineStr">
        <is>
          <t>新锐白领
小镇青年
精致妈妈</t>
        </is>
      </c>
      <c r="O116" s="21" t="n">
        <v>0.57</v>
      </c>
      <c r="P116" s="18" t="n">
        <v>964000</v>
      </c>
      <c r="Q116" s="18">
        <f>SUM(Z116*1.05)</f>
        <v/>
      </c>
      <c r="R116" s="20">
        <f>Z116/(AB116+AD116+AC116)</f>
        <v/>
      </c>
      <c r="S116" s="18" t="inlineStr">
        <is>
          <t>视频</t>
        </is>
      </c>
      <c r="T116" s="21" t="n">
        <v>0.86</v>
      </c>
      <c r="U116" s="21" t="n">
        <v>0.34</v>
      </c>
      <c r="V116" s="21" t="n">
        <v>0.36</v>
      </c>
      <c r="W116" s="21" t="n">
        <v>0.12</v>
      </c>
      <c r="X116" s="21" t="n"/>
      <c r="Y116" s="21" t="n"/>
      <c r="Z116" s="18" t="n">
        <v>30000</v>
      </c>
      <c r="AA116" s="154">
        <f>SUM((Z116/P116)*1000)</f>
        <v/>
      </c>
      <c r="AB116" s="22" t="n">
        <v>2218</v>
      </c>
      <c r="AC116" s="18" t="n">
        <v>162</v>
      </c>
      <c r="AD116" s="18" t="n">
        <v>89</v>
      </c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</row>
    <row r="117">
      <c r="A117" s="18" t="n"/>
      <c r="B117" s="18" t="inlineStr">
        <is>
          <t>ok</t>
        </is>
      </c>
      <c r="C117" s="18" t="n"/>
      <c r="D117" s="18" t="inlineStr">
        <is>
          <t>电商</t>
        </is>
      </c>
      <c r="E117" s="32" t="inlineStr">
        <is>
          <t>粉丝画像匹配度较高</t>
        </is>
      </c>
      <c r="F117" s="18" t="inlineStr">
        <is>
          <t>哔吧啵</t>
        </is>
      </c>
      <c r="G117" s="18" t="inlineStr">
        <is>
          <t>https://www.xingtu.cn/ad/creator/author-homepage/douyin-video/6853190192438706190?market_track_id=78VR9JEBU8DD0YYMAQP6&amp;search_session_id=7613712134341574682&amp;possessStarId&amp;active_tab=content_performance&amp;active_module=.content-video-list-panel&amp;content_key_word=%E5%88%AB%E5%A2%85</t>
        </is>
      </c>
      <c r="H117" s="18" t="inlineStr">
        <is>
          <t>https://www.douyin.com/user/MS4wLjABAAAAOZRzvPyZglQrsM4OFoeoMBVti1C1pOPeca0FmVn6asI</t>
        </is>
      </c>
      <c r="I117" s="18" t="inlineStr">
        <is>
          <t>A80222888</t>
        </is>
      </c>
      <c r="J117" s="18" t="inlineStr">
        <is>
          <t>家居</t>
        </is>
      </c>
      <c r="K117" s="18" t="inlineStr">
        <is>
          <t>腰部</t>
        </is>
      </c>
      <c r="L117" s="18" t="n">
        <v>95</v>
      </c>
      <c r="M117" s="18" t="inlineStr">
        <is>
          <t>2000-20000</t>
        </is>
      </c>
      <c r="N117" s="18" t="inlineStr">
        <is>
          <t>新锐白领
小镇青年
都市蓝领</t>
        </is>
      </c>
      <c r="O117" s="21" t="n">
        <v>0.63</v>
      </c>
      <c r="P117" s="18" t="n">
        <v>802000</v>
      </c>
      <c r="Q117" s="18">
        <f>SUM(Z117*1.05)</f>
        <v/>
      </c>
      <c r="R117" s="20">
        <f>Z117/(AB117+AD117+AC117)</f>
        <v/>
      </c>
      <c r="S117" s="18" t="inlineStr">
        <is>
          <t>视频</t>
        </is>
      </c>
      <c r="T117" s="21" t="n">
        <v>0.42</v>
      </c>
      <c r="U117" s="35" t="n">
        <v>0.305</v>
      </c>
      <c r="V117" s="21" t="n">
        <v>0.3</v>
      </c>
      <c r="W117" s="21" t="n">
        <v>0.43</v>
      </c>
      <c r="X117" s="21" t="n"/>
      <c r="Y117" s="21" t="n"/>
      <c r="Z117" s="18" t="n">
        <v>50000</v>
      </c>
      <c r="AA117" s="154">
        <f>SUM((Z117/P117)*1000)</f>
        <v/>
      </c>
      <c r="AB117" s="18" t="n">
        <v>39000</v>
      </c>
      <c r="AC117" s="18" t="n">
        <v>226</v>
      </c>
      <c r="AD117" s="18" t="n">
        <v>331</v>
      </c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</row>
    <row r="118">
      <c r="A118" s="18" t="n"/>
      <c r="B118" s="18" t="inlineStr">
        <is>
          <t>ok</t>
        </is>
      </c>
      <c r="C118" s="18" t="n"/>
      <c r="D118" s="18" t="inlineStr">
        <is>
          <t>电商</t>
        </is>
      </c>
      <c r="E118" s="32" t="inlineStr">
        <is>
          <t>核心粉丝画像覆盖</t>
        </is>
      </c>
      <c r="F118" s="18" t="inlineStr">
        <is>
          <t>吴先生的小家</t>
        </is>
      </c>
      <c r="G118" s="18" t="inlineStr">
        <is>
          <t>https://www.xingtu.cn/ad/creator/author-homepage/douyin-video/7352563615523831846?market_track_id=4BERLIU6SO8XHSXLC73B&amp;search_session_id=7613713015862558770&amp;possessStarId&amp;active_tab=content_performance&amp;active_module=.content-video-list-panel&amp;content_key_word=%E8%B1%AA%E5%8D%8E%E8%A3%85%E4%BF%AE</t>
        </is>
      </c>
      <c r="H118" s="18" t="inlineStr">
        <is>
          <t>https://www.douyin.com/user/MS4wLjABAAAAgQVOa4WQ3cDk9Z3fGmEQMIKnZrLhfe-e3SXQwBHv8w9YpxR48MqGTTYvf-_NGLuI</t>
        </is>
      </c>
      <c r="I118" s="18" t="n">
        <v>69212916501</v>
      </c>
      <c r="J118" s="18" t="inlineStr">
        <is>
          <t>家居</t>
        </is>
      </c>
      <c r="K118" s="18" t="inlineStr">
        <is>
          <t>腰部</t>
        </is>
      </c>
      <c r="L118" s="18" t="n">
        <v>95</v>
      </c>
      <c r="M118" s="18" t="inlineStr">
        <is>
          <t>150-2000</t>
        </is>
      </c>
      <c r="N118" s="18" t="inlineStr">
        <is>
          <t>新锐白领
小镇青年
精致妈妈</t>
        </is>
      </c>
      <c r="O118" s="21" t="n">
        <v>0.48</v>
      </c>
      <c r="P118" s="18" t="n">
        <v>905000</v>
      </c>
      <c r="Q118" s="18">
        <f>SUM(Z118*1.05)</f>
        <v/>
      </c>
      <c r="R118" s="20">
        <f>Z118/(AB118+AD118+AC118)</f>
        <v/>
      </c>
      <c r="S118" s="18" t="inlineStr">
        <is>
          <t>视频</t>
        </is>
      </c>
      <c r="T118" s="21" t="n">
        <v>0.75</v>
      </c>
      <c r="U118" s="21" t="n">
        <v>0.33</v>
      </c>
      <c r="V118" s="21" t="n">
        <v>0.36</v>
      </c>
      <c r="W118" s="21" t="n">
        <v>0.05</v>
      </c>
      <c r="X118" s="21" t="n"/>
      <c r="Y118" s="21" t="n"/>
      <c r="Z118" s="18" t="n">
        <v>21800</v>
      </c>
      <c r="AA118" s="154">
        <f>SUM((Z118/P118)*1000)</f>
        <v/>
      </c>
      <c r="AB118" s="18" t="n">
        <v>2936</v>
      </c>
      <c r="AC118" s="18" t="n">
        <v>146</v>
      </c>
      <c r="AD118" s="18" t="n">
        <v>583</v>
      </c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</row>
    <row r="119" ht="46" customHeight="1" s="151">
      <c r="A119" s="60" t="n"/>
      <c r="B119" s="60" t="n"/>
      <c r="C119" s="60" t="n"/>
      <c r="D119" s="60" t="n"/>
      <c r="E119" s="61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3" t="n"/>
      <c r="P119" s="60" t="n"/>
      <c r="Q119" s="60" t="n"/>
      <c r="R119" s="62" t="n"/>
      <c r="S119" s="60" t="n"/>
      <c r="T119" s="63" t="n"/>
      <c r="U119" s="63" t="n"/>
      <c r="V119" s="63" t="n"/>
      <c r="W119" s="63" t="n"/>
      <c r="X119" s="63" t="n"/>
      <c r="Y119" s="63" t="n"/>
      <c r="Z119" s="60" t="n"/>
      <c r="AA119" s="159" t="n"/>
      <c r="AB119" s="60" t="n"/>
      <c r="AC119" s="60" t="n"/>
      <c r="AD119" s="60" t="n"/>
      <c r="AE119" s="60" t="n"/>
      <c r="AF119" s="60" t="n"/>
      <c r="AG119" s="60" t="n"/>
      <c r="AH119" s="60" t="n"/>
      <c r="AI119" s="60" t="n"/>
      <c r="AJ119" s="60" t="n"/>
      <c r="AK119" s="60" t="n"/>
      <c r="AL119" s="60" t="n"/>
      <c r="AM119" s="60" t="n"/>
      <c r="AN119" s="60" t="n"/>
      <c r="AO119" s="60" t="n"/>
      <c r="AP119" s="60" t="n"/>
    </row>
    <row r="120">
      <c r="A120" s="18" t="n"/>
      <c r="B120" s="18" t="inlineStr">
        <is>
          <t>调性不符合</t>
        </is>
      </c>
      <c r="C120" s="18" t="n"/>
      <c r="D120" s="18" t="inlineStr">
        <is>
          <t>品牌</t>
        </is>
      </c>
      <c r="E120" s="32" t="inlineStr">
        <is>
          <t xml:space="preserve">300平花园大平层 </t>
        </is>
      </c>
      <c r="F120" s="18" t="inlineStr">
        <is>
          <t>曹千语Anmi</t>
        </is>
      </c>
      <c r="G120" s="18" t="inlineStr">
        <is>
          <t>https://www.xingtu.cn/ad/creator/author-homepage/douyin-video/6985112676447813673?market_track_id=L6OVDUJQ4O614ZL9TH2Q&amp;search_session_id=7614030191970631707&amp;possessStarId</t>
        </is>
      </c>
      <c r="H120" s="18" t="inlineStr">
        <is>
          <t>https://www.douyin.com/user/MS4wLjABAAAAxY1B2wXgRFIM56Dgmq6l5LbbLyZkVzxrwerDc-nkWz8</t>
        </is>
      </c>
      <c r="I120" s="18" t="n">
        <v>3794079</v>
      </c>
      <c r="J120" s="18" t="inlineStr">
        <is>
          <t>家居</t>
        </is>
      </c>
      <c r="K120" s="18" t="inlineStr">
        <is>
          <t>腰部</t>
        </is>
      </c>
      <c r="L120" s="18" t="n">
        <v>68</v>
      </c>
      <c r="M120" s="18" t="inlineStr">
        <is>
          <t>2000-20000</t>
        </is>
      </c>
      <c r="N120" s="18" t="inlineStr">
        <is>
          <t>新锐白领
小镇青年
精致妈妈</t>
        </is>
      </c>
      <c r="O120" s="21" t="n">
        <v>0.49</v>
      </c>
      <c r="P120" s="18" t="n">
        <v>177000</v>
      </c>
      <c r="Q120" s="18">
        <f>SUM(Z120*1.05)</f>
        <v/>
      </c>
      <c r="R120" s="20">
        <f>Z120/(AB120+AD120+AC120)</f>
        <v/>
      </c>
      <c r="S120" s="18" t="inlineStr">
        <is>
          <t>视频</t>
        </is>
      </c>
      <c r="T120" s="21" t="n">
        <v>0.63</v>
      </c>
      <c r="U120" s="21" t="n">
        <v>0.33</v>
      </c>
      <c r="V120" s="21" t="n">
        <v>0.41</v>
      </c>
      <c r="W120" s="21" t="n">
        <v>0.05</v>
      </c>
      <c r="X120" s="21" t="n"/>
      <c r="Y120" s="21" t="n"/>
      <c r="Z120" s="18" t="n">
        <v>25000</v>
      </c>
      <c r="AA120" s="154">
        <f>SUM((Z120/P120)*1000)</f>
        <v/>
      </c>
      <c r="AB120" s="18" t="n">
        <v>1972</v>
      </c>
      <c r="AC120" s="18" t="n">
        <v>264</v>
      </c>
      <c r="AD120" s="18" t="n">
        <v>221</v>
      </c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</row>
    <row r="121">
      <c r="A121" s="18" t="n"/>
      <c r="B121" s="18" t="inlineStr">
        <is>
          <t>太多维度不达标了</t>
        </is>
      </c>
      <c r="C121" s="18" t="n"/>
      <c r="D121" s="18" t="inlineStr">
        <is>
          <t>品牌</t>
        </is>
      </c>
      <c r="E121" s="32" t="inlineStr">
        <is>
          <t>家居品牌体验达人，专业测评</t>
        </is>
      </c>
      <c r="F121" s="18" t="inlineStr">
        <is>
          <t>小爽的家🏠</t>
        </is>
      </c>
      <c r="G121" s="18" t="inlineStr">
        <is>
          <t>https://www.xingtu.cn/ad/creator/author-homepage/douyin-video/6986059745152991272?market_track_id=L6OVDUJQ4O614ZL9TH2Q&amp;search_session_id=7614028749639303218&amp;possessStarId</t>
        </is>
      </c>
      <c r="H121" s="18" t="inlineStr">
        <is>
          <t>https://www.douyin.com/user/MS4wLjABAAAA0IM_YtJKDo8tVLPsKWnHWVUSQjnHKgZpw0TRsqXB35GlzriFzcns96tjKKRr7WTI</t>
        </is>
      </c>
      <c r="I121" s="18" t="inlineStr">
        <is>
          <t>shuangdejia1</t>
        </is>
      </c>
      <c r="J121" s="18" t="inlineStr">
        <is>
          <t>家居</t>
        </is>
      </c>
      <c r="K121" s="18" t="inlineStr">
        <is>
          <t>尾部</t>
        </is>
      </c>
      <c r="L121" s="18" t="n">
        <v>27</v>
      </c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</row>
    <row r="122">
      <c r="A122" s="18" t="n"/>
      <c r="B122" s="18" t="inlineStr">
        <is>
          <t>ok</t>
        </is>
      </c>
      <c r="C122" s="18" t="n"/>
      <c r="D122" s="18" t="inlineStr">
        <is>
          <t>品牌</t>
        </is>
      </c>
      <c r="E122" s="32" t="inlineStr">
        <is>
          <t>女粉和精致妈妈占比多</t>
        </is>
      </c>
      <c r="F122" s="18" t="inlineStr">
        <is>
          <t>宋嘉宜</t>
        </is>
      </c>
      <c r="G122" s="18" t="inlineStr">
        <is>
          <t>https://www.xingtu.cn/ad/creator/author-homepage/douyin-video/6676069661546643469?market_track_id=L6OVDUJQ4O614ZL9TH2Q&amp;search_session_id=7614028319940329481&amp;possessStarId</t>
        </is>
      </c>
      <c r="H122" s="18" t="inlineStr">
        <is>
          <t>https://www.douyin.com/user/MS4wLjABAAAAsIc5vRvWsrV1GaqH6o-SAbRJtC8nwg7lsnHhVZZgDxY</t>
        </is>
      </c>
      <c r="I122" s="18" t="inlineStr">
        <is>
          <t>QizaiZhongcao</t>
        </is>
      </c>
      <c r="J122" s="18" t="inlineStr">
        <is>
          <t>家居</t>
        </is>
      </c>
      <c r="K122" s="18" t="inlineStr">
        <is>
          <t>腰部</t>
        </is>
      </c>
      <c r="L122" s="18" t="n">
        <v>181</v>
      </c>
      <c r="M122" s="18" t="inlineStr">
        <is>
          <t>150-2000</t>
        </is>
      </c>
      <c r="N122" s="18" t="inlineStr">
        <is>
          <t>新锐白领
小镇青年
精致妈妈</t>
        </is>
      </c>
      <c r="O122" s="21" t="n">
        <v>0.42</v>
      </c>
      <c r="P122" s="18" t="n">
        <v>705000</v>
      </c>
      <c r="Q122" s="18">
        <f>SUM(Z122*1.05)</f>
        <v/>
      </c>
      <c r="R122" s="20">
        <f>Z122/(AB122+AD122+AC122)</f>
        <v/>
      </c>
      <c r="S122" s="18" t="inlineStr">
        <is>
          <t>视频</t>
        </is>
      </c>
      <c r="T122" s="21" t="n">
        <v>0.72</v>
      </c>
      <c r="U122" s="21" t="n">
        <v>0.27</v>
      </c>
      <c r="V122" s="21" t="n">
        <v>0.35</v>
      </c>
      <c r="W122" s="21" t="n">
        <v>0.07000000000000001</v>
      </c>
      <c r="X122" s="18" t="n"/>
      <c r="Y122" s="18" t="n"/>
      <c r="Z122" s="18" t="n">
        <v>40000</v>
      </c>
      <c r="AA122" s="154">
        <f>SUM((Z122/P122)*1000)</f>
        <v/>
      </c>
      <c r="AB122" s="18" t="n">
        <v>12000</v>
      </c>
      <c r="AC122" s="18" t="n">
        <v>279</v>
      </c>
      <c r="AD122" s="18" t="n">
        <v>260</v>
      </c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</row>
    <row r="123">
      <c r="A123" s="18" t="n"/>
      <c r="B123" s="18" t="inlineStr">
        <is>
          <t>ok</t>
        </is>
      </c>
      <c r="C123" s="18" t="n"/>
      <c r="D123" s="18" t="inlineStr">
        <is>
          <t>品牌</t>
        </is>
      </c>
      <c r="E123" s="32" t="inlineStr">
        <is>
          <t>精致妈妈占比多</t>
        </is>
      </c>
      <c r="F123" s="18" t="inlineStr">
        <is>
          <t>橙子🍊老爸</t>
        </is>
      </c>
      <c r="G123" s="18" t="inlineStr">
        <is>
          <t>https://www.xingtu.cn/ad/creator/author-homepage/douyin-video/6870170372180803598?market_track_id=L6OVDUJQ4O614ZL9TH2Q&amp;search_session_id=7614027246912929802&amp;possessStarId</t>
        </is>
      </c>
      <c r="H123" s="18" t="inlineStr">
        <is>
          <t>https://www.douyin.com/user/MS4wLjABAAAAm3V44lWQilTjDS47oNpamPBHH8ZcVDsGzaa3fpHU6-W2RUK6fUc4ZNwi7FGgtBch</t>
        </is>
      </c>
      <c r="I123" s="18" t="inlineStr">
        <is>
          <t>chengziyijia520</t>
        </is>
      </c>
      <c r="J123" s="18" t="inlineStr">
        <is>
          <t>美食</t>
        </is>
      </c>
      <c r="K123" s="18" t="inlineStr">
        <is>
          <t>腰部</t>
        </is>
      </c>
      <c r="L123" s="18" t="n">
        <v>183</v>
      </c>
      <c r="M123" s="18" t="inlineStr">
        <is>
          <t>近期一个月未接商单</t>
        </is>
      </c>
      <c r="N123" s="18" t="inlineStr">
        <is>
          <t>新锐白领
小镇青年
精致妈妈</t>
        </is>
      </c>
      <c r="O123" s="21" t="n">
        <v>0.54</v>
      </c>
      <c r="P123" s="18" t="n">
        <v>5557000</v>
      </c>
      <c r="Q123" s="18">
        <f>SUM(Z123*1.05)</f>
        <v/>
      </c>
      <c r="R123" s="20">
        <f>Z123/(AB123+AD123+AC123)</f>
        <v/>
      </c>
      <c r="S123" s="18" t="inlineStr">
        <is>
          <t>视频</t>
        </is>
      </c>
      <c r="T123" s="21" t="n">
        <v>0.79</v>
      </c>
      <c r="U123" s="21" t="n">
        <v>0.25</v>
      </c>
      <c r="V123" s="21" t="n">
        <v>0.52</v>
      </c>
      <c r="W123" s="21" t="n">
        <v>0.11</v>
      </c>
      <c r="X123" s="18" t="n"/>
      <c r="Y123" s="18" t="n"/>
      <c r="Z123" s="18" t="n">
        <v>37000</v>
      </c>
      <c r="AA123" s="154">
        <f>SUM((Z123/P123)*1000)</f>
        <v/>
      </c>
      <c r="AB123" s="18" t="n">
        <v>90000</v>
      </c>
      <c r="AC123" s="18" t="n">
        <v>4865</v>
      </c>
      <c r="AD123" s="18" t="n">
        <v>45000</v>
      </c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</row>
    <row r="124">
      <c r="A124" s="18" t="n"/>
      <c r="B124" s="18" t="inlineStr">
        <is>
          <t>调性不合适</t>
        </is>
      </c>
      <c r="C124" s="18" t="n"/>
      <c r="D124" s="18" t="inlineStr">
        <is>
          <t>品牌</t>
        </is>
      </c>
      <c r="E124" s="32" t="inlineStr">
        <is>
          <t>垂类博主，人群画像适配</t>
        </is>
      </c>
      <c r="F124" s="18" t="inlineStr">
        <is>
          <t>抠门老爸装修记🌱</t>
        </is>
      </c>
      <c r="G124" s="18" t="inlineStr">
        <is>
          <t>https://www.xingtu.cn/ad/creator/author-homepage/douyin-video/7178384753874173987?market_track_id=WQYDLK95ZIKAMRQ6Y2QU&amp;search_session_id=7614026091378180146&amp;possessStarId</t>
        </is>
      </c>
      <c r="H124" s="18" t="inlineStr">
        <is>
          <t>https://www.douyin.com/user/MS4wLjABAAAAGkPRwD17lxAwIwfU_cS_ZCFQDp3onlv7Vt4oWuF3UhNS0eRgdJMLDUx_2-BynGRj</t>
        </is>
      </c>
      <c r="I124" s="18" t="inlineStr">
        <is>
          <t>koumenlaoba666</t>
        </is>
      </c>
      <c r="J124" s="18" t="inlineStr">
        <is>
          <t>家居</t>
        </is>
      </c>
      <c r="K124" s="18" t="inlineStr">
        <is>
          <t>腰部</t>
        </is>
      </c>
      <c r="L124" s="18" t="n">
        <v>87</v>
      </c>
      <c r="M124" s="18" t="inlineStr">
        <is>
          <t>150-2000</t>
        </is>
      </c>
      <c r="N124" s="18" t="inlineStr">
        <is>
          <t>新锐白领
小镇青年
精致妈妈</t>
        </is>
      </c>
      <c r="O124" s="21" t="n">
        <v>0.8100000000000001</v>
      </c>
      <c r="P124" s="18" t="n">
        <v>1481000</v>
      </c>
      <c r="Q124" s="18" t="n"/>
      <c r="R124" s="18" t="n"/>
      <c r="S124" s="18" t="inlineStr">
        <is>
          <t>视频</t>
        </is>
      </c>
      <c r="T124" s="21" t="n">
        <v>0.82</v>
      </c>
      <c r="U124" s="21" t="n">
        <v>0.38</v>
      </c>
      <c r="V124" s="21" t="n">
        <v>0.53</v>
      </c>
      <c r="W124" s="21" t="n">
        <v>0.03</v>
      </c>
      <c r="X124" s="18" t="n"/>
      <c r="Y124" s="18" t="n"/>
      <c r="Z124" s="18" t="n">
        <v>28000</v>
      </c>
      <c r="AA124" s="18" t="n"/>
      <c r="AB124" s="22" t="n">
        <v>1271</v>
      </c>
      <c r="AC124" s="18" t="n">
        <v>321</v>
      </c>
      <c r="AD124" s="18" t="n">
        <v>226</v>
      </c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</row>
    <row r="125">
      <c r="A125" s="18" t="n"/>
      <c r="B125" s="18" t="inlineStr">
        <is>
          <t>ok</t>
        </is>
      </c>
      <c r="C125" s="18" t="n"/>
      <c r="D125" s="18" t="inlineStr">
        <is>
          <t>品牌</t>
        </is>
      </c>
      <c r="E125" s="32" t="inlineStr">
        <is>
          <t>精致妈妈占比多</t>
        </is>
      </c>
      <c r="F125" s="18" t="inlineStr">
        <is>
          <t>mona宅家中</t>
        </is>
      </c>
      <c r="G125" s="18" t="inlineStr">
        <is>
          <t>https://www.xingtu.cn/ad/creator/author-homepage/douyin-video/6870161635978248200?market_track_id=WQYDLK95ZIKAMRQ6Y2QU&amp;search_session_id=7614026091378180146&amp;possessStarId</t>
        </is>
      </c>
      <c r="H125" s="18" t="inlineStr">
        <is>
          <t>https://www.douyin.com/user/MS4wLjABAAAAqvZxAHFLfL78cSnQE4ryO2MVRIV7Js0d30t7HrghwW8</t>
        </is>
      </c>
      <c r="I125" s="18" t="inlineStr">
        <is>
          <t>mona21666</t>
        </is>
      </c>
      <c r="J125" s="18" t="inlineStr">
        <is>
          <t>家居</t>
        </is>
      </c>
      <c r="K125" s="18" t="inlineStr">
        <is>
          <t>尾部</t>
        </is>
      </c>
      <c r="L125" s="18" t="n">
        <v>35</v>
      </c>
      <c r="M125" s="18" t="inlineStr">
        <is>
          <t>150-2000</t>
        </is>
      </c>
      <c r="N125" s="18" t="inlineStr">
        <is>
          <t>新锐白领
小镇青年
精致妈妈</t>
        </is>
      </c>
      <c r="O125" s="21" t="n">
        <v>0.84</v>
      </c>
      <c r="P125" s="18" t="n">
        <v>651000</v>
      </c>
      <c r="Q125" s="18">
        <f>SUM(Z125*1.05)</f>
        <v/>
      </c>
      <c r="R125" s="20">
        <f>Z125/(AB125+AD125+AC125)</f>
        <v/>
      </c>
      <c r="S125" s="18" t="inlineStr">
        <is>
          <t>视频</t>
        </is>
      </c>
      <c r="T125" s="21" t="n">
        <v>0.83</v>
      </c>
      <c r="U125" s="21" t="n">
        <v>0.38</v>
      </c>
      <c r="V125" s="21" t="n">
        <v>0.53</v>
      </c>
      <c r="W125" s="21" t="n">
        <v>0.03</v>
      </c>
      <c r="X125" s="18" t="n"/>
      <c r="Y125" s="18" t="n"/>
      <c r="Z125" s="18" t="n">
        <v>28000</v>
      </c>
      <c r="AA125" s="154">
        <f>SUM((Z125/P125)*1000)</f>
        <v/>
      </c>
      <c r="AB125" s="18" t="n">
        <v>10000</v>
      </c>
      <c r="AC125" s="18" t="n">
        <v>229</v>
      </c>
      <c r="AD125" s="18" t="n">
        <v>249</v>
      </c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</row>
    <row r="126">
      <c r="A126" s="18" t="n"/>
      <c r="B126" s="18" t="inlineStr">
        <is>
          <t>ok</t>
        </is>
      </c>
      <c r="C126" s="18" t="n"/>
      <c r="D126" s="18" t="inlineStr">
        <is>
          <t>品牌</t>
        </is>
      </c>
      <c r="E126" s="32" t="inlineStr">
        <is>
          <t>🏡独居230平意式平层，场景适配高</t>
        </is>
      </c>
      <c r="F126" s="18" t="inlineStr">
        <is>
          <t>16楼的彭小姐</t>
        </is>
      </c>
      <c r="G126" s="18" t="inlineStr">
        <is>
          <t>https://www.xingtu.cn/ad/creator/author-homepage/douyin-video/7508697881956581426?market_track_id=3YU55T6DF8CQHN5XHUD0&amp;search_session_id=7614018373919326259&amp;possessStarId</t>
        </is>
      </c>
      <c r="H126" s="18" t="inlineStr">
        <is>
          <t>https://www.douyin.com/user/MS4wLjABAAAAV0cJA1agqmxtM2EzsVN1cftQhT-e7OmmA7mldgm76ZE</t>
        </is>
      </c>
      <c r="I126" s="18" t="inlineStr">
        <is>
          <t>xinjie8090</t>
        </is>
      </c>
      <c r="J126" s="18" t="inlineStr">
        <is>
          <t>家居</t>
        </is>
      </c>
      <c r="K126" s="18" t="inlineStr">
        <is>
          <t>腰部</t>
        </is>
      </c>
      <c r="L126" s="18" t="n">
        <v>115</v>
      </c>
      <c r="M126" s="18" t="inlineStr">
        <is>
          <t>2000-20000</t>
        </is>
      </c>
      <c r="N126" s="18" t="inlineStr">
        <is>
          <t>精致妈妈
新锐白领
资深中产</t>
        </is>
      </c>
      <c r="O126" s="21" t="n">
        <v>0.65</v>
      </c>
      <c r="P126" s="18" t="n">
        <v>8642000</v>
      </c>
      <c r="Q126" s="18">
        <f>SUM(Z126*1.05)</f>
        <v/>
      </c>
      <c r="R126" s="20">
        <f>Z126/(AB126+AD126+AC126)</f>
        <v/>
      </c>
      <c r="S126" s="18" t="inlineStr">
        <is>
          <t>视频</t>
        </is>
      </c>
      <c r="T126" s="21" t="n">
        <v>0.91</v>
      </c>
      <c r="U126" s="21" t="n">
        <v>0.25</v>
      </c>
      <c r="V126" s="21" t="n">
        <v>0.44</v>
      </c>
      <c r="W126" s="21" t="n">
        <v>0.2</v>
      </c>
      <c r="X126" s="18" t="n"/>
      <c r="Y126" s="18" t="n"/>
      <c r="Z126" s="18" t="n">
        <v>40000</v>
      </c>
      <c r="AA126" s="154">
        <f>SUM((Z126/P126)*1000)</f>
        <v/>
      </c>
      <c r="AB126" s="18" t="n">
        <v>26000</v>
      </c>
      <c r="AC126" s="18" t="n">
        <v>413</v>
      </c>
      <c r="AD126" s="18" t="n">
        <v>217</v>
      </c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</row>
    <row r="127">
      <c r="A127" s="18" t="n"/>
      <c r="B127" s="18" t="inlineStr">
        <is>
          <t>ok</t>
        </is>
      </c>
      <c r="C127" s="18" t="n"/>
      <c r="D127" s="18" t="inlineStr">
        <is>
          <t>品牌</t>
        </is>
      </c>
      <c r="E127" s="32" t="inlineStr">
        <is>
          <t>人群匹配合适，场景干净明亮</t>
        </is>
      </c>
      <c r="F127" s="18" t="inlineStr">
        <is>
          <t>侯小姐 Daily Life</t>
        </is>
      </c>
      <c r="G127" s="18" t="inlineStr">
        <is>
          <t>https://www.xingtu.cn/ad/creator/author-homepage/douyin-video/7477844741715918857?market_track_id=PINW6WI6KSBUMZJ76TDD&amp;search_session_id=7614018057254125595&amp;possessStarId</t>
        </is>
      </c>
      <c r="H127" s="18" t="inlineStr">
        <is>
          <t>https://www.douyin.com/user/MS4wLjABAAAApxtSK4SUdrPKkhZOD0OonucazNqEnp5UVxkT6_2JY80</t>
        </is>
      </c>
      <c r="I127" s="18" t="inlineStr">
        <is>
          <t>ldfys</t>
        </is>
      </c>
      <c r="J127" s="18" t="inlineStr">
        <is>
          <t>家居</t>
        </is>
      </c>
      <c r="K127" s="18" t="inlineStr">
        <is>
          <t>腰部</t>
        </is>
      </c>
      <c r="L127" s="18" t="n">
        <v>119</v>
      </c>
      <c r="M127" s="18" t="inlineStr">
        <is>
          <t>2000-20000</t>
        </is>
      </c>
      <c r="N127" s="18" t="inlineStr">
        <is>
          <t>新锐白领
精致妈妈
小镇青年</t>
        </is>
      </c>
      <c r="O127" s="21" t="n">
        <v>0.62</v>
      </c>
      <c r="P127" s="18" t="n">
        <v>345000</v>
      </c>
      <c r="Q127" s="18">
        <f>SUM(Z127*1.05)</f>
        <v/>
      </c>
      <c r="R127" s="20">
        <f>Z127/(AB127+AD127+AC127)</f>
        <v/>
      </c>
      <c r="S127" s="18" t="inlineStr">
        <is>
          <t>视频</t>
        </is>
      </c>
      <c r="T127" s="21" t="n">
        <v>0.9</v>
      </c>
      <c r="U127" s="21" t="n">
        <v>0.31</v>
      </c>
      <c r="V127" s="21" t="n">
        <v>0.43</v>
      </c>
      <c r="W127" s="21" t="n">
        <v>0.06</v>
      </c>
      <c r="X127" s="18" t="n"/>
      <c r="Y127" s="18" t="n"/>
      <c r="Z127" s="18" t="n">
        <v>38000</v>
      </c>
      <c r="AA127" s="154">
        <f>SUM((Z127/P127)*1000)</f>
        <v/>
      </c>
      <c r="AB127" s="18" t="n">
        <v>11000</v>
      </c>
      <c r="AC127" s="18" t="n">
        <v>381</v>
      </c>
      <c r="AD127" s="18" t="n">
        <v>65</v>
      </c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</row>
    <row r="128">
      <c r="A128" s="18" t="n"/>
      <c r="B128" s="18" t="inlineStr">
        <is>
          <t>太多指标不符合了</t>
        </is>
      </c>
      <c r="C128" s="18" t="n"/>
      <c r="D128" s="18" t="inlineStr">
        <is>
          <t>品牌</t>
        </is>
      </c>
      <c r="E128" s="32" t="inlineStr">
        <is>
          <t>新婚夫妇，380平意式平层</t>
        </is>
      </c>
      <c r="F128" s="18" t="inlineStr">
        <is>
          <t>Ceci的生活日记</t>
        </is>
      </c>
      <c r="G128" s="18" t="inlineStr">
        <is>
          <t>https://www.xingtu.cn/ad/creator/author-homepage/douyin-video/6724813695026724872?market_track_id=JKO9S71X89B2JTGHM2WK&amp;search_session_id=7614017373054173230&amp;possessStarId</t>
        </is>
      </c>
      <c r="H128" s="18" t="inlineStr">
        <is>
          <t>https://www.douyin.com/user/MS4wLjABAAAAOGUuJYH1ZGSzKalWWD7o9jvgV2MEJAL-KrZxEHEbtRKBkaFMI7fw1UIGZC98-3c8</t>
        </is>
      </c>
      <c r="I128" s="18" t="n">
        <v>2214300128</v>
      </c>
      <c r="J128" s="18" t="inlineStr">
        <is>
          <t>家居</t>
        </is>
      </c>
      <c r="K128" s="18" t="inlineStr">
        <is>
          <t>腰部</t>
        </is>
      </c>
      <c r="L128" s="18" t="n">
        <v>253</v>
      </c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</row>
    <row r="129">
      <c r="A129" s="18" t="n"/>
      <c r="B129" s="18" t="inlineStr">
        <is>
          <t>场景关联较弱，人群也不太匹配</t>
        </is>
      </c>
      <c r="C129" s="18" t="n"/>
      <c r="D129" s="18" t="inlineStr">
        <is>
          <t>品牌</t>
        </is>
      </c>
      <c r="E129" s="32" t="inlineStr">
        <is>
          <t>精致妈妈和新锐白领占比匹配度高</t>
        </is>
      </c>
      <c r="F129" s="18" t="inlineStr">
        <is>
          <t>盐妍Zoey</t>
        </is>
      </c>
      <c r="G129" s="18" t="inlineStr">
        <is>
          <t>https://www.xingtu.cn/ad/creator/author-homepage/douyin-video/6802523335012909069?market_track_id=EYBQHQN99X2O5Q0DSX1Q&amp;search_session_id=7614014387368149030&amp;possessStarId</t>
        </is>
      </c>
      <c r="H129" s="18" t="inlineStr">
        <is>
          <t>https://www.douyin.com/user/MS4wLjABAAAAISjmopPTsqgdmoF2_63yBDkUBB5dl1JxIS4veijKvu8lHpIfoe697n4IHzQiiL1h</t>
        </is>
      </c>
      <c r="I129" s="18" t="inlineStr">
        <is>
          <t>YanYan_099</t>
        </is>
      </c>
      <c r="J129" s="18" t="inlineStr">
        <is>
          <t>家居</t>
        </is>
      </c>
      <c r="K129" s="18" t="inlineStr">
        <is>
          <t>头部</t>
        </is>
      </c>
      <c r="L129" s="18" t="n">
        <v>627</v>
      </c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</row>
    <row r="130">
      <c r="A130" s="18" t="n"/>
      <c r="B130" s="18" t="inlineStr">
        <is>
          <t>ok</t>
        </is>
      </c>
      <c r="C130" s="18" t="n"/>
      <c r="D130" s="18" t="inlineStr">
        <is>
          <t>电商</t>
        </is>
      </c>
      <c r="E130" s="32" t="inlineStr">
        <is>
          <t>有大家电爆款，粉丝画像契合</t>
        </is>
      </c>
      <c r="F130" s="18" t="inlineStr">
        <is>
          <t xml:space="preserve">
张七柒Vera</t>
        </is>
      </c>
      <c r="G130" s="18" t="inlineStr">
        <is>
          <t>https://www.xingtu.cn/ad/creator/author-homepage/douyin-video/7084154934194602015?market_track_id=7P11BU0QH3JUILEBBP4A&amp;search_session_id=7614057364714962953&amp;possessStarId</t>
        </is>
      </c>
      <c r="H130" s="18" t="inlineStr">
        <is>
          <t>https://www.douyin.com/user/MS4wLjABAAAAePAjINl-WhZkoYb5XTGudH1ixmQmSu6TEJVq4rSlg52ZHnq4AqamylK0xaEe89My</t>
        </is>
      </c>
      <c r="I130" s="18" t="n">
        <v>33793464151</v>
      </c>
      <c r="J130" s="18" t="inlineStr">
        <is>
          <t>家居</t>
        </is>
      </c>
      <c r="K130" s="18" t="inlineStr">
        <is>
          <t>腰部</t>
        </is>
      </c>
      <c r="L130" s="18" t="n">
        <v>66.3</v>
      </c>
      <c r="M130" s="18" t="inlineStr">
        <is>
          <t>近一个月未接商单</t>
        </is>
      </c>
      <c r="N130" s="18" t="inlineStr">
        <is>
          <t>Z世代
都市蓝领
精致妈妈</t>
        </is>
      </c>
      <c r="O130" s="21" t="n">
        <v>0.49</v>
      </c>
      <c r="P130" s="18" t="n">
        <v>291000</v>
      </c>
      <c r="Q130" s="18">
        <f>SUM(Z130*1.05)</f>
        <v/>
      </c>
      <c r="R130" s="20">
        <f>Z130/(AB130+AD130+AC130)</f>
        <v/>
      </c>
      <c r="S130" s="18" t="inlineStr">
        <is>
          <t>视频</t>
        </is>
      </c>
      <c r="T130" s="21" t="n">
        <v>0.89</v>
      </c>
      <c r="U130" s="21" t="n">
        <v>0.22</v>
      </c>
      <c r="V130" s="21" t="n">
        <v>0.37</v>
      </c>
      <c r="W130" s="21" t="n">
        <v>0.18</v>
      </c>
      <c r="X130" s="18" t="n"/>
      <c r="Y130" s="18" t="n"/>
      <c r="Z130" s="18" t="n">
        <v>35000</v>
      </c>
      <c r="AA130" s="154">
        <f>SUM((Z130/P130)*1000)</f>
        <v/>
      </c>
      <c r="AB130" s="18" t="n">
        <v>16000</v>
      </c>
      <c r="AC130" s="18" t="n">
        <v>265</v>
      </c>
      <c r="AD130" s="18" t="n">
        <v>54</v>
      </c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</row>
    <row r="131">
      <c r="A131" s="18" t="n"/>
      <c r="B131" s="18" t="inlineStr">
        <is>
          <t>内容过于下沉</t>
        </is>
      </c>
      <c r="C131" s="18" t="n"/>
      <c r="D131" s="18" t="inlineStr">
        <is>
          <t>电商</t>
        </is>
      </c>
      <c r="E131" s="32" t="n"/>
      <c r="F131" s="18" t="inlineStr">
        <is>
          <t>Mico麻麻</t>
        </is>
      </c>
      <c r="G131" s="18" t="inlineStr">
        <is>
          <t>https://www.xingtu.cn/ad/creator/author-homepage/douyin-video/7270897124420616248?market_track_id=7P11BU0QH3JUILEBBP4A&amp;search_session_id=7614054949244190758&amp;possessStarId</t>
        </is>
      </c>
      <c r="H131" s="18" t="inlineStr">
        <is>
          <t>https://www.douyin.com/user/MS4wLjABAAAAg8Mg_d7hgLjyA9uAtaqiTvttWPKZ5yWHuoIODMrmP44HvVKzkPwWZqK19nFJ1WeF</t>
        </is>
      </c>
      <c r="I131" s="18" t="n">
        <v>54155640911</v>
      </c>
      <c r="J131" s="18" t="inlineStr">
        <is>
          <t>家居</t>
        </is>
      </c>
      <c r="K131" s="18" t="inlineStr">
        <is>
          <t>腰部</t>
        </is>
      </c>
      <c r="L131" s="18" t="n">
        <v>67</v>
      </c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</row>
    <row r="132">
      <c r="A132" s="18" t="n"/>
      <c r="B132" s="18" t="inlineStr">
        <is>
          <t>ok</t>
        </is>
      </c>
      <c r="C132" s="18" t="n"/>
      <c r="D132" s="18" t="inlineStr">
        <is>
          <t>电商</t>
        </is>
      </c>
      <c r="E132" s="32" t="inlineStr">
        <is>
          <t>女粉占比99%三大人群排名前三</t>
        </is>
      </c>
      <c r="F132" s="18" t="inlineStr">
        <is>
          <t>梅乐蒂的daily</t>
        </is>
      </c>
      <c r="G132" s="18" t="inlineStr">
        <is>
          <t>https://www.xingtu.cn/ad/creator/author-homepage/douyin-video/7033380756344799245?market_track_id=LJEBFSAIHN7BCR7ZI2HV&amp;search_session_id=7614051618291892275&amp;possessStarId&amp;active_tab=content_performance&amp;active_module=.content-video-list-panel&amp;content_key_word=%E8%A5%BF%E9%97%A8%E5%AD%90%E6%B4%97%E7%A2%97%E6%9C%BA</t>
        </is>
      </c>
      <c r="H132" s="18" t="inlineStr">
        <is>
          <t>https://www.douyin.com/user/MS4wLjABAAAAMIow4IidM8LpJKIPiUQWPenIKujwU5tQSVJs425VcmG8XHQLBhZv1rhMqaoa2HHD</t>
        </is>
      </c>
      <c r="I132" s="18" t="n">
        <v>93670147511</v>
      </c>
      <c r="J132" s="18" t="inlineStr">
        <is>
          <t>家居</t>
        </is>
      </c>
      <c r="K132" s="18" t="inlineStr">
        <is>
          <t>腰部</t>
        </is>
      </c>
      <c r="L132" s="18" t="n">
        <v>75</v>
      </c>
      <c r="M132" s="18" t="inlineStr">
        <is>
          <t>2000-20000</t>
        </is>
      </c>
      <c r="N132" s="18" t="inlineStr">
        <is>
          <t>精致妈妈
资深中产
新锐白领</t>
        </is>
      </c>
      <c r="O132" s="21" t="n">
        <v>0.84</v>
      </c>
      <c r="P132" s="18" t="n">
        <v>2036000</v>
      </c>
      <c r="Q132" s="18">
        <f>SUM(Z132*1.05)</f>
        <v/>
      </c>
      <c r="R132" s="20">
        <f>Z132/(AB132+AD132+AC132)</f>
        <v/>
      </c>
      <c r="S132" s="18" t="inlineStr">
        <is>
          <t>视频</t>
        </is>
      </c>
      <c r="T132" s="21" t="n">
        <v>0.99</v>
      </c>
      <c r="U132" s="21" t="n">
        <v>0.2</v>
      </c>
      <c r="V132" s="21" t="n">
        <v>0.59</v>
      </c>
      <c r="W132" s="21" t="n">
        <v>0.19</v>
      </c>
      <c r="X132" s="18" t="n"/>
      <c r="Y132" s="18" t="n"/>
      <c r="Z132" s="18" t="n">
        <v>50000</v>
      </c>
      <c r="AA132" s="154">
        <f>SUM((Z132/P132)*1000)</f>
        <v/>
      </c>
      <c r="AB132" s="18" t="n">
        <v>19000</v>
      </c>
      <c r="AC132" s="18" t="n">
        <v>218</v>
      </c>
      <c r="AD132" s="18" t="n">
        <v>103</v>
      </c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</row>
    <row r="133">
      <c r="A133" s="18" t="n"/>
      <c r="B133" s="18" t="inlineStr">
        <is>
          <t>ok</t>
        </is>
      </c>
      <c r="C133" s="18" t="n"/>
      <c r="D133" s="18" t="inlineStr">
        <is>
          <t>电商</t>
        </is>
      </c>
      <c r="E133" s="32" t="inlineStr">
        <is>
          <t>三大人群排名前三</t>
        </is>
      </c>
      <c r="F133" s="18" t="inlineStr">
        <is>
          <t>阿丹丹的家</t>
        </is>
      </c>
      <c r="G133" s="18" t="inlineStr">
        <is>
          <t>https://www.xingtu.cn/ad/creator/author-homepage/douyin-video/7328292040884617243?market_track_id=LJEBFSAIHN7BCR7ZI2HV&amp;search_session_id=7614051246857158682&amp;possessStarId&amp;active_tab=content_performance&amp;active_module=.content-video-list-panel&amp;content_key_word=%E8%A5%BF%E9%97%A8%E5%AD%90%E6%B4%97%E7%A2%97%E6%9C%BA</t>
        </is>
      </c>
      <c r="H133" s="18" t="inlineStr">
        <is>
          <t>https://www.douyin.com/user/MS4wLjABAAAAhXJSKlSxBE7TmZ82DXRrnqZEry4CIY91uzCvy2ndLOs</t>
        </is>
      </c>
      <c r="I133" s="18" t="n">
        <v>1736418136</v>
      </c>
      <c r="J133" s="18" t="inlineStr">
        <is>
          <t>家居</t>
        </is>
      </c>
      <c r="K133" s="18" t="inlineStr">
        <is>
          <t>尾部</t>
        </is>
      </c>
      <c r="L133" s="18" t="n">
        <v>43</v>
      </c>
      <c r="M133" s="18" t="inlineStr">
        <is>
          <t>2000-20000</t>
        </is>
      </c>
      <c r="N133" s="18" t="inlineStr">
        <is>
          <t>新锐白领
精致妈妈
资深中产</t>
        </is>
      </c>
      <c r="O133" s="21" t="n">
        <v>0.77</v>
      </c>
      <c r="P133" s="18" t="n">
        <v>732000</v>
      </c>
      <c r="Q133" s="18">
        <f>SUM(Z133*1.05)</f>
        <v/>
      </c>
      <c r="R133" s="20">
        <f>Z133/(AB133+AD133+AC133)</f>
        <v/>
      </c>
      <c r="S133" s="18" t="inlineStr">
        <is>
          <t>视频</t>
        </is>
      </c>
      <c r="T133" s="21" t="n">
        <v>0.85</v>
      </c>
      <c r="U133" s="21" t="n">
        <v>0.29</v>
      </c>
      <c r="V133" s="21" t="n">
        <v>0.48</v>
      </c>
      <c r="W133" s="21" t="n">
        <v>0.09</v>
      </c>
      <c r="X133" s="18" t="n"/>
      <c r="Y133" s="18" t="n"/>
      <c r="Z133" s="18" t="n">
        <v>35000</v>
      </c>
      <c r="AA133" s="154">
        <f>SUM((Z133/P133)*1000)</f>
        <v/>
      </c>
      <c r="AB133" s="18" t="n">
        <v>21000</v>
      </c>
      <c r="AC133" s="18" t="n">
        <v>355</v>
      </c>
      <c r="AD133" s="18" t="n">
        <v>370</v>
      </c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</row>
    <row r="134">
      <c r="A134" s="18" t="n"/>
      <c r="B134" s="18" t="inlineStr">
        <is>
          <t>ok</t>
        </is>
      </c>
      <c r="C134" s="18" t="n"/>
      <c r="D134" s="18" t="inlineStr">
        <is>
          <t>电商</t>
        </is>
      </c>
      <c r="E134" s="32" t="inlineStr">
        <is>
          <t>画像匹配度高，场景合适</t>
        </is>
      </c>
      <c r="F134" s="18" t="inlineStr">
        <is>
          <t>小意义的麻麻</t>
        </is>
      </c>
      <c r="G134" s="18" t="inlineStr">
        <is>
          <t>https://www.xingtu.cn/ad/creator/author-homepage/douyin-video/7049972731298709518?market_track_id=JWHCKSQATMGCFTWYYRMO&amp;search_session_id=7614050235639300105&amp;possessStarId&amp;active_tab=content_performance&amp;active_module=.content-video-list-panel&amp;content_key_word=%E8%A5%BF%E9%97%A8%E5%AD%90%E6%B4%97%E7%A2%97%E6%9C%BA</t>
        </is>
      </c>
      <c r="H134" s="18" t="inlineStr">
        <is>
          <t>https://www.douyin.com/user/MS4wLjABAAAAHL128hJOpcnMRU7OtD11aNRgmrPm2_zqIGng1cGE3kQ</t>
        </is>
      </c>
      <c r="I134" s="18" t="n">
        <v>206334649</v>
      </c>
      <c r="J134" s="18" t="inlineStr">
        <is>
          <t>家居</t>
        </is>
      </c>
      <c r="K134" s="18" t="inlineStr">
        <is>
          <t>尾部</t>
        </is>
      </c>
      <c r="L134" s="18" t="n">
        <v>20</v>
      </c>
      <c r="M134" s="18" t="inlineStr">
        <is>
          <t>150-2000</t>
        </is>
      </c>
      <c r="N134" s="18" t="inlineStr">
        <is>
          <t>新锐白领
小镇青年
精致妈妈</t>
        </is>
      </c>
      <c r="O134" s="21" t="n">
        <v>0.5</v>
      </c>
      <c r="P134" s="18" t="n">
        <v>139000</v>
      </c>
      <c r="Q134" s="18">
        <f>SUM(Z134*1.05)</f>
        <v/>
      </c>
      <c r="R134" s="20">
        <f>Z134/(AB134+AD134+AC134)</f>
        <v/>
      </c>
      <c r="S134" s="18" t="inlineStr">
        <is>
          <t>视频</t>
        </is>
      </c>
      <c r="T134" s="21" t="n">
        <v>0.6899999999999999</v>
      </c>
      <c r="U134" s="21" t="n">
        <v>0.3</v>
      </c>
      <c r="V134" s="21" t="n">
        <v>0.46</v>
      </c>
      <c r="W134" s="21" t="n">
        <v>0.1</v>
      </c>
      <c r="X134" s="18" t="n"/>
      <c r="Y134" s="18" t="n"/>
      <c r="Z134" s="18" t="n">
        <v>19800</v>
      </c>
      <c r="AA134" s="154">
        <f>SUM((Z134/P134)*1000)</f>
        <v/>
      </c>
      <c r="AB134" s="18" t="n">
        <v>1240</v>
      </c>
      <c r="AC134" s="18" t="n">
        <v>105</v>
      </c>
      <c r="AD134" s="18" t="n">
        <v>886</v>
      </c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</row>
    <row r="135">
      <c r="A135" s="37" t="n"/>
      <c r="B135" s="37" t="inlineStr">
        <is>
          <t>ok,挪去品牌，电商客户选不上</t>
        </is>
      </c>
      <c r="C135" s="37" t="n"/>
      <c r="D135" s="37" t="inlineStr">
        <is>
          <t>品牌</t>
        </is>
      </c>
      <c r="E135" s="38" t="inlineStr">
        <is>
          <t>场景合适，有大家电经验</t>
        </is>
      </c>
      <c r="F135" s="37" t="inlineStr">
        <is>
          <t>kaka嘉伦</t>
        </is>
      </c>
      <c r="G135" s="37" t="inlineStr">
        <is>
          <t>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</t>
        </is>
      </c>
      <c r="H135" s="37" t="inlineStr">
        <is>
          <t>https://www.douyin.com/user/MS4wLjABAAAA7slDjZsDDFxXoscBEUG2oZSUhl0f8x-RhBd5rK2YchuwBEDJD-fXQrisE7VCeOrJ</t>
        </is>
      </c>
      <c r="I135" s="37" t="inlineStr">
        <is>
          <t>kakajialun</t>
        </is>
      </c>
      <c r="J135" s="37" t="inlineStr">
        <is>
          <t>家居</t>
        </is>
      </c>
      <c r="K135" s="37" t="inlineStr">
        <is>
          <t>尾部</t>
        </is>
      </c>
      <c r="L135" s="37" t="n">
        <v>20</v>
      </c>
      <c r="M135" s="37" t="inlineStr">
        <is>
          <t>150-2000</t>
        </is>
      </c>
      <c r="N135" s="37" t="inlineStr">
        <is>
          <t>新锐白领
小镇青年
都市银发</t>
        </is>
      </c>
      <c r="O135" s="41" t="n">
        <v>0.4</v>
      </c>
      <c r="P135" s="37" t="n">
        <v>714000</v>
      </c>
      <c r="Q135" s="37">
        <f>SUM(Z135*1.05)</f>
        <v/>
      </c>
      <c r="R135" s="40">
        <f>Z135/(AB135+AD135+AC135)</f>
        <v/>
      </c>
      <c r="S135" s="37" t="inlineStr">
        <is>
          <t>视频</t>
        </is>
      </c>
      <c r="T135" s="41" t="n">
        <v>0.6</v>
      </c>
      <c r="U135" s="41" t="n">
        <v>0.14</v>
      </c>
      <c r="V135" s="41" t="n">
        <v>0.63</v>
      </c>
      <c r="W135" s="41" t="n">
        <v>0.15</v>
      </c>
      <c r="X135" s="37" t="n"/>
      <c r="Y135" s="37" t="n"/>
      <c r="Z135" s="37" t="n">
        <v>18800</v>
      </c>
      <c r="AA135" s="157">
        <f>SUM((Z135/P135)*1000)</f>
        <v/>
      </c>
      <c r="AB135" s="37" t="n">
        <v>12000</v>
      </c>
      <c r="AC135" s="37" t="n">
        <v>159</v>
      </c>
      <c r="AD135" s="37" t="n">
        <v>221</v>
      </c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43" t="n"/>
      <c r="AR135" s="43" t="n"/>
    </row>
    <row r="136">
      <c r="A136" s="18" t="n"/>
      <c r="B136" s="18" t="inlineStr">
        <is>
          <t>没有口播</t>
        </is>
      </c>
      <c r="C136" s="18" t="n"/>
      <c r="D136" s="18" t="inlineStr">
        <is>
          <t>电商</t>
        </is>
      </c>
      <c r="E136" s="32" t="n"/>
      <c r="F136" s="18" t="inlineStr">
        <is>
          <t>💋二柒宝妈</t>
        </is>
      </c>
      <c r="G136" s="18" t="inlineStr">
        <is>
          <t>https://www.xingtu.cn/ad/creator/author-homepage/douyin-video/6904928031547064335?market_track_id=NHDHIZHMWY3LDTI1FTJQ&amp;search_session_id=7614064463817539610&amp;possessStarId</t>
        </is>
      </c>
      <c r="H136" s="18" t="inlineStr">
        <is>
          <t>https://www.douyin.com/user/MS4wLjABAAAA4BllNusuuP22r0wVxSBWvVleCtUAvfEKlWx_vHMFjP8</t>
        </is>
      </c>
      <c r="I136" s="18" t="inlineStr">
        <is>
          <t>Honey3646</t>
        </is>
      </c>
      <c r="J136" s="18" t="inlineStr">
        <is>
          <t>美食</t>
        </is>
      </c>
      <c r="K136" s="18" t="inlineStr">
        <is>
          <t>腰部</t>
        </is>
      </c>
      <c r="L136" s="18" t="n">
        <v>83</v>
      </c>
      <c r="M136" s="18" t="n"/>
      <c r="N136" s="18" t="n"/>
      <c r="O136" s="18" t="n"/>
      <c r="P136" s="18" t="n"/>
      <c r="Q136" s="18" t="n"/>
      <c r="R136" s="20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54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</row>
    <row r="137" ht="19" customHeight="1" s="151">
      <c r="A137" s="60" t="n"/>
      <c r="B137" s="60" t="n"/>
      <c r="C137" s="60" t="n"/>
      <c r="D137" s="60" t="n"/>
      <c r="E137" s="61" t="n"/>
      <c r="F137" s="60" t="n"/>
      <c r="G137" s="60" t="n"/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2" t="n"/>
      <c r="S137" s="60" t="n"/>
      <c r="T137" s="60" t="n"/>
      <c r="U137" s="60" t="n"/>
      <c r="V137" s="60" t="n"/>
      <c r="W137" s="60" t="n"/>
      <c r="X137" s="60" t="n"/>
      <c r="Y137" s="60" t="n"/>
      <c r="Z137" s="60" t="n"/>
      <c r="AA137" s="159" t="n"/>
      <c r="AB137" s="60" t="n"/>
      <c r="AC137" s="60" t="n"/>
      <c r="AD137" s="60" t="n"/>
      <c r="AE137" s="60" t="n"/>
      <c r="AF137" s="60" t="n"/>
      <c r="AG137" s="60" t="n"/>
      <c r="AH137" s="60" t="n"/>
      <c r="AI137" s="60" t="n"/>
      <c r="AJ137" s="60" t="n"/>
      <c r="AK137" s="60" t="n"/>
      <c r="AL137" s="60" t="n"/>
      <c r="AM137" s="60" t="n"/>
      <c r="AN137" s="60" t="n"/>
      <c r="AO137" s="60" t="n"/>
      <c r="AP137" s="60" t="n"/>
    </row>
    <row r="138">
      <c r="A138" s="18" t="n"/>
      <c r="B138" s="18" t="inlineStr">
        <is>
          <t>ok</t>
        </is>
      </c>
      <c r="C138" s="18" t="n"/>
      <c r="D138" s="18" t="inlineStr">
        <is>
          <t>电商</t>
        </is>
      </c>
      <c r="E138" s="32" t="inlineStr">
        <is>
          <t>有大家电爆款，粉丝画像契合</t>
        </is>
      </c>
      <c r="F138" s="18" t="inlineStr">
        <is>
          <t>尤马马</t>
        </is>
      </c>
      <c r="G138" s="18" t="inlineStr">
        <is>
          <t>https://www.xingtu.cn/ad/creator/author-homepage/douyin-video/7147705319940948005?market_track_id=L60CDC3Z3L2F86KHGUO5&amp;search_session_id=7615128024560467977&amp;possessStarId</t>
        </is>
      </c>
      <c r="H138" s="18" t="inlineStr">
        <is>
          <t>https://www.douyin.com/user/MS4wLjABAAAA8VE5ljHzd8prz-FqC6920tEcl7HSI3b_ihPQol808HQ7nA-f6RDwkeZ3Mm8jMp3Y</t>
        </is>
      </c>
      <c r="I138" s="18" t="n">
        <v>80546539217</v>
      </c>
      <c r="J138" s="18" t="inlineStr">
        <is>
          <t>家居</t>
        </is>
      </c>
      <c r="K138" s="18" t="inlineStr">
        <is>
          <t>腰部</t>
        </is>
      </c>
      <c r="L138" s="18" t="n">
        <v>70</v>
      </c>
      <c r="M138" s="18" t="inlineStr">
        <is>
          <t>2000-20000</t>
        </is>
      </c>
      <c r="N138" s="18" t="inlineStr">
        <is>
          <t>资深中产
小镇青年
新锐白领</t>
        </is>
      </c>
      <c r="O138" s="21" t="n">
        <v>0.49</v>
      </c>
      <c r="P138" s="18" t="n">
        <v>920000</v>
      </c>
      <c r="Q138" s="18">
        <f>SUM(Z138*1.05)</f>
        <v/>
      </c>
      <c r="R138" s="20">
        <f>Z138/(AB138+AD138+AC138)</f>
        <v/>
      </c>
      <c r="S138" s="18" t="inlineStr">
        <is>
          <t>视频</t>
        </is>
      </c>
      <c r="T138" s="21" t="n">
        <v>0.89</v>
      </c>
      <c r="U138" s="21" t="n">
        <v>0.16</v>
      </c>
      <c r="V138" s="21" t="n">
        <v>0.4</v>
      </c>
      <c r="W138" s="21" t="n">
        <v>0.21</v>
      </c>
      <c r="X138" s="18" t="n"/>
      <c r="Y138" s="18" t="n"/>
      <c r="Z138" s="18" t="n">
        <v>80000</v>
      </c>
      <c r="AA138" s="154">
        <f>SUM((Z138/P138)*1000)</f>
        <v/>
      </c>
      <c r="AB138" s="18" t="n">
        <v>6628</v>
      </c>
      <c r="AC138" s="18" t="n">
        <v>396</v>
      </c>
      <c r="AD138" s="18" t="n">
        <v>441</v>
      </c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</row>
    <row r="139">
      <c r="A139" s="37" t="n"/>
      <c r="B139" s="37" t="inlineStr">
        <is>
          <t>ok</t>
        </is>
      </c>
      <c r="C139" s="37" t="n"/>
      <c r="D139" s="37" t="inlineStr">
        <is>
          <t>品牌</t>
        </is>
      </c>
      <c r="E139" s="38" t="inlineStr">
        <is>
          <t>人群符合</t>
        </is>
      </c>
      <c r="F139" s="37" t="inlineStr">
        <is>
          <t>球球和张小丸</t>
        </is>
      </c>
      <c r="G139" s="37" t="inlineStr">
        <is>
          <t>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</t>
        </is>
      </c>
      <c r="H139" s="37" t="inlineStr">
        <is>
          <t>https://www.douyin.com/user/MS4wLjABAAAA0BIOqMlFvRjsOveQoVO6Wq1DaOgs2LMB-wAXHRZeIIg</t>
        </is>
      </c>
      <c r="I139" s="37" t="inlineStr">
        <is>
          <t>wanzi0217</t>
        </is>
      </c>
      <c r="J139" s="37" t="inlineStr">
        <is>
          <t>家居</t>
        </is>
      </c>
      <c r="K139" s="37" t="inlineStr">
        <is>
          <t>尾部</t>
        </is>
      </c>
      <c r="L139" s="37" t="n">
        <v>15</v>
      </c>
      <c r="M139" s="37" t="inlineStr">
        <is>
          <t>2000-20000</t>
        </is>
      </c>
      <c r="N139" s="37" t="inlineStr">
        <is>
          <t>新锐白领
精致妈妈
小镇青年</t>
        </is>
      </c>
      <c r="O139" s="41" t="n">
        <v>0.6</v>
      </c>
      <c r="P139" s="37" t="n">
        <v>148000</v>
      </c>
      <c r="Q139" s="37">
        <f>SUM(Z139*1.05)</f>
        <v/>
      </c>
      <c r="R139" s="40">
        <f>Z139/(AB139+AD139+AC139)</f>
        <v/>
      </c>
      <c r="S139" s="37" t="inlineStr">
        <is>
          <t>视频</t>
        </is>
      </c>
      <c r="T139" s="41" t="n">
        <v>0.79</v>
      </c>
      <c r="U139" s="41" t="n">
        <v>0.34</v>
      </c>
      <c r="V139" s="41" t="n">
        <v>0.38</v>
      </c>
      <c r="W139" s="41" t="n">
        <v>0.12</v>
      </c>
      <c r="X139" s="37" t="n"/>
      <c r="Y139" s="37" t="n"/>
      <c r="Z139" s="37" t="n">
        <v>8000</v>
      </c>
      <c r="AA139" s="157">
        <f>SUM((Z139/P139)*1000)</f>
        <v/>
      </c>
      <c r="AB139" s="37" t="n">
        <v>2649</v>
      </c>
      <c r="AC139" s="37" t="n">
        <v>103</v>
      </c>
      <c r="AD139" s="37" t="n">
        <v>611</v>
      </c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43" t="n"/>
      <c r="AR139" s="43" t="n"/>
    </row>
    <row r="140" ht="24.75" customHeight="1" s="151">
      <c r="A140" s="37" t="n"/>
      <c r="B140" s="37" t="inlineStr">
        <is>
          <t>ok</t>
        </is>
      </c>
      <c r="C140" s="37" t="n"/>
      <c r="D140" s="37" t="inlineStr">
        <is>
          <t>品牌</t>
        </is>
      </c>
      <c r="E140" s="38" t="inlineStr">
        <is>
          <t>人群符合核心要求，创意性高，可结合产品特点定制视频</t>
        </is>
      </c>
      <c r="F140" s="37" t="inlineStr">
        <is>
          <t>冯小厨的菜谱</t>
        </is>
      </c>
      <c r="G140" s="37" t="inlineStr">
        <is>
          <t>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</t>
        </is>
      </c>
      <c r="H140" s="37" t="inlineStr">
        <is>
          <t>https://www.douyin.com/user/MS4wLjABAAAAi0Z66aFzn6W5NeNnoo3rJeN1JxHSs4ltPgW616-pL2Bv1fTfgd_AdyyBauGPe1xm</t>
        </is>
      </c>
      <c r="I140" s="37" t="inlineStr">
        <is>
          <t>fengxiaochu</t>
        </is>
      </c>
      <c r="J140" s="37" t="inlineStr">
        <is>
          <t>美食</t>
        </is>
      </c>
      <c r="K140" s="37" t="inlineStr">
        <is>
          <t>尾部</t>
        </is>
      </c>
      <c r="L140" s="37" t="n">
        <v>28</v>
      </c>
      <c r="M140" s="37" t="inlineStr">
        <is>
          <t>150-2000</t>
        </is>
      </c>
      <c r="N140" s="37" t="inlineStr">
        <is>
          <t>精致妈妈
新锐白领
资深中产</t>
        </is>
      </c>
      <c r="O140" s="41" t="n">
        <v>0.59</v>
      </c>
      <c r="P140" s="37" t="n">
        <v>151000</v>
      </c>
      <c r="Q140" s="37">
        <f>SUM(Z140*1.05)</f>
        <v/>
      </c>
      <c r="R140" s="40">
        <f>Z140/(AB140+AD140+AC140)</f>
        <v/>
      </c>
      <c r="S140" s="37" t="inlineStr">
        <is>
          <t>视频</t>
        </is>
      </c>
      <c r="T140" s="41" t="n">
        <v>0.73</v>
      </c>
      <c r="U140" s="41" t="n">
        <v>0.19</v>
      </c>
      <c r="V140" s="41" t="n">
        <v>0.48</v>
      </c>
      <c r="W140" s="41" t="n">
        <v>0.19</v>
      </c>
      <c r="X140" s="37" t="n"/>
      <c r="Y140" s="37" t="n"/>
      <c r="Z140" s="37" t="n">
        <v>9000</v>
      </c>
      <c r="AA140" s="157">
        <f>SUM((Z140/P140)*1000)</f>
        <v/>
      </c>
      <c r="AB140" s="37" t="n">
        <v>2908</v>
      </c>
      <c r="AC140" s="37" t="n">
        <v>68</v>
      </c>
      <c r="AD140" s="37" t="n">
        <v>139</v>
      </c>
      <c r="AE140" s="37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43" t="n"/>
      <c r="AR140" s="43" t="n"/>
    </row>
    <row r="141">
      <c r="A141" s="18" t="n"/>
      <c r="B141" s="18" t="inlineStr">
        <is>
          <t>指数过于低</t>
        </is>
      </c>
      <c r="C141" s="18" t="n"/>
      <c r="D141" s="18" t="inlineStr">
        <is>
          <t>品牌</t>
        </is>
      </c>
      <c r="E141" s="32" t="n"/>
      <c r="F141" s="18" t="inlineStr">
        <is>
          <t>小康的家装日记</t>
        </is>
      </c>
      <c r="G141" s="18" t="inlineStr">
        <is>
          <t>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</t>
        </is>
      </c>
      <c r="H141" s="18" t="inlineStr">
        <is>
          <t>https://www.douyin.com/user/MS4wLjABAAAAc5kxst574ZOPmOCPOBZeuzPkfjqvCtEGcCL3rqLzrQI</t>
        </is>
      </c>
      <c r="I141" s="18" t="n">
        <v>28933287429</v>
      </c>
      <c r="J141" s="18" t="inlineStr">
        <is>
          <t>家居</t>
        </is>
      </c>
      <c r="K141" s="18" t="inlineStr">
        <is>
          <t>尾部</t>
        </is>
      </c>
      <c r="L141" s="18" t="n">
        <v>14</v>
      </c>
      <c r="M141" s="18" t="n"/>
      <c r="N141" s="18" t="n"/>
      <c r="O141" s="18" t="n"/>
      <c r="P141" s="18" t="n"/>
      <c r="Q141" s="18" t="n"/>
      <c r="R141" s="20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54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</row>
    <row r="142">
      <c r="A142" s="18" t="n"/>
      <c r="B142" s="18" t="inlineStr">
        <is>
          <t>ok</t>
        </is>
      </c>
      <c r="C142" s="18" t="n"/>
      <c r="D142" s="18" t="inlineStr">
        <is>
          <t>电商</t>
        </is>
      </c>
      <c r="E142" s="32" t="inlineStr">
        <is>
          <t>氛围感家居场景，人群A3数据较好</t>
        </is>
      </c>
      <c r="F142" s="18" t="inlineStr">
        <is>
          <t>欧安兄妹做啥了</t>
        </is>
      </c>
      <c r="G142" s="18" t="inlineStr">
        <is>
          <t>https://www.xingtu.cn/ad/creator/author-homepage/douyin-video/7274104585919135805?market_track_id=3G380J2URG4I92KTFQXH&amp;search_session_id=7615134247246250035&amp;possessStarId&amp;active_tab=content_performance&amp;active_module=.content-video-list-panel&amp;content_key_word=%E6%B4%97%E7%A2%97%E6%9C%BA</t>
        </is>
      </c>
      <c r="H142" s="18" t="inlineStr">
        <is>
          <t>https://www.douyin.com/user/MS4wLjABAAAABgjOPrLlY-rDPOX15I-GpgkzLdaFVd0auTxVmBqf29Lxklz11zM18PoftzsNHtTn</t>
        </is>
      </c>
      <c r="I142" s="18" t="n">
        <v>44853103705</v>
      </c>
      <c r="J142" s="18" t="inlineStr">
        <is>
          <t>家居</t>
        </is>
      </c>
      <c r="K142" s="18" t="inlineStr">
        <is>
          <t>腰部</t>
        </is>
      </c>
      <c r="L142" s="18" t="n">
        <v>73</v>
      </c>
      <c r="M142" s="18" t="inlineStr">
        <is>
          <t>20000-100000</t>
        </is>
      </c>
      <c r="N142" s="18" t="inlineStr">
        <is>
          <t>新锐白领
小镇青年
Z世代</t>
        </is>
      </c>
      <c r="O142" s="21" t="n">
        <v>0.4</v>
      </c>
      <c r="P142" s="18" t="n">
        <v>3070000</v>
      </c>
      <c r="Q142" s="18">
        <f>SUM(Z142*1.05)</f>
        <v/>
      </c>
      <c r="R142" s="20">
        <f>Z142/(AB142+AD142+AC142)</f>
        <v/>
      </c>
      <c r="S142" s="18" t="inlineStr">
        <is>
          <t>视频</t>
        </is>
      </c>
      <c r="T142" s="21" t="n">
        <v>0.41</v>
      </c>
      <c r="U142" s="21" t="n">
        <v>0.23</v>
      </c>
      <c r="V142" s="21" t="n">
        <v>0.41</v>
      </c>
      <c r="W142" s="21" t="n">
        <v>0.08</v>
      </c>
      <c r="X142" s="18" t="n"/>
      <c r="Y142" s="18" t="n"/>
      <c r="Z142" s="18" t="n">
        <v>79000</v>
      </c>
      <c r="AA142" s="154">
        <f>SUM((Z142/P142)*1000)</f>
        <v/>
      </c>
      <c r="AB142" s="18" t="n">
        <v>63000</v>
      </c>
      <c r="AC142" s="18" t="n">
        <v>1107</v>
      </c>
      <c r="AD142" s="18" t="n">
        <v>24000</v>
      </c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</row>
    <row r="143">
      <c r="A143" s="18" t="n"/>
      <c r="B143" s="18" t="inlineStr">
        <is>
          <t>ok</t>
        </is>
      </c>
      <c r="C143" s="18" t="n"/>
      <c r="D143" s="18" t="inlineStr">
        <is>
          <t>品牌</t>
        </is>
      </c>
      <c r="E143" s="32" t="inlineStr">
        <is>
          <t>人群符合</t>
        </is>
      </c>
      <c r="F143" s="18" t="inlineStr">
        <is>
          <t>Ceci的生活日记</t>
        </is>
      </c>
      <c r="G143" s="18" t="inlineStr">
        <is>
          <t>https://www.xingtu.cn/ad/creator/author-homepage/douyin-video/6724813695026724872?market_track_id=3G380J2URG4I92KTFQXH&amp;search_session_id=7615134758137266202&amp;possessStarId&amp;active_tab=content_performance&amp;active_module=.content-video-list-panel&amp;content_key_word=%E6%B4%97%E7%A2%97%E6%9C%BA</t>
        </is>
      </c>
      <c r="H143" s="18" t="inlineStr">
        <is>
          <t>https://www.douyin.com/user/MS4wLjABAAAAOGUuJYH1ZGSzKalWWD7o9jvgV2MEJAL-KrZxEHEbtRKBkaFMI7fw1UIGZC98-3c8</t>
        </is>
      </c>
      <c r="I143" s="18" t="n">
        <v>2214300128</v>
      </c>
      <c r="J143" s="18" t="inlineStr">
        <is>
          <t>家居</t>
        </is>
      </c>
      <c r="K143" s="18" t="inlineStr">
        <is>
          <t>腰部</t>
        </is>
      </c>
      <c r="L143" s="18" t="n">
        <v>257</v>
      </c>
      <c r="M143" s="18" t="inlineStr">
        <is>
          <t>2000-20000</t>
        </is>
      </c>
      <c r="N143" s="18" t="inlineStr">
        <is>
          <t>新锐白领
小镇青年
精致妈妈</t>
        </is>
      </c>
      <c r="O143" s="21" t="n">
        <v>0.49</v>
      </c>
      <c r="P143" s="18" t="n">
        <v>962000</v>
      </c>
      <c r="Q143" s="18">
        <f>SUM(Z143*1.05)</f>
        <v/>
      </c>
      <c r="R143" s="20">
        <f>Z143/(AB143+AD143+AC143)</f>
        <v/>
      </c>
      <c r="S143" s="18" t="inlineStr">
        <is>
          <t>视频</t>
        </is>
      </c>
      <c r="T143" s="21" t="n">
        <v>0.71</v>
      </c>
      <c r="U143" s="21" t="n">
        <v>0.32</v>
      </c>
      <c r="V143" s="21" t="n">
        <v>0.36</v>
      </c>
      <c r="W143" s="21" t="n">
        <v>0.05</v>
      </c>
      <c r="X143" s="18" t="n"/>
      <c r="Y143" s="18" t="n"/>
      <c r="Z143" s="18" t="n">
        <v>63000</v>
      </c>
      <c r="AA143" s="154">
        <f>SUM((Z143/P143)*1000)</f>
        <v/>
      </c>
      <c r="AB143" s="18" t="n">
        <v>21000</v>
      </c>
      <c r="AC143" s="18" t="n">
        <v>290</v>
      </c>
      <c r="AD143" s="18" t="n">
        <v>381</v>
      </c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</row>
    <row r="144">
      <c r="A144" s="18" t="n"/>
      <c r="B144" s="18" t="inlineStr">
        <is>
          <t>ok</t>
        </is>
      </c>
      <c r="C144" s="18" t="n"/>
      <c r="D144" s="18" t="inlineStr">
        <is>
          <t>电商</t>
        </is>
      </c>
      <c r="E144" s="32" t="inlineStr">
        <is>
          <t>家居品牌体验达人，专业测评</t>
        </is>
      </c>
      <c r="F144" s="18" t="inlineStr">
        <is>
          <t>9ismine</t>
        </is>
      </c>
      <c r="G144" s="18" t="inlineStr">
        <is>
          <t>https://www.xingtu.cn/ad/creator/author-homepage/douyin-video/6618402488544395278?market_track_id=3G380J2URG4I92KTFQXH&amp;search_session_id=7615135036824371209&amp;possessStarId&amp;active_tab=content_performance&amp;active_module=.content-video-list-panel&amp;content_key_word=%E6%B4%97%E7%A2%97%E6%9C%BA</t>
        </is>
      </c>
      <c r="H144" s="18" t="inlineStr">
        <is>
          <t>https://www.douyin.com/user/MS4wLjABAAAAeRGufrbIlWfmqnnoR5HoFOQJRxKw23wrXHvOSjmNg9Q</t>
        </is>
      </c>
      <c r="I144" s="18" t="n">
        <v>1217179718</v>
      </c>
      <c r="J144" s="18" t="inlineStr">
        <is>
          <t>家居</t>
        </is>
      </c>
      <c r="K144" s="18" t="inlineStr">
        <is>
          <t>腰部</t>
        </is>
      </c>
      <c r="L144" s="18" t="n">
        <v>116</v>
      </c>
      <c r="M144" s="18" t="inlineStr">
        <is>
          <t>150-2000</t>
        </is>
      </c>
      <c r="N144" s="18" t="inlineStr">
        <is>
          <t>小镇青年
新锐白领
精致妈妈</t>
        </is>
      </c>
      <c r="O144" s="21" t="n">
        <v>0.58</v>
      </c>
      <c r="P144" s="18" t="n">
        <v>594000</v>
      </c>
      <c r="Q144" s="18">
        <f>SUM(Z144*1.05)</f>
        <v/>
      </c>
      <c r="R144" s="20">
        <f>Z144/(AB144+AD144+AC144)</f>
        <v/>
      </c>
      <c r="S144" s="18" t="inlineStr">
        <is>
          <t>视频</t>
        </is>
      </c>
      <c r="T144" s="21" t="n">
        <v>0.9399999999999999</v>
      </c>
      <c r="U144" s="21" t="n">
        <v>0.3</v>
      </c>
      <c r="V144" s="21" t="n">
        <v>0.42</v>
      </c>
      <c r="W144" s="21" t="n">
        <v>0.15</v>
      </c>
      <c r="X144" s="18" t="n"/>
      <c r="Y144" s="18" t="n"/>
      <c r="Z144" s="18" t="n">
        <v>58000</v>
      </c>
      <c r="AA144" s="154">
        <f>SUM((Z144/P144)*1000)</f>
        <v/>
      </c>
      <c r="AB144" s="18" t="n">
        <v>8048</v>
      </c>
      <c r="AC144" s="18" t="n">
        <v>310</v>
      </c>
      <c r="AD144" s="18" t="n">
        <v>2195</v>
      </c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</row>
    <row r="145">
      <c r="A145" s="18" t="n"/>
      <c r="B145" s="18" t="inlineStr">
        <is>
          <t>ok</t>
        </is>
      </c>
      <c r="C145" s="18" t="n"/>
      <c r="D145" s="18" t="inlineStr">
        <is>
          <t>品牌</t>
        </is>
      </c>
      <c r="E145" s="32" t="inlineStr">
        <is>
          <t>女粉和精致妈妈占比多</t>
        </is>
      </c>
      <c r="F145" s="18" t="inlineStr">
        <is>
          <t>妍妍宝贝</t>
        </is>
      </c>
      <c r="G145" s="18" t="inlineStr">
        <is>
          <t>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</t>
        </is>
      </c>
      <c r="H145" s="18" t="inlineStr">
        <is>
          <t>https://www.douyin.com/user/MS4wLjABAAAAP0p19DKAPCeDWTBGWDVpHAsjIRQIlDl3ehczZGtLdZQ</t>
        </is>
      </c>
      <c r="I145" s="18" t="inlineStr">
        <is>
          <t>yanyan939613765</t>
        </is>
      </c>
      <c r="J145" s="18" t="inlineStr">
        <is>
          <t>家居</t>
        </is>
      </c>
      <c r="K145" s="18" t="inlineStr">
        <is>
          <t>尾部</t>
        </is>
      </c>
      <c r="L145" s="18" t="n">
        <v>31</v>
      </c>
      <c r="M145" s="18" t="inlineStr">
        <is>
          <t>150-2000</t>
        </is>
      </c>
      <c r="N145" s="18" t="inlineStr">
        <is>
          <t>新锐白领
小镇青年
精致妈妈</t>
        </is>
      </c>
      <c r="O145" s="21" t="n">
        <v>0.46</v>
      </c>
      <c r="P145" s="18" t="n">
        <v>1155000</v>
      </c>
      <c r="Q145" s="18">
        <f>SUM(Z145*1.05)</f>
        <v/>
      </c>
      <c r="R145" s="20">
        <f>Z145/(AB145+AD145+AC145)</f>
        <v/>
      </c>
      <c r="S145" s="18" t="inlineStr">
        <is>
          <t>视频</t>
        </is>
      </c>
      <c r="T145" s="21" t="n">
        <v>0.46</v>
      </c>
      <c r="U145" s="21" t="n">
        <v>0.3</v>
      </c>
      <c r="V145" s="21" t="n">
        <v>0.48</v>
      </c>
      <c r="W145" s="21" t="n">
        <v>0.05</v>
      </c>
      <c r="X145" s="18" t="n"/>
      <c r="Y145" s="18" t="n"/>
      <c r="Z145" s="18" t="n">
        <v>22800</v>
      </c>
      <c r="AA145" s="154">
        <f>SUM((Z145/P145)*1000)</f>
        <v/>
      </c>
      <c r="AB145" s="18" t="n">
        <v>4100</v>
      </c>
      <c r="AC145" s="18" t="n">
        <v>177</v>
      </c>
      <c r="AD145" s="18" t="n">
        <v>442</v>
      </c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</row>
    <row r="146">
      <c r="A146" s="18" t="n"/>
      <c r="B146" s="18" t="inlineStr">
        <is>
          <t>ok</t>
        </is>
      </c>
      <c r="C146" s="18" t="n"/>
      <c r="D146" s="18" t="inlineStr">
        <is>
          <t>电商</t>
        </is>
      </c>
      <c r="E146" s="32" t="inlineStr">
        <is>
          <t>精致妈妈占比多</t>
        </is>
      </c>
      <c r="F146" s="18" t="inlineStr">
        <is>
          <t>一颗羊仔（居家版）</t>
        </is>
      </c>
      <c r="G146" s="18" t="inlineStr">
        <is>
          <t>https://www.xingtu.cn/ad/creator/author-homepage/douyin-video/7540150952368537651?market_track_id=3G380J2URG4I92KTFQXH&amp;search_session_id=7615135518170447922&amp;possessStarId&amp;active_tab=content_performance&amp;active_module=.content-video-list-panel&amp;content_key_word=%E6%B4%97%E7%A2%97%E6%9C%BA</t>
        </is>
      </c>
      <c r="H146" s="18" t="inlineStr">
        <is>
          <t>https://www.douyin.com/user/MS4wLjABAAAAFQuoZ6RhUp0SnW8l1TEAokkGRgm5yh6xVQUd45wq8xciJ85WZUjDjLMtE5Z_4JF2</t>
        </is>
      </c>
      <c r="I146" s="18" t="n">
        <v>68549506729</v>
      </c>
      <c r="J146" s="18" t="inlineStr">
        <is>
          <t>家居</t>
        </is>
      </c>
      <c r="K146" s="18" t="inlineStr">
        <is>
          <t>腰部</t>
        </is>
      </c>
      <c r="L146" s="18" t="n">
        <v>127</v>
      </c>
      <c r="M146" s="18" t="inlineStr">
        <is>
          <t>2000-20000</t>
        </is>
      </c>
      <c r="N146" s="18" t="inlineStr">
        <is>
          <t>新锐白领
小镇青年
精致妈妈</t>
        </is>
      </c>
      <c r="O146" s="21" t="n">
        <v>0.65</v>
      </c>
      <c r="P146" s="18" t="n">
        <v>4611000</v>
      </c>
      <c r="Q146" s="18">
        <f>SUM(Z146*1.05)</f>
        <v/>
      </c>
      <c r="R146" s="20">
        <f>Z146/(AB146+AD146+AC146)</f>
        <v/>
      </c>
      <c r="S146" s="18" t="inlineStr">
        <is>
          <t>视频</t>
        </is>
      </c>
      <c r="T146" s="21" t="n">
        <v>0.93</v>
      </c>
      <c r="U146" s="21" t="n">
        <v>0.38</v>
      </c>
      <c r="V146" s="21" t="n">
        <v>0.46</v>
      </c>
      <c r="W146" s="21" t="n">
        <v>0.03</v>
      </c>
      <c r="X146" s="18" t="n"/>
      <c r="Y146" s="18" t="n"/>
      <c r="Z146" s="18" t="n">
        <v>45000</v>
      </c>
      <c r="AA146" s="154">
        <f>SUM((Z146/P146)*1000)</f>
        <v/>
      </c>
      <c r="AB146" s="18" t="n">
        <v>4923</v>
      </c>
      <c r="AC146" s="18" t="n">
        <v>434</v>
      </c>
      <c r="AD146" s="18" t="n">
        <v>348</v>
      </c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</row>
    <row r="147">
      <c r="A147" s="18" t="n"/>
      <c r="B147" s="18" t="inlineStr">
        <is>
          <t>ok</t>
        </is>
      </c>
      <c r="C147" s="18" t="n"/>
      <c r="D147" s="18" t="inlineStr">
        <is>
          <t>电商</t>
        </is>
      </c>
      <c r="E147" s="32" t="inlineStr">
        <is>
          <t>垂类博主，人群画像适配</t>
        </is>
      </c>
      <c r="F147" s="18" t="inlineStr">
        <is>
          <t>菠萝小姐的家</t>
        </is>
      </c>
      <c r="G147" s="18" t="inlineStr">
        <is>
          <t>https://www.xingtu.cn/ad/creator/author-homepage/douyin-video/7169851446777610248?market_track_id=3G380J2URG4I92KTFQXH&amp;search_session_id=7615135518170447922&amp;possessStarId&amp;active_tab=content_performance&amp;active_module=.content-video-list-panel&amp;content_key_word=%E6%B4%97%E7%A2%97%E6%9C%BA</t>
        </is>
      </c>
      <c r="H147" s="18" t="inlineStr">
        <is>
          <t>https://www.douyin.com/user/MS4wLjABAAAAtYkjMp_gk7RQq3D7tBkQs1LkPOJ6LcHYP5CXYCShZ3BM8-uq-ziaILKFiqLN5MoC</t>
        </is>
      </c>
      <c r="I147" s="18" t="inlineStr">
        <is>
          <t>JMLY580</t>
        </is>
      </c>
      <c r="J147" s="18" t="inlineStr">
        <is>
          <t>家居</t>
        </is>
      </c>
      <c r="K147" s="18" t="inlineStr">
        <is>
          <t>尾部</t>
        </is>
      </c>
      <c r="L147" s="18" t="n">
        <v>40</v>
      </c>
      <c r="M147" s="18" t="inlineStr">
        <is>
          <t>150-2000</t>
        </is>
      </c>
      <c r="N147" s="18" t="inlineStr">
        <is>
          <t>新锐白领
精致妈妈
资深中产</t>
        </is>
      </c>
      <c r="O147" s="21" t="n">
        <v>0.82</v>
      </c>
      <c r="P147" s="18" t="n">
        <v>361000</v>
      </c>
      <c r="Q147" s="18">
        <f>SUM(Z147*1.05)</f>
        <v/>
      </c>
      <c r="R147" s="20">
        <f>Z147/(AB147+AD147+AC147)</f>
        <v/>
      </c>
      <c r="S147" s="18" t="inlineStr">
        <is>
          <t>视频</t>
        </is>
      </c>
      <c r="T147" s="21" t="n">
        <v>0.45</v>
      </c>
      <c r="U147" s="21" t="n">
        <v>0.3</v>
      </c>
      <c r="V147" s="21" t="n">
        <v>0.52</v>
      </c>
      <c r="W147" s="21" t="n">
        <v>0.06</v>
      </c>
      <c r="X147" s="18" t="n"/>
      <c r="Y147" s="18" t="n"/>
      <c r="Z147" s="18" t="n">
        <v>23800</v>
      </c>
      <c r="AA147" s="154">
        <f>SUM((Z147/P147)*1000)</f>
        <v/>
      </c>
      <c r="AB147" s="18" t="n">
        <v>13000</v>
      </c>
      <c r="AC147" s="18" t="n">
        <v>362</v>
      </c>
      <c r="AD147" s="18" t="n">
        <v>390</v>
      </c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</row>
    <row r="148">
      <c r="A148" s="18" t="n"/>
      <c r="B148" s="18" t="inlineStr">
        <is>
          <t>ok</t>
        </is>
      </c>
      <c r="C148" s="18" t="n"/>
      <c r="D148" s="18" t="inlineStr">
        <is>
          <t>品牌</t>
        </is>
      </c>
      <c r="E148" s="32" t="inlineStr">
        <is>
          <t>精致妈妈占比多</t>
        </is>
      </c>
      <c r="F148" s="18" t="inlineStr">
        <is>
          <t>然然理想家Yiran（孕中期）</t>
        </is>
      </c>
      <c r="G148" s="18" t="inlineStr">
        <is>
          <t>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</t>
        </is>
      </c>
      <c r="H148" s="18" t="inlineStr">
        <is>
          <t>https://www.douyin.com/user/MS4wLjABAAAAqKockBn2sLlJTihnGBvV706p95ACOWq5a8RoXBHe4dY</t>
        </is>
      </c>
      <c r="I148" s="18" t="n">
        <v>1129598342</v>
      </c>
      <c r="J148" s="18" t="inlineStr">
        <is>
          <t>家居</t>
        </is>
      </c>
      <c r="K148" s="18" t="inlineStr">
        <is>
          <t>肩部</t>
        </is>
      </c>
      <c r="L148" s="18" t="n">
        <v>427</v>
      </c>
      <c r="M148" s="18" t="inlineStr">
        <is>
          <t>2000-20000</t>
        </is>
      </c>
      <c r="N148" s="18" t="inlineStr">
        <is>
          <t>新锐白领
小镇青年
精致妈妈</t>
        </is>
      </c>
      <c r="O148" s="21" t="n">
        <v>0.44</v>
      </c>
      <c r="P148" s="18" t="n">
        <v>1683000</v>
      </c>
      <c r="Q148" s="18">
        <f>SUM(Z148*1.05)</f>
        <v/>
      </c>
      <c r="R148" s="20">
        <f>Z148/(AB148+AD148+AC148)</f>
        <v/>
      </c>
      <c r="S148" s="18" t="inlineStr">
        <is>
          <t>视频</t>
        </is>
      </c>
      <c r="T148" s="21" t="n">
        <v>0.61</v>
      </c>
      <c r="U148" s="21" t="n">
        <v>0.23</v>
      </c>
      <c r="V148" s="21" t="n">
        <v>0.49</v>
      </c>
      <c r="W148" s="21" t="n">
        <v>0.16</v>
      </c>
      <c r="X148" s="18" t="n"/>
      <c r="Y148" s="18" t="n"/>
      <c r="Z148" s="18" t="n">
        <v>65000</v>
      </c>
      <c r="AA148" s="154">
        <f>SUM((Z148/P148)*1000)</f>
        <v/>
      </c>
      <c r="AB148" s="18" t="n">
        <v>28000</v>
      </c>
      <c r="AC148" s="18" t="n">
        <v>501</v>
      </c>
      <c r="AD148" s="18" t="n">
        <v>902</v>
      </c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</row>
    <row r="149">
      <c r="A149" s="18" t="n"/>
      <c r="B149" s="18" t="inlineStr">
        <is>
          <t>ok</t>
        </is>
      </c>
      <c r="C149" s="18" t="n"/>
      <c r="D149" s="18" t="inlineStr">
        <is>
          <t>电商</t>
        </is>
      </c>
      <c r="E149" s="32" t="inlineStr">
        <is>
          <t>粉丝画像适配性高</t>
        </is>
      </c>
      <c r="F149" s="18" t="inlineStr">
        <is>
          <t>西柚与婷婷</t>
        </is>
      </c>
      <c r="G149" s="18" t="inlineStr">
        <is>
          <t>https://www.xingtu.cn/ad/creator/author-homepage/douyin-video/7307651283161186342?market_track_id=3G380J2URG4I92KTFQXH&amp;search_session_id=7615136157550723122&amp;possessStarId&amp;active_tab=content_performance&amp;active_module=.content-video-list-panel&amp;content_key_word=%E6%B4%97%E7%A2%97%E6%9C%BA</t>
        </is>
      </c>
      <c r="H149" s="18" t="inlineStr">
        <is>
          <t>https://www.douyin.com/user/MS4wLjABAAAAreB1EtCOEXZMDmoPqhDLAj0tu90QYDxBvSQiaskMwNnLVgKhMKxy_zDxCVC1k4XN</t>
        </is>
      </c>
      <c r="I149" s="18" t="inlineStr">
        <is>
          <t>uuu810</t>
        </is>
      </c>
      <c r="J149" s="18" t="inlineStr">
        <is>
          <t>家居</t>
        </is>
      </c>
      <c r="K149" s="18" t="inlineStr">
        <is>
          <t>腰部</t>
        </is>
      </c>
      <c r="L149" s="18" t="n">
        <v>90</v>
      </c>
      <c r="M149" s="18" t="inlineStr">
        <is>
          <t>20000-100000</t>
        </is>
      </c>
      <c r="N149" s="18" t="inlineStr">
        <is>
          <t>新锐白领
小镇青年
精致妈妈</t>
        </is>
      </c>
      <c r="O149" s="21" t="n">
        <v>0.45</v>
      </c>
      <c r="P149" s="18" t="n">
        <v>1126000</v>
      </c>
      <c r="Q149" s="18">
        <f>SUM(Z149*1.05)</f>
        <v/>
      </c>
      <c r="R149" s="20">
        <f>Z149/(AB149+AD149+AC149)</f>
        <v/>
      </c>
      <c r="S149" s="18" t="inlineStr">
        <is>
          <t>视频</t>
        </is>
      </c>
      <c r="T149" s="21" t="n">
        <v>0.75</v>
      </c>
      <c r="U149" s="21" t="n">
        <v>0.31</v>
      </c>
      <c r="V149" s="21" t="n">
        <v>0.37</v>
      </c>
      <c r="W149" s="21" t="n">
        <v>0.11</v>
      </c>
      <c r="X149" s="18" t="n"/>
      <c r="Y149" s="18" t="n"/>
      <c r="Z149" s="18" t="n">
        <v>42800</v>
      </c>
      <c r="AA149" s="154">
        <f>SUM((Z149/P149)*1000)</f>
        <v/>
      </c>
      <c r="AB149" s="18" t="n">
        <v>6838</v>
      </c>
      <c r="AC149" s="18" t="n">
        <v>413</v>
      </c>
      <c r="AD149" s="18" t="n">
        <v>1958</v>
      </c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</row>
    <row r="150">
      <c r="A150" s="18" t="n"/>
      <c r="B150" s="18" t="inlineStr">
        <is>
          <t>ok</t>
        </is>
      </c>
      <c r="C150" s="18" t="n"/>
      <c r="D150" s="18" t="inlineStr">
        <is>
          <t>电商</t>
        </is>
      </c>
      <c r="E150" s="32" t="inlineStr">
        <is>
          <t>A3和粉丝画像适配</t>
        </is>
      </c>
      <c r="F150" s="18" t="inlineStr">
        <is>
          <t>八分饱</t>
        </is>
      </c>
      <c r="G150" s="18" t="inlineStr">
        <is>
          <t>https://www.xingtu.cn/ad/creator/author-homepage/douyin-video/7026223442739331108?market_track_id=3G380J2URG4I92KTFQXH&amp;search_session_id=7615136157550723122&amp;possessStarId&amp;active_tab=content_performance&amp;active_module=.content-video-list-panel&amp;content_key_word=%E6%B4%97%E7%A2%97%E6%9C%BA</t>
        </is>
      </c>
      <c r="H150" s="18" t="inlineStr">
        <is>
          <t>https://www.douyin.com/user/MS4wLjABAAAAvgt-N8kKGM10j6tquouBiy5QIQ81POIJKwq-U2rwPiWs4RkXsgHtou7t9jNSwmMb</t>
        </is>
      </c>
      <c r="I150" s="18" t="inlineStr">
        <is>
          <t>bafenbao666</t>
        </is>
      </c>
      <c r="J150" s="18" t="inlineStr">
        <is>
          <t>家居</t>
        </is>
      </c>
      <c r="K150" s="18" t="inlineStr">
        <is>
          <t>腰部</t>
        </is>
      </c>
      <c r="L150" s="18" t="n">
        <v>50</v>
      </c>
      <c r="M150" s="18" t="inlineStr">
        <is>
          <t>2000-20000</t>
        </is>
      </c>
      <c r="N150" s="18" t="inlineStr">
        <is>
          <t>新锐白领
小镇青年
资深中产</t>
        </is>
      </c>
      <c r="O150" s="21" t="n">
        <v>0.5600000000000001</v>
      </c>
      <c r="P150" s="18" t="n">
        <v>504000</v>
      </c>
      <c r="Q150" s="18">
        <f>SUM(Z150*1.05)</f>
        <v/>
      </c>
      <c r="R150" s="20">
        <f>Z150/(AB150+AD150+AC150)</f>
        <v/>
      </c>
      <c r="S150" s="18" t="inlineStr">
        <is>
          <t>视频</t>
        </is>
      </c>
      <c r="T150" s="21" t="n">
        <v>0.42</v>
      </c>
      <c r="U150" s="21" t="n">
        <v>0.32</v>
      </c>
      <c r="V150" s="21" t="n">
        <v>0.47</v>
      </c>
      <c r="W150" s="21" t="n">
        <v>0.08</v>
      </c>
      <c r="X150" s="18" t="n"/>
      <c r="Y150" s="18" t="n"/>
      <c r="Z150" s="18" t="n">
        <v>33900</v>
      </c>
      <c r="AA150" s="154">
        <f>SUM((Z150/P150)*1000)</f>
        <v/>
      </c>
      <c r="AB150" s="18" t="n">
        <v>6742</v>
      </c>
      <c r="AC150" s="18" t="n">
        <v>741</v>
      </c>
      <c r="AD150" s="18" t="n">
        <v>1373</v>
      </c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</row>
    <row r="151">
      <c r="A151" s="18" t="n"/>
      <c r="B151" s="18" t="inlineStr">
        <is>
          <t>ok</t>
        </is>
      </c>
      <c r="C151" s="18" t="n"/>
      <c r="D151" s="18" t="inlineStr">
        <is>
          <t>电商</t>
        </is>
      </c>
      <c r="E151" s="32" t="inlineStr">
        <is>
          <t>粉丝画像高度匹性高</t>
        </is>
      </c>
      <c r="F151" s="18" t="inlineStr">
        <is>
          <t>得得饿了</t>
        </is>
      </c>
      <c r="G151" s="18" t="inlineStr">
        <is>
          <t>https://www.xingtu.cn/ad/creator/author-homepage/douyin-video/6906929328903159821?market_track_id=3G380J2URG4I92KTFQXH&amp;search_session_id=7615136157550723122&amp;possessStarId&amp;active_tab=content_performance&amp;active_module=.content-video-list-panel&amp;content_key_word=%E6%B4%97%E7%A2%97%E6%9C%BA</t>
        </is>
      </c>
      <c r="H151" s="18" t="inlineStr">
        <is>
          <t>https://www.douyin.com/user/MS4wLjABAAAA57X26jieEwRnyDdFjl9Cx8mY_hSVPTdepH-jt6KyrPZEp8UtnJa9_Rd8GM43Mq_W</t>
        </is>
      </c>
      <c r="I151" s="18" t="inlineStr">
        <is>
          <t>dedenice</t>
        </is>
      </c>
      <c r="J151" s="18" t="inlineStr">
        <is>
          <t>家居</t>
        </is>
      </c>
      <c r="K151" s="18" t="inlineStr">
        <is>
          <t>尾部</t>
        </is>
      </c>
      <c r="L151" s="18" t="n">
        <v>45</v>
      </c>
      <c r="M151" s="18" t="inlineStr">
        <is>
          <t>2000-20000</t>
        </is>
      </c>
      <c r="N151" s="18" t="inlineStr">
        <is>
          <t>小镇青年
Z世代
新锐白领</t>
        </is>
      </c>
      <c r="O151" s="35" t="n">
        <v>0.381</v>
      </c>
      <c r="P151" s="18" t="n">
        <v>368000</v>
      </c>
      <c r="Q151" s="18">
        <f>SUM(Z151*1.05)</f>
        <v/>
      </c>
      <c r="R151" s="20">
        <f>Z151/(AB151+AD151+AC151)</f>
        <v/>
      </c>
      <c r="S151" s="18" t="inlineStr">
        <is>
          <t>视频</t>
        </is>
      </c>
      <c r="T151" s="21" t="n">
        <v>0.72</v>
      </c>
      <c r="U151" s="21" t="n">
        <v>0.26</v>
      </c>
      <c r="V151" s="21" t="n">
        <v>0.38</v>
      </c>
      <c r="W151" s="21" t="n">
        <v>0.1</v>
      </c>
      <c r="X151" s="21" t="n"/>
      <c r="Y151" s="21" t="n"/>
      <c r="Z151" s="18" t="n">
        <v>29800</v>
      </c>
      <c r="AA151" s="154">
        <f>SUM((Z151/P151)*1000)</f>
        <v/>
      </c>
      <c r="AB151" s="18" t="n">
        <v>2393</v>
      </c>
      <c r="AC151" s="18" t="n">
        <v>213</v>
      </c>
      <c r="AD151" s="18" t="n">
        <v>1913</v>
      </c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</row>
    <row r="152">
      <c r="A152" s="53" t="n"/>
      <c r="B152" s="53" t="inlineStr">
        <is>
          <t>ok</t>
        </is>
      </c>
      <c r="C152" s="53" t="n"/>
      <c r="D152" s="53" t="inlineStr">
        <is>
          <t>电商</t>
        </is>
      </c>
      <c r="E152" s="54" t="inlineStr">
        <is>
          <t>粉丝画像高度匹性高</t>
        </is>
      </c>
      <c r="F152" s="53" t="inlineStr">
        <is>
          <t>pp的新家（测评版）</t>
        </is>
      </c>
      <c r="G152" s="53" t="inlineStr">
        <is>
          <t>https://www.xingtu.cn/ad/creator/author-homepage/douyin-video/7347537372684222483?market_track_id=3G380J2URG4I92KTFQXH&amp;search_session_id=7615136758170828850&amp;possessStarId&amp;active_tab=content_performance&amp;active_module=.content-video-list-panel&amp;content_key_word=%E6%B4%97%E7%A2%97%E6%9C%BA</t>
        </is>
      </c>
      <c r="H152" s="53" t="inlineStr">
        <is>
          <t>https://www.douyin.com/user/MS4wLjABAAAARK2WtnWl7uvpQvtKMTP7i9hhf5Wk3bmUJa8GzRWdMD4</t>
        </is>
      </c>
      <c r="I152" s="53" t="inlineStr">
        <is>
          <t>pphouseyeye</t>
        </is>
      </c>
      <c r="J152" s="53" t="inlineStr">
        <is>
          <t>家居</t>
        </is>
      </c>
      <c r="K152" s="53" t="inlineStr">
        <is>
          <t>尾部</t>
        </is>
      </c>
      <c r="L152" s="53" t="n">
        <v>40</v>
      </c>
      <c r="M152" s="53" t="inlineStr">
        <is>
          <t>2000-20000</t>
        </is>
      </c>
      <c r="N152" s="53" t="inlineStr">
        <is>
          <t>新锐白领
精致妈妈
小镇青年</t>
        </is>
      </c>
      <c r="O152" s="56" t="n">
        <v>0.6899999999999999</v>
      </c>
      <c r="P152" s="53" t="n">
        <v>766000</v>
      </c>
      <c r="Q152" s="53">
        <f>SUM(Z152*1.05)</f>
        <v/>
      </c>
      <c r="R152" s="55">
        <f>Z152/(AB152+AD152+AC152)</f>
        <v/>
      </c>
      <c r="S152" s="53" t="inlineStr">
        <is>
          <t>视频</t>
        </is>
      </c>
      <c r="T152" s="56" t="n">
        <v>0.65</v>
      </c>
      <c r="U152" s="56" t="n">
        <v>0.31</v>
      </c>
      <c r="V152" s="56" t="n">
        <v>0.5</v>
      </c>
      <c r="W152" s="56" t="n">
        <v>0.08</v>
      </c>
      <c r="X152" s="53" t="n"/>
      <c r="Y152" s="53" t="n"/>
      <c r="Z152" s="53" t="n">
        <v>25800</v>
      </c>
      <c r="AA152" s="160">
        <f>SUM((Z152/P152)*1000)</f>
        <v/>
      </c>
      <c r="AB152" s="69" t="n">
        <v>5185</v>
      </c>
      <c r="AC152" s="53" t="n">
        <v>209</v>
      </c>
      <c r="AD152" s="53" t="n">
        <v>251</v>
      </c>
      <c r="AE152" s="53" t="n"/>
      <c r="AF152" s="53" t="n"/>
      <c r="AG152" s="53" t="n"/>
      <c r="AH152" s="53" t="n"/>
      <c r="AI152" s="53" t="n"/>
      <c r="AJ152" s="53" t="n"/>
      <c r="AK152" s="53" t="n"/>
      <c r="AL152" s="53" t="n"/>
      <c r="AM152" s="53" t="n"/>
      <c r="AN152" s="53" t="n"/>
      <c r="AO152" s="53" t="n"/>
      <c r="AP152" s="53" t="n"/>
      <c r="AQ152" s="57" t="n"/>
      <c r="AR152" s="57" t="n"/>
    </row>
    <row r="153" ht="24.75" customHeight="1" s="151">
      <c r="A153" s="18" t="n"/>
      <c r="B153" s="18" t="inlineStr">
        <is>
          <t>ok</t>
        </is>
      </c>
      <c r="C153" s="18" t="n"/>
      <c r="D153" s="18" t="inlineStr">
        <is>
          <t>电商</t>
        </is>
      </c>
      <c r="E153" s="32" t="inlineStr">
        <is>
          <t>A3和三大人群满足50%，粉丝年龄占比微偏差，创意性高</t>
        </is>
      </c>
      <c r="F153" s="18" t="inlineStr">
        <is>
          <t>娴柠七</t>
        </is>
      </c>
      <c r="G153" s="18" t="inlineStr">
        <is>
          <t>https://www.xingtu.cn/ad/creator/author-homepage/douyin-video/7089045907315884069?market_track_id=77K7OT6KHM36OOHV8ROB&amp;search_session_id=7615137695518113843&amp;possessStarId&amp;active_tab=content_performance&amp;active_module=.content-video-list-panel&amp;content_key_word=%E6%B2%B9%E7%83%9F%E6%9C%BA</t>
        </is>
      </c>
      <c r="H153" s="18" t="inlineStr">
        <is>
          <t>https://www.douyin.com/user/MS4wLjABAAAAT2z44py_T_Mt3x9PkvF0ZHYyU6R1DlLcYBTLgA6GkPe-gC17FlYvmt40XMV7EDHz</t>
        </is>
      </c>
      <c r="I153" s="18" t="inlineStr">
        <is>
          <t>crazyxiangcai</t>
        </is>
      </c>
      <c r="J153" s="18" t="inlineStr">
        <is>
          <t>家居</t>
        </is>
      </c>
      <c r="K153" s="18" t="inlineStr">
        <is>
          <t>腰部</t>
        </is>
      </c>
      <c r="L153" s="18" t="n">
        <v>185</v>
      </c>
      <c r="M153" s="18" t="inlineStr">
        <is>
          <t>150-2000</t>
        </is>
      </c>
      <c r="N153" s="18" t="inlineStr">
        <is>
          <t>精致妈妈
新锐白领
小镇青年</t>
        </is>
      </c>
      <c r="O153" s="21" t="n">
        <v>0.72</v>
      </c>
      <c r="P153" s="18" t="n">
        <v>2195000</v>
      </c>
      <c r="Q153" s="18">
        <f>SUM(Z153*1.05)</f>
        <v/>
      </c>
      <c r="R153" s="20">
        <f>Z153/(AB153+AD153+AC153)</f>
        <v/>
      </c>
      <c r="S153" s="18" t="inlineStr">
        <is>
          <t>视频</t>
        </is>
      </c>
      <c r="T153" s="21" t="n">
        <v>0.84</v>
      </c>
      <c r="U153" s="21" t="n">
        <v>0.35</v>
      </c>
      <c r="V153" s="21" t="n">
        <v>0.46</v>
      </c>
      <c r="W153" s="21" t="n">
        <v>0.03</v>
      </c>
      <c r="X153" s="18" t="n"/>
      <c r="Y153" s="18" t="n"/>
      <c r="Z153" s="18" t="n">
        <v>58000</v>
      </c>
      <c r="AA153" s="154">
        <f>SUM((Z153/P153)*1000)</f>
        <v/>
      </c>
      <c r="AB153" s="18" t="n">
        <v>22000</v>
      </c>
      <c r="AC153" s="18" t="n">
        <v>130</v>
      </c>
      <c r="AD153" s="18" t="n">
        <v>441</v>
      </c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</row>
    <row r="154">
      <c r="A154" s="18" t="n"/>
      <c r="B154" s="18" t="inlineStr">
        <is>
          <t>ok</t>
        </is>
      </c>
      <c r="C154" s="18" t="n"/>
      <c r="D154" s="18" t="inlineStr">
        <is>
          <t>电商</t>
        </is>
      </c>
      <c r="E154" s="32" t="inlineStr">
        <is>
          <t>人群匹配合适，场景干净明亮</t>
        </is>
      </c>
      <c r="F154" s="18" t="inlineStr">
        <is>
          <t xml:space="preserve">
是大宝的家吖</t>
        </is>
      </c>
      <c r="G154" s="18" t="inlineStr">
        <is>
          <t>https://www.xingtu.cn/ad/creator/author-homepage/douyin-video/7165647277933985825?market_track_id=77K7OT6KHM36OOHV8ROB&amp;search_session_id=7615139118062092298&amp;possessStarId&amp;active_tab=content_performance&amp;active_module=.content-video-list-panel&amp;content_key_word=%E6%B2%B9%E7%83%9F%E6%9C%BA</t>
        </is>
      </c>
      <c r="H154" s="18" t="inlineStr">
        <is>
          <t>https://www.douyin.com/user/MS4wLjABAAAACtgEdFXImTysoKNBtymQvAFIpFUR1girZ-l6HWP7_JaZeR8_4AoYkHtonTFqCcYx</t>
        </is>
      </c>
      <c r="I154" s="18" t="inlineStr">
        <is>
          <t>bao033261</t>
        </is>
      </c>
      <c r="J154" s="18" t="inlineStr">
        <is>
          <t>家居</t>
        </is>
      </c>
      <c r="K154" s="18" t="inlineStr">
        <is>
          <t>尾部</t>
        </is>
      </c>
      <c r="L154" s="18" t="n">
        <v>26</v>
      </c>
      <c r="M154" s="18" t="inlineStr">
        <is>
          <t>150-2000</t>
        </is>
      </c>
      <c r="N154" s="18" t="inlineStr">
        <is>
          <t>新锐白领
小镇青年
精致妈妈</t>
        </is>
      </c>
      <c r="O154" s="21" t="n">
        <v>0.48</v>
      </c>
      <c r="P154" s="18" t="n">
        <v>342000</v>
      </c>
      <c r="Q154" s="18">
        <f>SUM(Z154*1.05)</f>
        <v/>
      </c>
      <c r="R154" s="20">
        <f>Z154/(AB154+AD154+AC154)</f>
        <v/>
      </c>
      <c r="S154" s="18" t="inlineStr">
        <is>
          <t>视频</t>
        </is>
      </c>
      <c r="T154" s="21" t="n">
        <v>0.59</v>
      </c>
      <c r="U154" s="21" t="n">
        <v>0.3</v>
      </c>
      <c r="V154" s="21" t="n">
        <v>0.44</v>
      </c>
      <c r="W154" s="21" t="n">
        <v>0.12</v>
      </c>
      <c r="X154" s="18" t="n"/>
      <c r="Y154" s="18" t="n"/>
      <c r="Z154" s="18" t="n">
        <v>23800</v>
      </c>
      <c r="AA154" s="154">
        <f>SUM((Z154/P154)*1000)</f>
        <v/>
      </c>
      <c r="AB154" s="22" t="n">
        <v>2942</v>
      </c>
      <c r="AC154" s="18" t="n">
        <v>426</v>
      </c>
      <c r="AD154" s="18" t="n">
        <v>224</v>
      </c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</row>
    <row r="155">
      <c r="A155" s="18" t="n"/>
      <c r="B155" s="18" t="inlineStr">
        <is>
          <t>场景太偏，A3 也不好，人群也不标准</t>
        </is>
      </c>
      <c r="C155" s="18" t="n"/>
      <c r="D155" s="18" t="inlineStr">
        <is>
          <t>品牌</t>
        </is>
      </c>
      <c r="E155" s="32" t="n"/>
      <c r="F155" s="18" t="inlineStr">
        <is>
          <t>温温半宅日记</t>
        </is>
      </c>
      <c r="G155" s="18" t="inlineStr">
        <is>
          <t>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</t>
        </is>
      </c>
      <c r="H155" s="18" t="inlineStr">
        <is>
          <t>https://www.douyin.com/user/MS4wLjABAAAArUV5HctAWlnVc-augz__U2D--90a2UMmw9oiziP91Fw</t>
        </is>
      </c>
      <c r="I155" s="18" t="inlineStr">
        <is>
          <t>RICHWen1231</t>
        </is>
      </c>
      <c r="J155" s="18" t="inlineStr">
        <is>
          <t>家居</t>
        </is>
      </c>
      <c r="K155" s="18" t="inlineStr">
        <is>
          <t>腰部</t>
        </is>
      </c>
      <c r="L155" s="18" t="n">
        <v>141</v>
      </c>
      <c r="M155" s="18" t="n"/>
      <c r="N155" s="18" t="n"/>
      <c r="O155" s="18" t="n"/>
      <c r="P155" s="18" t="n"/>
      <c r="Q155" s="18" t="n"/>
      <c r="R155" s="20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54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</row>
    <row r="156">
      <c r="A156" s="18" t="n"/>
      <c r="B156" s="18" t="inlineStr">
        <is>
          <t>调性不符且人群太下沉</t>
        </is>
      </c>
      <c r="C156" s="18" t="n"/>
      <c r="D156" s="18" t="inlineStr">
        <is>
          <t>品牌</t>
        </is>
      </c>
      <c r="E156" s="32" t="n"/>
      <c r="F156" s="18" t="inlineStr">
        <is>
          <t>范奶奶向前冲（婆媳）</t>
        </is>
      </c>
      <c r="G156" s="18" t="inlineStr">
        <is>
          <t>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</t>
        </is>
      </c>
      <c r="H156" s="18" t="inlineStr">
        <is>
          <t>https://www.douyin.com/user/MS4wLjABAAAAiN15qBuxq9JWH-8-zX4vmzMSSPoRvRUcOQze7Z3ORzs</t>
        </is>
      </c>
      <c r="I156" s="18" t="n">
        <v>73025786001</v>
      </c>
      <c r="J156" s="18" t="inlineStr">
        <is>
          <t>美食</t>
        </is>
      </c>
      <c r="K156" s="18" t="inlineStr">
        <is>
          <t>尾部</t>
        </is>
      </c>
      <c r="L156" s="18" t="n">
        <v>22</v>
      </c>
      <c r="M156" s="18" t="n"/>
      <c r="N156" s="18" t="n"/>
      <c r="O156" s="18" t="n"/>
      <c r="P156" s="18" t="n"/>
      <c r="Q156" s="18" t="n"/>
      <c r="R156" s="20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54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</row>
    <row r="157">
      <c r="A157" s="37" t="n"/>
      <c r="B157" s="37" t="inlineStr">
        <is>
          <t>ok</t>
        </is>
      </c>
      <c r="C157" s="37" t="n"/>
      <c r="D157" s="37" t="inlineStr">
        <is>
          <t>品牌</t>
        </is>
      </c>
      <c r="E157" s="38" t="inlineStr">
        <is>
          <t>人群符合</t>
        </is>
      </c>
      <c r="F157" s="37" t="inlineStr">
        <is>
          <t>跃层顾二叔</t>
        </is>
      </c>
      <c r="G157" s="37" t="inlineStr">
        <is>
          <t>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</t>
        </is>
      </c>
      <c r="H157" s="37" t="inlineStr">
        <is>
          <t>https://www.douyin.com/user/MS4wLjABAAAAw62OndX7mTNjejKQRh6SQYU_9TjuHI_GsCqDZCEiz9c</t>
        </is>
      </c>
      <c r="I157" s="37" t="inlineStr">
        <is>
          <t>ershulaile</t>
        </is>
      </c>
      <c r="J157" s="37" t="inlineStr">
        <is>
          <t>家居</t>
        </is>
      </c>
      <c r="K157" s="37" t="inlineStr">
        <is>
          <t>腰部</t>
        </is>
      </c>
      <c r="L157" s="37" t="n">
        <v>100</v>
      </c>
      <c r="M157" s="37" t="inlineStr">
        <is>
          <t>150-2000</t>
        </is>
      </c>
      <c r="N157" s="37" t="inlineStr">
        <is>
          <t>新锐白领
小镇青年
精致妈妈</t>
        </is>
      </c>
      <c r="O157" s="41" t="n">
        <v>0.41</v>
      </c>
      <c r="P157" s="37" t="n">
        <v>341000</v>
      </c>
      <c r="Q157" s="37">
        <f>SUM(Z157*1.05)</f>
        <v/>
      </c>
      <c r="R157" s="40">
        <f>Z157/(AB157+AD157+AC157)</f>
        <v/>
      </c>
      <c r="S157" s="37" t="inlineStr">
        <is>
          <t>视频</t>
        </is>
      </c>
      <c r="T157" s="41" t="n">
        <v>0.76</v>
      </c>
      <c r="U157" s="41" t="n">
        <v>0.27</v>
      </c>
      <c r="V157" s="41" t="n">
        <v>0.4</v>
      </c>
      <c r="W157" s="41" t="n">
        <v>0.1</v>
      </c>
      <c r="X157" s="37" t="n"/>
      <c r="Y157" s="37" t="n"/>
      <c r="Z157" s="37" t="n">
        <v>26800</v>
      </c>
      <c r="AA157" s="157">
        <f>SUM((Z157/P157)*1000)</f>
        <v/>
      </c>
      <c r="AB157" s="37" t="n">
        <v>11000</v>
      </c>
      <c r="AC157" s="37" t="n">
        <v>104</v>
      </c>
      <c r="AD157" s="37" t="n">
        <v>392</v>
      </c>
      <c r="AE157" s="37" t="n"/>
      <c r="AF157" s="37" t="n"/>
      <c r="AG157" s="37" t="n"/>
      <c r="AH157" s="37" t="n"/>
      <c r="AI157" s="37" t="n"/>
      <c r="AJ157" s="37" t="n"/>
      <c r="AK157" s="37" t="n"/>
      <c r="AL157" s="37" t="n"/>
      <c r="AM157" s="37" t="n"/>
      <c r="AN157" s="37" t="n"/>
      <c r="AO157" s="37" t="n"/>
      <c r="AP157" s="37" t="n"/>
      <c r="AQ157" s="43" t="n"/>
      <c r="AR157" s="43" t="n"/>
    </row>
    <row r="158" ht="24.75" customHeight="1" s="151">
      <c r="A158" s="71" t="n">
        <v>46091</v>
      </c>
      <c r="B158" s="37" t="inlineStr">
        <is>
          <t>ok</t>
        </is>
      </c>
      <c r="C158" s="37" t="n"/>
      <c r="D158" s="37" t="inlineStr">
        <is>
          <t>品牌</t>
        </is>
      </c>
      <c r="E158" s="38" t="inlineStr">
        <is>
          <t>自己设计的第一套房子
95后对抗路情侣的备婚生活</t>
        </is>
      </c>
      <c r="F158" s="37" t="inlineStr">
        <is>
          <t>生活主理人杨杨</t>
        </is>
      </c>
      <c r="G158" s="37" t="inlineStr">
        <is>
          <t>https://www.xingtu.cn/ad/creator/author-homepage/douyin-video/7215526602636001283?market_track_id=2HPQ3HRNLPZF3O2NNCPK&amp;search_session_id=7615456741454544923&amp;possessStarId</t>
        </is>
      </c>
      <c r="H158" s="37" t="inlineStr">
        <is>
          <t>https://www.douyin.com/user/MS4wLjABAAAAvLnzMrcSjaXfkhP2RsN54q3z2FdcxAf-CCFnJ9PrfMM</t>
        </is>
      </c>
      <c r="I158" s="37" t="inlineStr">
        <is>
          <t>BY666520BY</t>
        </is>
      </c>
      <c r="J158" s="37" t="inlineStr">
        <is>
          <t>家居</t>
        </is>
      </c>
      <c r="K158" s="37" t="inlineStr">
        <is>
          <t>腰部</t>
        </is>
      </c>
      <c r="L158" s="37" t="n">
        <v>94.8</v>
      </c>
      <c r="M158" s="37" t="inlineStr">
        <is>
          <t>2000-20000</t>
        </is>
      </c>
      <c r="N158" s="37" t="inlineStr">
        <is>
          <t>新锐白领
精致妈妈
小镇青年</t>
        </is>
      </c>
      <c r="O158" s="41" t="n">
        <v>0.82</v>
      </c>
      <c r="P158" s="37" t="n">
        <v>1748000</v>
      </c>
      <c r="Q158" s="37">
        <f>SUM(Z158*1.05)</f>
        <v/>
      </c>
      <c r="R158" s="40">
        <f>Z158/(AB158+AD158+AC158)</f>
        <v/>
      </c>
      <c r="S158" s="37" t="inlineStr">
        <is>
          <t>视频</t>
        </is>
      </c>
      <c r="T158" s="41" t="n">
        <v>0.58</v>
      </c>
      <c r="U158" s="41" t="n">
        <v>0.33</v>
      </c>
      <c r="V158" s="41" t="n">
        <v>0.49</v>
      </c>
      <c r="W158" s="41" t="n">
        <v>0.05</v>
      </c>
      <c r="X158" s="37" t="n"/>
      <c r="Y158" s="37" t="n"/>
      <c r="Z158" s="37" t="n">
        <v>50000</v>
      </c>
      <c r="AA158" s="157">
        <f>SUM((Z158/P158)*1000)</f>
        <v/>
      </c>
      <c r="AB158" s="37" t="n">
        <v>28000</v>
      </c>
      <c r="AC158" s="37" t="n">
        <v>212</v>
      </c>
      <c r="AD158" s="37" t="n">
        <v>80</v>
      </c>
      <c r="AE158" s="37" t="n"/>
      <c r="AF158" s="37" t="n"/>
      <c r="AG158" s="37" t="n"/>
      <c r="AH158" s="37" t="n"/>
      <c r="AI158" s="37" t="n"/>
      <c r="AJ158" s="37" t="n"/>
      <c r="AK158" s="37" t="n"/>
      <c r="AL158" s="37" t="n"/>
      <c r="AM158" s="37" t="n"/>
      <c r="AN158" s="37" t="n"/>
      <c r="AO158" s="37" t="n"/>
      <c r="AP158" s="37" t="n"/>
      <c r="AQ158" s="43" t="n"/>
      <c r="AR158" s="43" t="n"/>
    </row>
    <row r="159">
      <c r="A159" s="17" t="n">
        <v>46091</v>
      </c>
      <c r="B159" s="18" t="inlineStr">
        <is>
          <t>ok</t>
        </is>
      </c>
      <c r="C159" s="18" t="n"/>
      <c r="D159" s="18" t="inlineStr">
        <is>
          <t>品牌</t>
        </is>
      </c>
      <c r="E159" s="32" t="inlineStr">
        <is>
          <t>脑洞大开的创意改造</t>
        </is>
      </c>
      <c r="F159" s="18" t="inlineStr">
        <is>
          <t>大大的脑洞</t>
        </is>
      </c>
      <c r="G159" s="18" t="inlineStr">
        <is>
          <t>https://www.xingtu.cn/ad/creator/author-homepage/douyin-video/6998453239444144141?market_track_id=2HPQ3HRNLPZF3O2NNCPK&amp;search_session_id=7615457725783031846&amp;possessStarId</t>
        </is>
      </c>
      <c r="H159" s="18" t="inlineStr">
        <is>
          <t>https://www.douyin.com/user/MS4wLjABAAAAxDMwGMy1oT3v6eKuMUTM4VvK7NUngdr1aCUmI6-42MA</t>
        </is>
      </c>
      <c r="I159" s="18" t="inlineStr">
        <is>
          <t>ddyy7071573</t>
        </is>
      </c>
      <c r="J159" s="18" t="inlineStr">
        <is>
          <t>家居</t>
        </is>
      </c>
      <c r="K159" s="18" t="inlineStr">
        <is>
          <t>尾部</t>
        </is>
      </c>
      <c r="L159" s="18" t="n">
        <v>39</v>
      </c>
      <c r="M159" s="18" t="inlineStr">
        <is>
          <t>150-2000</t>
        </is>
      </c>
      <c r="N159" s="18" t="inlineStr">
        <is>
          <t>新锐白领
小镇青年
资深中产</t>
        </is>
      </c>
      <c r="O159" s="21" t="n">
        <v>0.6</v>
      </c>
      <c r="P159" s="18" t="n">
        <v>1917000</v>
      </c>
      <c r="Q159" s="18">
        <f>SUM(Z159*1.05)</f>
        <v/>
      </c>
      <c r="R159" s="20">
        <f>Z159/(AB159+AD159+AC159)</f>
        <v/>
      </c>
      <c r="S159" s="18" t="inlineStr">
        <is>
          <t>视频</t>
        </is>
      </c>
      <c r="T159" s="21" t="n">
        <v>0.4</v>
      </c>
      <c r="U159" s="21" t="n">
        <v>0.2</v>
      </c>
      <c r="V159" s="21" t="n">
        <v>0.58</v>
      </c>
      <c r="W159" s="21" t="n">
        <v>0.16</v>
      </c>
      <c r="X159" s="18" t="n"/>
      <c r="Y159" s="18" t="n"/>
      <c r="Z159" s="18" t="n">
        <v>30000</v>
      </c>
      <c r="AA159" s="154">
        <f>SUM((Z159/P159)*1000)</f>
        <v/>
      </c>
      <c r="AB159" s="18" t="n">
        <v>46000</v>
      </c>
      <c r="AC159" s="18" t="n">
        <v>1605</v>
      </c>
      <c r="AD159" s="18" t="n">
        <v>17000</v>
      </c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</row>
    <row r="160">
      <c r="A160" s="17" t="n">
        <v>46091</v>
      </c>
      <c r="B160" s="18" t="inlineStr">
        <is>
          <t>场景太远</t>
        </is>
      </c>
      <c r="C160" s="18" t="n"/>
      <c r="D160" s="18" t="inlineStr">
        <is>
          <t>品牌</t>
        </is>
      </c>
      <c r="E160" s="32" t="n"/>
      <c r="F160" s="18" t="inlineStr">
        <is>
          <t xml:space="preserve">
温温半宅日记</t>
        </is>
      </c>
      <c r="G160" s="18" t="inlineStr">
        <is>
          <t>https://www.xingtu.cn/ad/creator/author-homepage/douyin-video/6629666241705410573?market_track_id=84IXJ55RHDHQ8YK07AR1&amp;search_session_id=7615523856413081609&amp;possessStarId&amp;active_tab=content_performance&amp;active_module=.content-video-list-panel&amp;content_key_word=%E6%B2%B9%E7%83%9F%E6%9C%BA</t>
        </is>
      </c>
      <c r="H160" s="18" t="inlineStr">
        <is>
          <t>https://www.douyin.com/user/MS4wLjABAAAArUV5HctAWlnVc-augz__U2D--90a2UMmw9oiziP91Fw</t>
        </is>
      </c>
      <c r="I160" s="18" t="inlineStr">
        <is>
          <t>RICHWen1231</t>
        </is>
      </c>
      <c r="J160" s="18" t="inlineStr">
        <is>
          <t>家居</t>
        </is>
      </c>
      <c r="K160" s="18" t="inlineStr">
        <is>
          <t>腰部</t>
        </is>
      </c>
      <c r="L160" s="18" t="n">
        <v>141</v>
      </c>
      <c r="M160" s="18" t="inlineStr">
        <is>
          <t>150-2000</t>
        </is>
      </c>
      <c r="N160" s="18" t="inlineStr">
        <is>
          <t>新锐白领
精致妈妈
小镇青年</t>
        </is>
      </c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</row>
    <row r="161" ht="24.75" customHeight="1" s="151">
      <c r="A161" s="17" t="n">
        <v>46091</v>
      </c>
      <c r="B161" s="18" t="inlineStr">
        <is>
          <t>ok</t>
        </is>
      </c>
      <c r="C161" s="18" t="n"/>
      <c r="D161" s="18" t="inlineStr">
        <is>
          <t>品牌</t>
        </is>
      </c>
      <c r="E161" s="32" t="inlineStr">
        <is>
          <t>退役舞蹈演员的宅家日记
一间正在软装的180㎡江景大平层</t>
        </is>
      </c>
      <c r="F161" s="18" t="inlineStr">
        <is>
          <t xml:space="preserve">
Jane的生活日记</t>
        </is>
      </c>
      <c r="G161" s="18" t="inlineStr">
        <is>
          <t>https://www.xingtu.cn/ad/creator/author-homepage/douyin-video/6865243178899865613?market_track_id=2HPQ3HRNLPZF3O2NNCPK&amp;search_session_id=7615457725783031846&amp;possessStarId</t>
        </is>
      </c>
      <c r="H161" s="18" t="inlineStr">
        <is>
          <t>https://www.douyin.com/user/MS4wLjABAAAAf_goQR48e315TNYn713YZygAzYX2u8HbrZqKl0J9wJY</t>
        </is>
      </c>
      <c r="I161" s="18" t="inlineStr">
        <is>
          <t>yiyi1315</t>
        </is>
      </c>
      <c r="J161" s="18" t="inlineStr">
        <is>
          <t>家居</t>
        </is>
      </c>
      <c r="K161" s="18" t="inlineStr">
        <is>
          <t>尾部</t>
        </is>
      </c>
      <c r="L161" s="18" t="n">
        <v>106</v>
      </c>
      <c r="M161" s="18" t="inlineStr">
        <is>
          <t>2000-20000</t>
        </is>
      </c>
      <c r="N161" s="18" t="inlineStr">
        <is>
          <t>精致妈妈
资深中产
新锐白领</t>
        </is>
      </c>
      <c r="O161" s="21" t="n">
        <v>0.75</v>
      </c>
      <c r="P161" s="18" t="n">
        <v>1933000</v>
      </c>
      <c r="Q161" s="18">
        <f>SUM(Z161*1.05)</f>
        <v/>
      </c>
      <c r="R161" s="20">
        <f>Z161/(AB161+AD161+AC161)</f>
        <v/>
      </c>
      <c r="S161" s="18" t="inlineStr">
        <is>
          <t>视频</t>
        </is>
      </c>
      <c r="T161" s="21" t="n">
        <v>0.8</v>
      </c>
      <c r="U161" s="21" t="n">
        <v>0.22</v>
      </c>
      <c r="V161" s="21" t="n">
        <v>0.39</v>
      </c>
      <c r="W161" s="21" t="n">
        <v>0.22</v>
      </c>
      <c r="X161" s="18" t="n"/>
      <c r="Y161" s="18" t="n"/>
      <c r="Z161" s="18" t="n">
        <v>68000</v>
      </c>
      <c r="AA161" s="154">
        <f>SUM((Z161/P161)*1000)</f>
        <v/>
      </c>
      <c r="AB161" s="18" t="n">
        <v>15000</v>
      </c>
      <c r="AC161" s="18" t="n">
        <v>101</v>
      </c>
      <c r="AD161" s="18" t="n">
        <v>103</v>
      </c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</row>
    <row r="162" ht="24.75" customHeight="1" s="151">
      <c r="A162" s="71" t="n">
        <v>46091</v>
      </c>
      <c r="B162" s="37" t="inlineStr">
        <is>
          <t>ok</t>
        </is>
      </c>
      <c r="C162" s="37" t="n"/>
      <c r="D162" s="37" t="inlineStr">
        <is>
          <t>品牌</t>
        </is>
      </c>
      <c r="E162" s="38" t="inlineStr">
        <is>
          <t xml:space="preserve">装修经验 Ⅰ 家居好物 Ⅰ 智能家电 Ⅰ 生活小技巧 </t>
        </is>
      </c>
      <c r="F162" s="37" t="inlineStr">
        <is>
          <t>虫儿的家</t>
        </is>
      </c>
      <c r="G162" s="37" t="inlineStr">
        <is>
          <t>https://www.xingtu.cn/ad/creator/author-homepage/douyin-video/7284525791256412216?market_track_id=2HPQ3HRNLPZF3O2NNCPK&amp;search_session_id=7615457725783031846&amp;possessStarId</t>
        </is>
      </c>
      <c r="H162" s="37" t="inlineStr">
        <is>
          <t>https://www.douyin.com/user/MS4wLjABAAAAE02CEEZR-G8X-daREUFZiMOepruk8UmM1XuGjYLEm1Iq_aUvDbhnHG8wsz-x5kYZ</t>
        </is>
      </c>
      <c r="I162" s="37" t="inlineStr">
        <is>
          <t>lccdj668jy</t>
        </is>
      </c>
      <c r="J162" s="37" t="inlineStr">
        <is>
          <t>家居</t>
        </is>
      </c>
      <c r="K162" s="37" t="inlineStr">
        <is>
          <t>尾部</t>
        </is>
      </c>
      <c r="L162" s="37" t="n">
        <v>30.7</v>
      </c>
      <c r="M162" s="37" t="inlineStr">
        <is>
          <t>2000-20000</t>
        </is>
      </c>
      <c r="N162" s="37" t="inlineStr">
        <is>
          <t>新锐白领
小镇青年
精致妈妈</t>
        </is>
      </c>
      <c r="O162" s="41" t="n">
        <v>0.58</v>
      </c>
      <c r="P162" s="37" t="n">
        <v>1199000</v>
      </c>
      <c r="Q162" s="37">
        <f>SUM(Z162*1.05)</f>
        <v/>
      </c>
      <c r="R162" s="40">
        <f>Z162/(AB162+AD162+AC162)</f>
        <v/>
      </c>
      <c r="S162" s="37" t="inlineStr">
        <is>
          <t>视频</t>
        </is>
      </c>
      <c r="T162" s="41" t="n">
        <v>0.58</v>
      </c>
      <c r="U162" s="41" t="n">
        <v>0.35</v>
      </c>
      <c r="V162" s="41" t="n">
        <v>0.48</v>
      </c>
      <c r="W162" s="41" t="n">
        <v>0.03</v>
      </c>
      <c r="X162" s="37" t="n"/>
      <c r="Y162" s="37" t="n"/>
      <c r="Z162" s="37" t="n">
        <v>23800</v>
      </c>
      <c r="AA162" s="157">
        <f>SUM((Z162/P162)*1000)</f>
        <v/>
      </c>
      <c r="AB162" s="70" t="n">
        <v>1163</v>
      </c>
      <c r="AC162" s="37" t="n">
        <v>213</v>
      </c>
      <c r="AD162" s="37" t="n">
        <v>652</v>
      </c>
      <c r="AE162" s="37" t="n"/>
      <c r="AF162" s="37" t="n"/>
      <c r="AG162" s="37" t="n"/>
      <c r="AH162" s="37" t="n"/>
      <c r="AI162" s="37" t="n"/>
      <c r="AJ162" s="37" t="n"/>
      <c r="AK162" s="37" t="n"/>
      <c r="AL162" s="37" t="n"/>
      <c r="AM162" s="37" t="n"/>
      <c r="AN162" s="37" t="n"/>
      <c r="AO162" s="37" t="n"/>
      <c r="AP162" s="37" t="n"/>
      <c r="AQ162" s="43" t="n"/>
      <c r="AR162" s="43" t="n"/>
    </row>
    <row r="163">
      <c r="A163" s="71" t="n">
        <v>46091</v>
      </c>
      <c r="B163" s="37" t="inlineStr">
        <is>
          <t>下沉</t>
        </is>
      </c>
      <c r="C163" s="37" t="n"/>
      <c r="D163" s="37" t="inlineStr">
        <is>
          <t>品牌</t>
        </is>
      </c>
      <c r="E163" s="38" t="n"/>
      <c r="F163" s="37" t="inlineStr">
        <is>
          <t xml:space="preserve">
西米好宅</t>
        </is>
      </c>
      <c r="G163" s="37" t="inlineStr">
        <is>
          <t>https://www.xingtu.cn/ad/creator/author-homepage/douyin-video/6870170334209769479?market_track_id=2HPQ3HRNLPZF3O2NNCPK&amp;search_session_id=7615457725783031846&amp;possessStarId</t>
        </is>
      </c>
      <c r="H163" s="37" t="inlineStr">
        <is>
          <t>https://www.douyin.com/user/MS4wLjABAAAAsvKZAG9tg8xDWUM7kYrWLBjCK9xzFPoY5mHwGl2nd4Na-EHLIOqis9AKbu5RITbY</t>
        </is>
      </c>
      <c r="I163" s="37" t="inlineStr">
        <is>
          <t>ximihaozhai</t>
        </is>
      </c>
      <c r="J163" s="37" t="inlineStr">
        <is>
          <t>家居</t>
        </is>
      </c>
      <c r="K163" s="37" t="inlineStr">
        <is>
          <t>腰部</t>
        </is>
      </c>
      <c r="L163" s="37" t="n">
        <v>98</v>
      </c>
      <c r="M163" s="37" t="inlineStr">
        <is>
          <t>2000-20000</t>
        </is>
      </c>
      <c r="N163" s="37" t="inlineStr">
        <is>
          <t>新锐白领
小镇青年
Z世代</t>
        </is>
      </c>
      <c r="O163" s="41" t="n">
        <v>0.52</v>
      </c>
      <c r="P163" s="37" t="n">
        <v>3730000</v>
      </c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  <c r="AC163" s="37" t="n"/>
      <c r="AD163" s="37" t="n"/>
      <c r="AE163" s="37" t="n"/>
      <c r="AF163" s="37" t="n"/>
      <c r="AG163" s="37" t="n"/>
      <c r="AH163" s="37" t="n"/>
      <c r="AI163" s="37" t="n"/>
      <c r="AJ163" s="37" t="n"/>
      <c r="AK163" s="37" t="n"/>
      <c r="AL163" s="37" t="n"/>
      <c r="AM163" s="37" t="n"/>
      <c r="AN163" s="37" t="n"/>
      <c r="AO163" s="37" t="n"/>
      <c r="AP163" s="37" t="n"/>
      <c r="AQ163" s="43" t="n"/>
      <c r="AR163" s="43" t="n"/>
    </row>
    <row r="164" ht="37.15" customHeight="1" s="151">
      <c r="A164" s="72" t="n">
        <v>46091</v>
      </c>
      <c r="B164" s="53" t="inlineStr">
        <is>
          <t>ok</t>
        </is>
      </c>
      <c r="C164" s="53" t="n"/>
      <c r="D164" s="53" t="inlineStr">
        <is>
          <t>电商</t>
        </is>
      </c>
      <c r="E164" s="54" t="inlineStr">
        <is>
          <t xml:space="preserve"> 极简中古风 👩🏻‍❤️‍💋‍👨🏻00后艺术生｜90后理工男｜无娃两猫 💞家居好物｜装修干货｜避坑指南</t>
        </is>
      </c>
      <c r="F164" s="53" t="inlineStr">
        <is>
          <t>老王小刘的家</t>
        </is>
      </c>
      <c r="G164" s="53" t="inlineStr">
        <is>
          <t>https://www.xingtu.cn/ad/creator/author-homepage/douyin-video/7426413901488586762?market_track_id=7XTIV3268V2E8E5IT2EH&amp;search_session_id=7615462866862456883&amp;possessStarId</t>
        </is>
      </c>
      <c r="H164" s="53" t="inlineStr">
        <is>
          <t>https://www.douyin.com/user/MS4wLjABAAAA5ieCblRPwqy05p0W7-LUJsdt7jAFeDvq7__8Q6vLnW_TL-Vt3BjQ8lbCn6xwVik9</t>
        </is>
      </c>
      <c r="I164" s="53" t="inlineStr">
        <is>
          <t>LWXL0001</t>
        </is>
      </c>
      <c r="J164" s="53" t="inlineStr">
        <is>
          <t>家居</t>
        </is>
      </c>
      <c r="K164" s="53" t="inlineStr">
        <is>
          <t>尾部</t>
        </is>
      </c>
      <c r="L164" s="53" t="n">
        <v>23.5</v>
      </c>
      <c r="M164" s="53" t="inlineStr">
        <is>
          <t>2000-20000</t>
        </is>
      </c>
      <c r="N164" s="53" t="inlineStr">
        <is>
          <t>新锐白领
小镇青年
精致妈妈</t>
        </is>
      </c>
      <c r="O164" s="56" t="n">
        <v>0.46</v>
      </c>
      <c r="P164" s="53" t="n">
        <v>380000</v>
      </c>
      <c r="Q164" s="53">
        <f>SUM(Z164*1.05)</f>
        <v/>
      </c>
      <c r="R164" s="55">
        <f>Z164/(AB164+AD164+AC164)</f>
        <v/>
      </c>
      <c r="S164" s="53" t="inlineStr">
        <is>
          <t>视频</t>
        </is>
      </c>
      <c r="T164" s="56" t="n">
        <v>0.55</v>
      </c>
      <c r="U164" s="56" t="n">
        <v>0.33</v>
      </c>
      <c r="V164" s="56" t="n">
        <v>0.34</v>
      </c>
      <c r="W164" s="56" t="n">
        <v>0.07000000000000001</v>
      </c>
      <c r="X164" s="53" t="n"/>
      <c r="Y164" s="53" t="n"/>
      <c r="Z164" s="53" t="n">
        <v>19800</v>
      </c>
      <c r="AA164" s="160">
        <f>SUM((Z164/P164)*1000)</f>
        <v/>
      </c>
      <c r="AB164" s="69" t="n">
        <v>5023</v>
      </c>
      <c r="AC164" s="53" t="n">
        <v>293</v>
      </c>
      <c r="AD164" s="53" t="n">
        <v>8587</v>
      </c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7" t="n"/>
      <c r="AR164" s="57" t="n"/>
    </row>
    <row r="165">
      <c r="A165" s="71" t="n">
        <v>46091</v>
      </c>
      <c r="B165" s="37" t="inlineStr">
        <is>
          <t>年龄太下沉</t>
        </is>
      </c>
      <c r="C165" s="37" t="n"/>
      <c r="D165" s="37" t="inlineStr">
        <is>
          <t>品牌</t>
        </is>
      </c>
      <c r="E165" s="38" t="n"/>
      <c r="F165" s="37" t="inlineStr">
        <is>
          <t>徐志麻手</t>
        </is>
      </c>
      <c r="G165" s="37" t="inlineStr">
        <is>
          <t>https://www.xingtu.cn/ad/creator/author-homepage/douyin-video/6870163502879735815?market_track_id=7XTIV3268V2E8E5IT2EH&amp;search_session_id=7615463195943927858&amp;possessStarId</t>
        </is>
      </c>
      <c r="H165" s="37" t="inlineStr">
        <is>
          <t>https://www.douyin.com/user/MS4wLjABAAAATWFDIem4wHJK5WvRisrwahjXdK1bD_lsJ6ptOhWcZ24</t>
        </is>
      </c>
      <c r="I165" s="37" t="inlineStr">
        <is>
          <t>xuzhimo891021</t>
        </is>
      </c>
      <c r="J165" s="37" t="inlineStr">
        <is>
          <t>家居</t>
        </is>
      </c>
      <c r="K165" s="37" t="inlineStr">
        <is>
          <t>尾部</t>
        </is>
      </c>
      <c r="L165" s="37" t="n">
        <v>49</v>
      </c>
      <c r="M165" s="37" t="inlineStr">
        <is>
          <t>150-2000</t>
        </is>
      </c>
      <c r="N165" s="37" t="inlineStr">
        <is>
          <t>新锐白领
小镇青年
精致妈妈</t>
        </is>
      </c>
      <c r="O165" s="41" t="n">
        <v>0.42</v>
      </c>
      <c r="P165" s="37" t="n">
        <v>1607000</v>
      </c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  <c r="AC165" s="37" t="n"/>
      <c r="AD165" s="37" t="n"/>
      <c r="AE165" s="37" t="n"/>
      <c r="AF165" s="37" t="n"/>
      <c r="AG165" s="37" t="n"/>
      <c r="AH165" s="37" t="n"/>
      <c r="AI165" s="37" t="n"/>
      <c r="AJ165" s="37" t="n"/>
      <c r="AK165" s="37" t="n"/>
      <c r="AL165" s="37" t="n"/>
      <c r="AM165" s="37" t="n"/>
      <c r="AN165" s="37" t="n"/>
      <c r="AO165" s="37" t="n"/>
      <c r="AP165" s="37" t="n"/>
      <c r="AQ165" s="43" t="n"/>
      <c r="AR165" s="43" t="n"/>
    </row>
    <row r="166" ht="51" customHeight="1" s="151">
      <c r="A166" s="17" t="n">
        <v>46091</v>
      </c>
      <c r="B166" s="18" t="inlineStr">
        <is>
          <t>ok</t>
        </is>
      </c>
      <c r="C166" s="18" t="n"/>
      <c r="D166" s="18" t="inlineStr">
        <is>
          <t>电商</t>
        </is>
      </c>
      <c r="E166" s="32" t="inlineStr">
        <is>
          <t>https://www.xingtu.cn/ad/creator/insight/hot-video-detail/7549408530558700810 小米中央空调数据比平均值高出很多</t>
        </is>
      </c>
      <c r="F166" s="18" t="inlineStr">
        <is>
          <t>珂珂子（居家版）</t>
        </is>
      </c>
      <c r="G166" s="18" t="inlineStr">
        <is>
          <t>https://www.xingtu.cn/ad/creator/author-homepage/douyin-video/6852091331976626183?market_track_id=7XTIV3268V2E8E5IT2EH&amp;search_session_id=7615463195943927858&amp;possessStarId</t>
        </is>
      </c>
      <c r="H166" s="18" t="inlineStr">
        <is>
          <t>https://www.douyin.com/user/MS4wLjABAAAAppOS4DJ7fr7JBzuEkyD4Eb71j0RvJi2pzQ1RA8i0YUU</t>
        </is>
      </c>
      <c r="I166" s="18" t="n">
        <v>182806313</v>
      </c>
      <c r="J166" s="18" t="inlineStr">
        <is>
          <t>家居</t>
        </is>
      </c>
      <c r="K166" s="18" t="inlineStr">
        <is>
          <t>尾部</t>
        </is>
      </c>
      <c r="L166" s="18" t="n">
        <v>104</v>
      </c>
      <c r="M166" s="18" t="inlineStr">
        <is>
          <t>2000-20000</t>
        </is>
      </c>
      <c r="N166" s="18" t="inlineStr">
        <is>
          <t>小镇青年
新锐白领
精致妈妈</t>
        </is>
      </c>
      <c r="O166" s="21" t="n">
        <v>0.46</v>
      </c>
      <c r="P166" s="18" t="n">
        <v>1128000</v>
      </c>
      <c r="Q166" s="18">
        <f>SUM(Z166*1.05)</f>
        <v/>
      </c>
      <c r="R166" s="20">
        <f>Z166/(AB166+AD166+AC166)</f>
        <v/>
      </c>
      <c r="S166" s="18" t="inlineStr">
        <is>
          <t>视频</t>
        </is>
      </c>
      <c r="T166" s="21" t="n">
        <v>0.85</v>
      </c>
      <c r="U166" s="21" t="n">
        <v>0.26</v>
      </c>
      <c r="V166" s="21" t="n">
        <v>0.37</v>
      </c>
      <c r="W166" s="21" t="n">
        <v>0.1</v>
      </c>
      <c r="X166" s="18" t="n"/>
      <c r="Y166" s="18" t="n"/>
      <c r="Z166" s="18" t="n">
        <v>58000</v>
      </c>
      <c r="AA166" s="154">
        <f>SUM((Z166/P166)*1000)</f>
        <v/>
      </c>
      <c r="AB166" s="18" t="n">
        <v>19000</v>
      </c>
      <c r="AC166" s="18" t="n">
        <v>120</v>
      </c>
      <c r="AD166" s="18" t="n">
        <v>710</v>
      </c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</row>
    <row r="167" ht="49.5" customHeight="1" s="151">
      <c r="A167" s="72" t="n">
        <v>46091</v>
      </c>
      <c r="B167" s="53" t="inlineStr">
        <is>
          <t>ok</t>
        </is>
      </c>
      <c r="C167" s="53" t="n"/>
      <c r="D167" s="53" t="inlineStr">
        <is>
          <t>品牌</t>
        </is>
      </c>
      <c r="E167" s="54" t="inlineStr">
        <is>
          <t xml:space="preserve">分享自己设计的家
装修避坑｜收纳｜省钱｜生活小巧思
</t>
        </is>
      </c>
      <c r="F167" s="53" t="inlineStr">
        <is>
          <t>是栖迟呀🏠</t>
        </is>
      </c>
      <c r="G167" s="53" t="inlineStr">
        <is>
          <t>https://www.xingtu.cn/ad/creator/author-homepage/douyin-video/7097903661300318212?market_track_id=7XTIV3268V2E8E5IT2EH&amp;search_session_id=7615464980443709490&amp;possessStarId</t>
        </is>
      </c>
      <c r="H167" s="53" t="inlineStr">
        <is>
          <t>https://www.douyin.com/user/MS4wLjABAAAAMOQYHIeQaSBfkKGYK3HinNMCCD-5F2wBfonYPYtOGv9Qf-dT6Hcc8hFbwGFUUJ_3</t>
        </is>
      </c>
      <c r="I167" s="53" t="inlineStr">
        <is>
          <t>cszcch1126</t>
        </is>
      </c>
      <c r="J167" s="53" t="inlineStr">
        <is>
          <t>家居</t>
        </is>
      </c>
      <c r="K167" s="53" t="inlineStr">
        <is>
          <t>尾部</t>
        </is>
      </c>
      <c r="L167" s="53" t="n">
        <v>31</v>
      </c>
      <c r="M167" s="53" t="inlineStr">
        <is>
          <t>2000-20000</t>
        </is>
      </c>
      <c r="N167" s="53" t="inlineStr">
        <is>
          <t>新锐白领
精致妈妈
小镇青年</t>
        </is>
      </c>
      <c r="O167" s="56" t="n">
        <v>0.55</v>
      </c>
      <c r="P167" s="53" t="n">
        <v>223000</v>
      </c>
      <c r="Q167" s="53">
        <f>SUM(Z167*1.05)</f>
        <v/>
      </c>
      <c r="R167" s="55">
        <f>Z167/(AB167+AD167+AC167)</f>
        <v/>
      </c>
      <c r="S167" s="53" t="inlineStr">
        <is>
          <t>视频</t>
        </is>
      </c>
      <c r="T167" s="56" t="n">
        <v>0.75</v>
      </c>
      <c r="U167" s="56" t="n">
        <v>0.38</v>
      </c>
      <c r="V167" s="56" t="n">
        <v>0.39</v>
      </c>
      <c r="W167" s="56" t="n">
        <v>0.07000000000000001</v>
      </c>
      <c r="X167" s="53" t="n"/>
      <c r="Y167" s="53" t="n"/>
      <c r="Z167" s="53" t="n">
        <v>23000</v>
      </c>
      <c r="AA167" s="160">
        <f>SUM((Z167/P167)*1000)</f>
        <v/>
      </c>
      <c r="AB167" s="69" t="n">
        <v>3982</v>
      </c>
      <c r="AC167" s="53" t="n">
        <v>159</v>
      </c>
      <c r="AD167" s="53" t="n">
        <v>1086</v>
      </c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53" t="n"/>
      <c r="AN167" s="53" t="n"/>
      <c r="AO167" s="53" t="n"/>
      <c r="AP167" s="53" t="n"/>
      <c r="AQ167" s="57" t="n"/>
      <c r="AR167" s="57" t="n"/>
    </row>
    <row r="168">
      <c r="A168" s="17" t="n">
        <v>46091</v>
      </c>
      <c r="B168" s="18" t="inlineStr">
        <is>
          <t>ok</t>
        </is>
      </c>
      <c r="C168" s="18" t="n"/>
      <c r="D168" s="18" t="inlineStr">
        <is>
          <t>品牌</t>
        </is>
      </c>
      <c r="E168" s="32" t="inlineStr">
        <is>
          <t>中产家庭，生活品质高，调性高</t>
        </is>
      </c>
      <c r="F168" s="18" t="inlineStr">
        <is>
          <t>中荷夫妇Evi （在中国）</t>
        </is>
      </c>
      <c r="G168" s="18" t="inlineStr">
        <is>
          <t>https://www.xingtu.cn/ad/creator/author-homepage/douyin-video/7345359121169776650?market_track_id=7XTIV3268V2E8E5IT2EH&amp;search_session_id=7615464980443709490&amp;possessStarId</t>
        </is>
      </c>
      <c r="H168" s="18" t="inlineStr">
        <is>
          <t>https://www.douyin.com/user/MS4wLjABAAAAoZrfiAPRqnQsecoH9wT6_ghGAHI6xrCobmimGNFnCfyKylgFh9SW4GD3EYEn_r1p</t>
        </is>
      </c>
      <c r="I168" s="18" t="inlineStr">
        <is>
          <t>Weiwei1990_</t>
        </is>
      </c>
      <c r="J168" s="18" t="inlineStr">
        <is>
          <t>家居</t>
        </is>
      </c>
      <c r="K168" s="18" t="inlineStr">
        <is>
          <t>腰部</t>
        </is>
      </c>
      <c r="L168" s="18" t="n">
        <v>153</v>
      </c>
      <c r="M168" s="18" t="inlineStr">
        <is>
          <t>2000-20000</t>
        </is>
      </c>
      <c r="N168" s="18" t="inlineStr">
        <is>
          <t>精致妈妈
新锐白领
都市蓝领</t>
        </is>
      </c>
      <c r="O168" s="21" t="n">
        <v>0.83</v>
      </c>
      <c r="P168" s="18" t="n">
        <v>1861000</v>
      </c>
      <c r="Q168" s="18">
        <f>SUM(Z168*1.05)</f>
        <v/>
      </c>
      <c r="R168" s="20">
        <f>Z168/(AB168+AD168+AC168)</f>
        <v/>
      </c>
      <c r="S168" s="18" t="inlineStr">
        <is>
          <t>视频</t>
        </is>
      </c>
      <c r="T168" s="21" t="n">
        <v>0.77</v>
      </c>
      <c r="U168" s="21" t="n">
        <v>0.29</v>
      </c>
      <c r="V168" s="21" t="n">
        <v>0.62</v>
      </c>
      <c r="W168" s="21" t="n">
        <v>0.02</v>
      </c>
      <c r="X168" s="18" t="n"/>
      <c r="Y168" s="18" t="n"/>
      <c r="Z168" s="18" t="n">
        <v>45000</v>
      </c>
      <c r="AA168" s="154">
        <f>SUM((Z168/P168)*1000)</f>
        <v/>
      </c>
      <c r="AB168" s="18" t="n">
        <v>17000</v>
      </c>
      <c r="AC168" s="18" t="n">
        <v>436</v>
      </c>
      <c r="AD168" s="18" t="n">
        <v>870</v>
      </c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</row>
    <row r="169" ht="51" customHeight="1" s="151">
      <c r="A169" s="17" t="n">
        <v>46091</v>
      </c>
      <c r="B169" s="18" t="inlineStr">
        <is>
          <t>ok</t>
        </is>
      </c>
      <c r="C169" s="18" t="n"/>
      <c r="D169" s="18" t="inlineStr">
        <is>
          <t>电商</t>
        </is>
      </c>
      <c r="E169" s="32" t="inlineStr">
        <is>
          <t>https://www.xingtu.cn/ad/creator/insight/hot-video-detail/7603636629379073194 有家电爆款内容</t>
        </is>
      </c>
      <c r="F169" s="18" t="inlineStr">
        <is>
          <t>笑笑小姐姐</t>
        </is>
      </c>
      <c r="G169" s="18" t="inlineStr">
        <is>
          <t>https://www.xingtu.cn/ad/creator/author-homepage/douyin-video/7156104742790234124?market_track_id=7XTIV3268V2E8E5IT2EH&amp;search_session_id=7615465608784199706&amp;possessStarId</t>
        </is>
      </c>
      <c r="H169" s="18" t="inlineStr">
        <is>
          <t>https://www.douyin.com/user/MS4wLjABAAAAoErf_F985MsYLuH6bzMVoMC8Hzuo-7cMx-IW5GHv-XU</t>
        </is>
      </c>
      <c r="I169" s="18" t="inlineStr">
        <is>
          <t>dongq16</t>
        </is>
      </c>
      <c r="J169" s="18" t="inlineStr">
        <is>
          <t>家居</t>
        </is>
      </c>
      <c r="K169" s="18" t="inlineStr">
        <is>
          <t>尾部</t>
        </is>
      </c>
      <c r="L169" s="18" t="n">
        <v>11</v>
      </c>
      <c r="M169" s="18" t="inlineStr">
        <is>
          <t>2000-20000</t>
        </is>
      </c>
      <c r="N169" s="18" t="inlineStr">
        <is>
          <t>新锐白领
小镇青年
资深中产</t>
        </is>
      </c>
      <c r="O169" s="21" t="n">
        <v>0.55</v>
      </c>
      <c r="P169" s="18" t="n">
        <v>527000</v>
      </c>
      <c r="Q169" s="18">
        <f>SUM(Z169*1.05)</f>
        <v/>
      </c>
      <c r="R169" s="20">
        <f>Z169/(AB169+AD169+AC169)</f>
        <v/>
      </c>
      <c r="S169" s="18" t="inlineStr">
        <is>
          <t>视频</t>
        </is>
      </c>
      <c r="T169" s="21" t="n">
        <v>0.55</v>
      </c>
      <c r="U169" s="21" t="n">
        <v>0.33</v>
      </c>
      <c r="V169" s="21" t="n">
        <v>0.43</v>
      </c>
      <c r="W169" s="21" t="n">
        <v>0.09</v>
      </c>
      <c r="X169" s="18" t="n"/>
      <c r="Y169" s="18" t="n"/>
      <c r="Z169" s="18" t="n">
        <v>18500</v>
      </c>
      <c r="AA169" s="154">
        <f>SUM((Z169/P169)*1000)</f>
        <v/>
      </c>
      <c r="AB169" s="18" t="n">
        <v>7611</v>
      </c>
      <c r="AC169" s="18" t="n">
        <v>148</v>
      </c>
      <c r="AD169" s="18" t="n">
        <v>143</v>
      </c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</row>
    <row r="170" ht="49.5" customHeight="1" s="151">
      <c r="A170" s="17" t="n">
        <v>46091</v>
      </c>
      <c r="B170" s="18" t="inlineStr">
        <is>
          <t>ok</t>
        </is>
      </c>
      <c r="C170" s="18" t="n"/>
      <c r="D170" s="18" t="inlineStr">
        <is>
          <t>品牌</t>
        </is>
      </c>
      <c r="E170" s="32" t="inlineStr">
        <is>
          <t xml:space="preserve">分享自己设计的家
装修避坑｜收纳｜省钱｜生活小巧思
</t>
        </is>
      </c>
      <c r="F170" s="18" t="inlineStr">
        <is>
          <t>-微微的家</t>
        </is>
      </c>
      <c r="G170" s="18" t="inlineStr">
        <is>
          <t>https://www.xingtu.cn/ad/creator/author-homepage/douyin-video/7411126425756893221?market_track_id=JHTNBEGQO60RJNOU4K0V&amp;search_session_id=7612611836790308873&amp;possessStarId</t>
        </is>
      </c>
      <c r="H170" s="18" t="inlineStr">
        <is>
          <t>https://www.douyin.com/user/MS4wLjABAAAARUypKahedhA7ZUKq8lGwB7JlQ6dWkAaafyXnU9MdhTgLGC5w0AW2ZKnxtVsg5nZw</t>
        </is>
      </c>
      <c r="I170" s="18" t="n">
        <v>71119734676</v>
      </c>
      <c r="J170" s="18" t="inlineStr">
        <is>
          <t>家居</t>
        </is>
      </c>
      <c r="K170" s="18" t="inlineStr">
        <is>
          <t>尾部</t>
        </is>
      </c>
      <c r="L170" s="18" t="n">
        <v>13.7</v>
      </c>
      <c r="M170" s="18" t="inlineStr">
        <is>
          <t>2000-20000</t>
        </is>
      </c>
      <c r="N170" s="18" t="inlineStr">
        <is>
          <t>新锐白领
精致妈妈
小镇青年</t>
        </is>
      </c>
      <c r="O170" s="21" t="n">
        <v>0.73</v>
      </c>
      <c r="P170" s="18" t="n">
        <v>486000</v>
      </c>
      <c r="Q170" s="18">
        <f>SUM(Z170*1.05)</f>
        <v/>
      </c>
      <c r="R170" s="20">
        <f>Z170/(AB170+AD170+AC170)</f>
        <v/>
      </c>
      <c r="S170" s="18" t="inlineStr">
        <is>
          <t>视频</t>
        </is>
      </c>
      <c r="T170" s="21" t="n">
        <v>0.93</v>
      </c>
      <c r="U170" s="21" t="n">
        <v>0.3</v>
      </c>
      <c r="V170" s="21" t="n">
        <v>0.6</v>
      </c>
      <c r="W170" s="21" t="n">
        <v>0.04</v>
      </c>
      <c r="X170" s="21" t="n"/>
      <c r="Y170" s="21" t="n"/>
      <c r="Z170" s="18" t="n">
        <v>17000</v>
      </c>
      <c r="AA170" s="154">
        <f>SUM((Z170/P170)*1000)</f>
        <v/>
      </c>
      <c r="AB170" s="18" t="n">
        <v>15000</v>
      </c>
      <c r="AC170" s="18" t="n">
        <v>347</v>
      </c>
      <c r="AD170" s="18" t="n">
        <v>320</v>
      </c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</row>
    <row r="171" ht="37.15" customHeight="1" s="151">
      <c r="A171" s="71" t="n">
        <v>46091</v>
      </c>
      <c r="B171" s="37" t="inlineStr">
        <is>
          <t>ok</t>
        </is>
      </c>
      <c r="C171" s="37" t="n"/>
      <c r="D171" s="37" t="inlineStr">
        <is>
          <t>品牌</t>
        </is>
      </c>
      <c r="E171" s="38" t="inlineStr">
        <is>
          <t>210平的意式简约风
有个很酷的电竞房 还有个很大的客厅</t>
        </is>
      </c>
      <c r="F171" s="37" t="inlineStr">
        <is>
          <t xml:space="preserve">
张吉利</t>
        </is>
      </c>
      <c r="G171" s="37" t="inlineStr">
        <is>
          <t>https://www.xingtu.cn/ad/creator/author-homepage/douyin-video/7055226032839884807?market_track_id=7XTIV3268V2E8E5IT2EH&amp;search_session_id=7615466233768443954&amp;possessStarId</t>
        </is>
      </c>
      <c r="H171" s="37" t="inlineStr">
        <is>
          <t>https://www.douyin.com/user/MS4wLjABAAAAsySP850WwppMDK6QAq7ZCuhOhbUYsRLYn0GqD63aYk4</t>
        </is>
      </c>
      <c r="I171" s="37" t="inlineStr">
        <is>
          <t>yzyw1016</t>
        </is>
      </c>
      <c r="J171" s="37" t="inlineStr">
        <is>
          <t>家居</t>
        </is>
      </c>
      <c r="K171" s="37" t="inlineStr">
        <is>
          <t>尾部</t>
        </is>
      </c>
      <c r="L171" s="37" t="n">
        <v>20.8</v>
      </c>
      <c r="M171" s="37" t="inlineStr">
        <is>
          <t>150-2000</t>
        </is>
      </c>
      <c r="N171" s="37" t="inlineStr">
        <is>
          <t>新锐白领
小镇青年
精致妈妈</t>
        </is>
      </c>
      <c r="O171" s="41" t="n">
        <v>0.54</v>
      </c>
      <c r="P171" s="37" t="n">
        <v>407000</v>
      </c>
      <c r="Q171" s="37">
        <f>SUM(Z171*1.05)</f>
        <v/>
      </c>
      <c r="R171" s="40">
        <f>Z171/(AB171+AD171+AC171)</f>
        <v/>
      </c>
      <c r="S171" s="37" t="inlineStr">
        <is>
          <t>视频</t>
        </is>
      </c>
      <c r="T171" s="41" t="n">
        <v>0.77</v>
      </c>
      <c r="U171" s="41" t="n">
        <v>0.45</v>
      </c>
      <c r="V171" s="41" t="n">
        <v>0.27</v>
      </c>
      <c r="W171" s="41" t="n">
        <v>0.05</v>
      </c>
      <c r="X171" s="37" t="n"/>
      <c r="Y171" s="37" t="n"/>
      <c r="Z171" s="37" t="n">
        <v>16800</v>
      </c>
      <c r="AA171" s="157">
        <f>SUM((Z171/P171)*1000)</f>
        <v/>
      </c>
      <c r="AB171" s="37" t="n">
        <v>3167</v>
      </c>
      <c r="AC171" s="37" t="n">
        <v>195</v>
      </c>
      <c r="AD171" s="37" t="n">
        <v>667</v>
      </c>
      <c r="AE171" s="37" t="n"/>
      <c r="AF171" s="37" t="n"/>
      <c r="AG171" s="37" t="n"/>
      <c r="AH171" s="37" t="n"/>
      <c r="AI171" s="37" t="n"/>
      <c r="AJ171" s="37" t="n"/>
      <c r="AK171" s="37" t="n"/>
      <c r="AL171" s="37" t="n"/>
      <c r="AM171" s="37" t="n"/>
      <c r="AN171" s="37" t="n"/>
      <c r="AO171" s="37" t="n"/>
      <c r="AP171" s="37" t="n"/>
      <c r="AQ171" s="43" t="n"/>
      <c r="AR171" s="43" t="n"/>
    </row>
    <row r="172">
      <c r="A172" s="71" t="n">
        <v>46091</v>
      </c>
      <c r="B172" s="37" t="inlineStr">
        <is>
          <t>ok</t>
        </is>
      </c>
      <c r="C172" s="37" t="n"/>
      <c r="D172" s="37" t="inlineStr">
        <is>
          <t>品牌</t>
        </is>
      </c>
      <c r="E172" s="38" t="inlineStr">
        <is>
          <t>家居好物｜智能生活｜装修经验</t>
        </is>
      </c>
      <c r="F172" s="37" t="inlineStr">
        <is>
          <t xml:space="preserve">
氧气冰</t>
        </is>
      </c>
      <c r="G172" s="37" t="inlineStr">
        <is>
          <t>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</t>
        </is>
      </c>
      <c r="H172" s="37" t="inlineStr">
        <is>
          <t>https://www.douyin.com/user/MS4wLjABAAAAfYU-pzQ1R1LkhnEswzQeTah8XvAze2T-j9gmANn6w2E</t>
        </is>
      </c>
      <c r="I172" s="37" t="inlineStr">
        <is>
          <t>bg156785459</t>
        </is>
      </c>
      <c r="J172" s="37" t="inlineStr">
        <is>
          <t>家居</t>
        </is>
      </c>
      <c r="K172" s="37" t="inlineStr">
        <is>
          <t>腰部</t>
        </is>
      </c>
      <c r="L172" s="37" t="n">
        <v>117</v>
      </c>
      <c r="M172" s="37" t="inlineStr">
        <is>
          <t>150-2000</t>
        </is>
      </c>
      <c r="N172" s="37" t="inlineStr">
        <is>
          <t>小镇青年
新锐白领
精致妈妈</t>
        </is>
      </c>
      <c r="O172" s="41" t="n">
        <v>0.4</v>
      </c>
      <c r="P172" s="37" t="n">
        <v>2374000</v>
      </c>
      <c r="Q172" s="37">
        <f>SUM(Z172*1.05)</f>
        <v/>
      </c>
      <c r="R172" s="40">
        <f>Z172/(AB172+AD172+AC172)</f>
        <v/>
      </c>
      <c r="S172" s="37" t="inlineStr">
        <is>
          <t>视频</t>
        </is>
      </c>
      <c r="T172" s="41" t="n">
        <v>0.77</v>
      </c>
      <c r="U172" s="41" t="n">
        <v>0.27</v>
      </c>
      <c r="V172" s="41" t="n">
        <v>0.35</v>
      </c>
      <c r="W172" s="41" t="n">
        <v>0.06</v>
      </c>
      <c r="X172" s="37" t="n"/>
      <c r="Y172" s="37" t="n"/>
      <c r="Z172" s="37" t="n">
        <v>55000</v>
      </c>
      <c r="AA172" s="157">
        <f>SUM((Z172/P172)*1000)</f>
        <v/>
      </c>
      <c r="AB172" s="37" t="n">
        <v>53000</v>
      </c>
      <c r="AC172" s="37" t="n">
        <v>231</v>
      </c>
      <c r="AD172" s="37" t="n">
        <v>822</v>
      </c>
      <c r="AE172" s="37" t="n"/>
      <c r="AF172" s="37" t="n"/>
      <c r="AG172" s="37" t="n"/>
      <c r="AH172" s="37" t="n"/>
      <c r="AI172" s="37" t="n"/>
      <c r="AJ172" s="37" t="n"/>
      <c r="AK172" s="37" t="n"/>
      <c r="AL172" s="37" t="n"/>
      <c r="AM172" s="37" t="n"/>
      <c r="AN172" s="37" t="n"/>
      <c r="AO172" s="37" t="n"/>
      <c r="AP172" s="37" t="n"/>
      <c r="AQ172" s="43" t="n"/>
      <c r="AR172" s="43" t="n"/>
    </row>
    <row r="173">
      <c r="A173" s="71" t="n">
        <v>46091</v>
      </c>
      <c r="B173" s="37" t="inlineStr">
        <is>
          <t>ok</t>
        </is>
      </c>
      <c r="C173" s="37" t="n"/>
      <c r="D173" s="37" t="inlineStr">
        <is>
          <t>品牌</t>
        </is>
      </c>
      <c r="E173" s="38" t="inlineStr">
        <is>
          <t>110平北欧风软装魔法改造进行中</t>
        </is>
      </c>
      <c r="F173" s="37" t="inlineStr">
        <is>
          <t>梅子青青</t>
        </is>
      </c>
      <c r="G173" s="37" t="inlineStr">
        <is>
          <t>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</t>
        </is>
      </c>
      <c r="H173" s="37" t="inlineStr">
        <is>
          <t>https://www.douyin.com/user/MS4wLjABAAAA3qWxZw2BoHAJqcOlbTuiy9r6cAA4wtPJFmDXbEtp9mM</t>
        </is>
      </c>
      <c r="I173" s="37" t="inlineStr">
        <is>
          <t>zishu60448</t>
        </is>
      </c>
      <c r="J173" s="37" t="inlineStr">
        <is>
          <t>家居</t>
        </is>
      </c>
      <c r="K173" s="37" t="inlineStr">
        <is>
          <t>腰部</t>
        </is>
      </c>
      <c r="L173" s="37" t="n">
        <v>45</v>
      </c>
      <c r="M173" s="37" t="inlineStr">
        <is>
          <t>2000-20000</t>
        </is>
      </c>
      <c r="N173" s="37" t="inlineStr">
        <is>
          <t>新锐白领
精致妈妈
小镇青年</t>
        </is>
      </c>
      <c r="O173" s="41" t="n">
        <v>0.6</v>
      </c>
      <c r="P173" s="37" t="n">
        <v>1943000</v>
      </c>
      <c r="Q173" s="37">
        <f>SUM(Z173*1.05)</f>
        <v/>
      </c>
      <c r="R173" s="40">
        <f>Z173/(AB173+AD173+AC173)</f>
        <v/>
      </c>
      <c r="S173" s="37" t="inlineStr">
        <is>
          <t>视频</t>
        </is>
      </c>
      <c r="T173" s="41" t="n">
        <v>0.87</v>
      </c>
      <c r="U173" s="41" t="n">
        <v>0.34</v>
      </c>
      <c r="V173" s="41" t="n">
        <v>0.41</v>
      </c>
      <c r="W173" s="41" t="n">
        <v>0.03</v>
      </c>
      <c r="X173" s="37" t="n"/>
      <c r="Y173" s="37" t="n"/>
      <c r="Z173" s="37" t="n">
        <v>50000</v>
      </c>
      <c r="AA173" s="157">
        <f>SUM((Z173/P173)*1000)</f>
        <v/>
      </c>
      <c r="AB173" s="37" t="n">
        <v>20000</v>
      </c>
      <c r="AC173" s="37" t="n">
        <v>218</v>
      </c>
      <c r="AD173" s="37" t="n">
        <v>648</v>
      </c>
      <c r="AE173" s="37" t="n"/>
      <c r="AF173" s="37" t="n"/>
      <c r="AG173" s="37" t="n"/>
      <c r="AH173" s="37" t="n"/>
      <c r="AI173" s="37" t="n"/>
      <c r="AJ173" s="37" t="n"/>
      <c r="AK173" s="37" t="n"/>
      <c r="AL173" s="37" t="n"/>
      <c r="AM173" s="37" t="n"/>
      <c r="AN173" s="37" t="n"/>
      <c r="AO173" s="37" t="n"/>
      <c r="AP173" s="37" t="n"/>
      <c r="AQ173" s="43" t="n"/>
      <c r="AR173" s="43" t="n"/>
    </row>
    <row r="174" ht="37.15" customHeight="1" s="151">
      <c r="A174" s="71" t="n">
        <v>46091</v>
      </c>
      <c r="B174" s="37" t="inlineStr">
        <is>
          <t>ok</t>
        </is>
      </c>
      <c r="C174" s="37" t="n"/>
      <c r="D174" s="37" t="inlineStr">
        <is>
          <t>品牌</t>
        </is>
      </c>
      <c r="E174" s="38" t="inlineStr">
        <is>
          <t>120平小户型已入住，270平大平层旧房改造已完成，300平别墅已收楼待装修。</t>
        </is>
      </c>
      <c r="F174" s="37" t="inlineStr">
        <is>
          <t>小咸同学</t>
        </is>
      </c>
      <c r="G174" s="37" t="inlineStr">
        <is>
          <t>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</t>
        </is>
      </c>
      <c r="H174" s="37" t="inlineStr">
        <is>
          <t>https://www.douyin.com/user/MS4wLjABAAAAGUA3s_FZOLUkQcZEn-t4I4BGQq7NKOfX2BkK-V-jbU0</t>
        </is>
      </c>
      <c r="I174" s="37" t="inlineStr">
        <is>
          <t>XB180804</t>
        </is>
      </c>
      <c r="J174" s="37" t="inlineStr">
        <is>
          <t>家居</t>
        </is>
      </c>
      <c r="K174" s="37" t="inlineStr">
        <is>
          <t>腰部</t>
        </is>
      </c>
      <c r="L174" s="37" t="n">
        <v>57</v>
      </c>
      <c r="M174" s="37" t="inlineStr">
        <is>
          <t>150-2000</t>
        </is>
      </c>
      <c r="N174" s="37" t="inlineStr">
        <is>
          <t>小镇青年
新锐白领
精致妈妈</t>
        </is>
      </c>
      <c r="O174" s="41" t="n">
        <v>0.44</v>
      </c>
      <c r="P174" s="37" t="n">
        <v>525000</v>
      </c>
      <c r="Q174" s="37">
        <f>SUM(Z174*1.05)</f>
        <v/>
      </c>
      <c r="R174" s="40">
        <f>Z174/(AB174+AD174+AC174)</f>
        <v/>
      </c>
      <c r="S174" s="37" t="inlineStr">
        <is>
          <t>视频</t>
        </is>
      </c>
      <c r="T174" s="41" t="n">
        <v>0.7</v>
      </c>
      <c r="U174" s="41" t="n">
        <v>0.32</v>
      </c>
      <c r="V174" s="41" t="n">
        <v>0.45</v>
      </c>
      <c r="W174" s="41" t="n">
        <v>0.08</v>
      </c>
      <c r="X174" s="37" t="n"/>
      <c r="Y174" s="37" t="n"/>
      <c r="Z174" s="37" t="n">
        <v>33800</v>
      </c>
      <c r="AA174" s="157">
        <f>SUM((Z174/P174)*1000)</f>
        <v/>
      </c>
      <c r="AB174" s="37" t="n">
        <v>7064</v>
      </c>
      <c r="AC174" s="37" t="n">
        <v>263</v>
      </c>
      <c r="AD174" s="37" t="n">
        <v>73</v>
      </c>
      <c r="AE174" s="37" t="n"/>
      <c r="AF174" s="37" t="n"/>
      <c r="AG174" s="37" t="n"/>
      <c r="AH174" s="37" t="n"/>
      <c r="AI174" s="37" t="n"/>
      <c r="AJ174" s="37" t="n"/>
      <c r="AK174" s="37" t="n"/>
      <c r="AL174" s="37" t="n"/>
      <c r="AM174" s="37" t="n"/>
      <c r="AN174" s="37" t="n"/>
      <c r="AO174" s="37" t="n"/>
      <c r="AP174" s="37" t="n"/>
      <c r="AQ174" s="43" t="n"/>
      <c r="AR174" s="43" t="n"/>
    </row>
    <row r="175">
      <c r="A175" s="71" t="n">
        <v>46091</v>
      </c>
      <c r="B175" s="37" t="inlineStr">
        <is>
          <t>ok</t>
        </is>
      </c>
      <c r="C175" s="37" t="n"/>
      <c r="D175" s="37" t="inlineStr">
        <is>
          <t>品牌</t>
        </is>
      </c>
      <c r="E175" s="38" t="inlineStr">
        <is>
          <t>西门子、卡萨帝爆款商单</t>
        </is>
      </c>
      <c r="F175" s="37" t="inlineStr">
        <is>
          <t>自然女孩nature girl</t>
        </is>
      </c>
      <c r="G175" s="37" t="inlineStr">
        <is>
          <t>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</t>
        </is>
      </c>
      <c r="H175" s="37" t="inlineStr">
        <is>
          <t>https://www.douyin.com/user/MS4wLjABAAAAi5ESFdeQq1Lfu3IoL8O7RDD3wDBZrPzLm22BbHC_PyE</t>
        </is>
      </c>
      <c r="I175" s="37" t="inlineStr">
        <is>
          <t>cykj2019</t>
        </is>
      </c>
      <c r="J175" s="37" t="inlineStr">
        <is>
          <t>家居</t>
        </is>
      </c>
      <c r="K175" s="37" t="inlineStr">
        <is>
          <t>腰部</t>
        </is>
      </c>
      <c r="L175" s="37" t="n">
        <v>200</v>
      </c>
      <c r="M175" s="37" t="inlineStr">
        <is>
          <t>150-2000</t>
        </is>
      </c>
      <c r="N175" s="37" t="inlineStr">
        <is>
          <t>小镇青年
新锐白领
Z世代</t>
        </is>
      </c>
      <c r="O175" s="41" t="n">
        <v>0.35</v>
      </c>
      <c r="P175" s="37" t="n">
        <v>436000</v>
      </c>
      <c r="Q175" s="37">
        <f>SUM(Z175*1.05)</f>
        <v/>
      </c>
      <c r="R175" s="40">
        <f>Z175/(AB175+AD175+AC175)</f>
        <v/>
      </c>
      <c r="S175" s="37" t="inlineStr">
        <is>
          <t>视频</t>
        </is>
      </c>
      <c r="T175" s="41" t="n">
        <v>0.59</v>
      </c>
      <c r="U175" s="41" t="n">
        <v>0.26</v>
      </c>
      <c r="V175" s="41" t="n">
        <v>0.27</v>
      </c>
      <c r="W175" s="41" t="n">
        <v>0.1</v>
      </c>
      <c r="X175" s="37" t="n"/>
      <c r="Y175" s="37" t="n"/>
      <c r="Z175" s="37" t="n">
        <v>60000</v>
      </c>
      <c r="AA175" s="157">
        <f>SUM((Z175/P175)*1000)</f>
        <v/>
      </c>
      <c r="AB175" s="37" t="n">
        <v>27000</v>
      </c>
      <c r="AC175" s="37" t="n">
        <v>535</v>
      </c>
      <c r="AD175" s="37" t="n">
        <v>537</v>
      </c>
      <c r="AE175" s="37" t="n"/>
      <c r="AF175" s="37" t="n"/>
      <c r="AG175" s="37" t="n"/>
      <c r="AH175" s="37" t="n"/>
      <c r="AI175" s="37" t="n"/>
      <c r="AJ175" s="37" t="n"/>
      <c r="AK175" s="37" t="n"/>
      <c r="AL175" s="37" t="n"/>
      <c r="AM175" s="37" t="n"/>
      <c r="AN175" s="37" t="n"/>
      <c r="AO175" s="37" t="n"/>
      <c r="AP175" s="37" t="n"/>
      <c r="AQ175" s="43" t="n"/>
      <c r="AR175" s="43" t="n"/>
    </row>
    <row r="176" ht="24.75" customHeight="1" s="151">
      <c r="A176" s="17" t="n">
        <v>46091</v>
      </c>
      <c r="B176" s="18" t="inlineStr">
        <is>
          <t>ok</t>
        </is>
      </c>
      <c r="C176" s="18" t="n"/>
      <c r="D176" s="18" t="inlineStr">
        <is>
          <t>品牌</t>
        </is>
      </c>
      <c r="E176" s="32" t="inlineStr">
        <is>
          <t>奔三大女主分享家居生活
爱买一切智能家居</t>
        </is>
      </c>
      <c r="F176" s="18" t="inlineStr">
        <is>
          <t>宋嘉宜-</t>
        </is>
      </c>
      <c r="G176" s="18" t="inlineStr">
        <is>
          <t>https://www.xingtu.cn/ad/creator/author-homepage/douyin-video/6676069661546643469?market_track_id=7XTIV3268V2E8E5IT2EH&amp;search_session_id=7615463597411090470&amp;possessStarId</t>
        </is>
      </c>
      <c r="H176" s="18" t="inlineStr">
        <is>
          <t>https://www.douyin.com/user/MS4wLjABAAAAsIc5vRvWsrV1GaqH6o-SAbRJtC8nwg7lsnHhVZZgDxY</t>
        </is>
      </c>
      <c r="I176" s="18" t="inlineStr">
        <is>
          <t>QizaiZhongcao</t>
        </is>
      </c>
      <c r="J176" s="18" t="inlineStr">
        <is>
          <t>家居</t>
        </is>
      </c>
      <c r="K176" s="18" t="inlineStr">
        <is>
          <t>腰部</t>
        </is>
      </c>
      <c r="L176" s="18" t="n">
        <v>181</v>
      </c>
      <c r="M176" s="18" t="inlineStr">
        <is>
          <t>150-2000</t>
        </is>
      </c>
      <c r="N176" s="18" t="inlineStr">
        <is>
          <t>小镇青年
新锐白领
精致妈妈</t>
        </is>
      </c>
      <c r="O176" s="21" t="n">
        <v>0.43</v>
      </c>
      <c r="P176" s="18" t="n">
        <v>719000</v>
      </c>
      <c r="Q176" s="18">
        <f>SUM(Z176*1.05)</f>
        <v/>
      </c>
      <c r="R176" s="20">
        <f>Z176/(AB176+AD176+AC176)</f>
        <v/>
      </c>
      <c r="S176" s="18" t="inlineStr">
        <is>
          <t>视频</t>
        </is>
      </c>
      <c r="T176" s="21" t="n">
        <v>0.82</v>
      </c>
      <c r="U176" s="21" t="n">
        <v>0.31</v>
      </c>
      <c r="V176" s="21" t="n">
        <v>0.39</v>
      </c>
      <c r="W176" s="21" t="n">
        <v>0.03</v>
      </c>
      <c r="X176" s="18" t="n"/>
      <c r="Y176" s="18" t="n"/>
      <c r="Z176" s="18" t="n">
        <v>40000</v>
      </c>
      <c r="AA176" s="154">
        <f>SUM((Z176/P176)*1000)</f>
        <v/>
      </c>
      <c r="AB176" s="18" t="n">
        <v>19000</v>
      </c>
      <c r="AC176" s="18" t="n">
        <v>395</v>
      </c>
      <c r="AD176" s="18" t="n">
        <v>282</v>
      </c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</row>
    <row r="177">
      <c r="A177" s="17" t="n">
        <v>46091</v>
      </c>
      <c r="B177" s="18" t="inlineStr">
        <is>
          <t>厨房太不符合调性了</t>
        </is>
      </c>
      <c r="C177" s="18" t="n"/>
      <c r="D177" s="18" t="inlineStr">
        <is>
          <t>电商</t>
        </is>
      </c>
      <c r="E177" s="32" t="n"/>
      <c r="F177" s="18" t="inlineStr">
        <is>
          <t>楠总不难</t>
        </is>
      </c>
      <c r="G177" s="18" t="inlineStr">
        <is>
          <t>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</t>
        </is>
      </c>
      <c r="H177" s="18" t="inlineStr">
        <is>
          <t>https://www.douyin.com/user/MS4wLjABAAAAM4M_uFNMnF9oxKUijqSgLnZwdSfbwLLszK-PJtgkQBRvZR__1-beUO8IJ95OBySo</t>
        </is>
      </c>
      <c r="I177" s="18" t="inlineStr">
        <is>
          <t>Zqn_9623</t>
        </is>
      </c>
      <c r="J177" s="18" t="inlineStr">
        <is>
          <t>家居</t>
        </is>
      </c>
      <c r="K177" s="18" t="inlineStr">
        <is>
          <t>尾部</t>
        </is>
      </c>
      <c r="L177" s="18" t="n">
        <v>43</v>
      </c>
      <c r="M177" s="18" t="inlineStr">
        <is>
          <t>20000-100000</t>
        </is>
      </c>
      <c r="N177" s="18" t="inlineStr">
        <is>
          <t>小镇青年
新锐白领
精致妈妈</t>
        </is>
      </c>
      <c r="O177" s="35" t="n">
        <v>0.485</v>
      </c>
      <c r="P177" s="18" t="n">
        <v>866000</v>
      </c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</row>
    <row r="178">
      <c r="A178" s="17" t="n">
        <v>46091</v>
      </c>
      <c r="B178" s="18" t="inlineStr">
        <is>
          <t>平均播放量和大家电播放量一致，代表内容不突出，没有投流</t>
        </is>
      </c>
      <c r="C178" s="18" t="n"/>
      <c r="D178" s="18" t="inlineStr">
        <is>
          <t>电商</t>
        </is>
      </c>
      <c r="E178" s="32" t="n"/>
      <c r="F178" s="18" t="inlineStr">
        <is>
          <t>代子盐妍</t>
        </is>
      </c>
      <c r="G178" s="18" t="inlineStr">
        <is>
          <t>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</t>
        </is>
      </c>
      <c r="H178" s="18" t="inlineStr">
        <is>
          <t>https://www.douyin.com/user/MS4wLjABAAAA3ZS7aZGPmGiN_PLYTTftyWefff6Dcn2cMd0OPg2JNak</t>
        </is>
      </c>
      <c r="I178" s="18" t="inlineStr">
        <is>
          <t>Yiiauu_0814d</t>
        </is>
      </c>
      <c r="J178" s="18" t="inlineStr">
        <is>
          <t>家居</t>
        </is>
      </c>
      <c r="K178" s="18" t="inlineStr">
        <is>
          <t>尾部</t>
        </is>
      </c>
      <c r="L178" s="18" t="n">
        <v>24</v>
      </c>
      <c r="M178" s="18" t="inlineStr">
        <is>
          <t>20000-100000</t>
        </is>
      </c>
      <c r="N178" s="18" t="inlineStr">
        <is>
          <t>小镇青年
精致妈妈
都市蓝领</t>
        </is>
      </c>
      <c r="O178" s="21" t="n">
        <v>0.41</v>
      </c>
      <c r="P178" s="18" t="n">
        <v>790000</v>
      </c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</row>
    <row r="179">
      <c r="A179" s="17" t="n">
        <v>46091</v>
      </c>
      <c r="B179" s="18" t="inlineStr">
        <is>
          <t>数据一般</t>
        </is>
      </c>
      <c r="C179" s="18" t="n"/>
      <c r="D179" s="18" t="inlineStr">
        <is>
          <t>电商</t>
        </is>
      </c>
      <c r="E179" s="32" t="n"/>
      <c r="F179" s="18" t="inlineStr">
        <is>
          <t>是大宝的家吖</t>
        </is>
      </c>
      <c r="G179" s="18" t="inlineStr">
        <is>
          <t>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</t>
        </is>
      </c>
      <c r="H179" s="18" t="inlineStr">
        <is>
          <t>https://www.douyin.com/user/MS4wLjABAAAACtgEdFXImTysoKNBtymQvAFIpFUR1girZ-l6HWP7_JaZeR8_4AoYkHtonTFqCcYx</t>
        </is>
      </c>
      <c r="I179" s="18" t="inlineStr">
        <is>
          <t>bao033261</t>
        </is>
      </c>
      <c r="J179" s="18" t="inlineStr">
        <is>
          <t>家居</t>
        </is>
      </c>
      <c r="K179" s="18" t="inlineStr">
        <is>
          <t>尾部</t>
        </is>
      </c>
      <c r="L179" s="18" t="n">
        <v>26</v>
      </c>
      <c r="M179" s="18" t="inlineStr">
        <is>
          <t>150-2000</t>
        </is>
      </c>
      <c r="N179" s="18" t="inlineStr">
        <is>
          <t>新锐白领
小镇青年
精致妈妈</t>
        </is>
      </c>
      <c r="O179" s="21" t="n">
        <v>0.47</v>
      </c>
      <c r="P179" s="18" t="n">
        <v>347000</v>
      </c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</row>
    <row r="180">
      <c r="A180" s="17" t="n">
        <v>46091</v>
      </c>
      <c r="B180" s="18" t="inlineStr">
        <is>
          <t>厨房太挤</t>
        </is>
      </c>
      <c r="C180" s="18" t="n"/>
      <c r="D180" s="18" t="inlineStr">
        <is>
          <t>电商</t>
        </is>
      </c>
      <c r="E180" s="32" t="n"/>
      <c r="F180" s="18" t="inlineStr">
        <is>
          <t>小么随记</t>
        </is>
      </c>
      <c r="G180" s="18" t="inlineStr">
        <is>
          <t>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</t>
        </is>
      </c>
      <c r="H180" s="18" t="inlineStr">
        <is>
          <t>https://www.douyin.com/user/MS4wLjABAAAAhmWBGlEtnFXYP_l2mPtSVcAIWU7XFHRkw1uhSXKHmwo</t>
        </is>
      </c>
      <c r="I180" s="18" t="inlineStr">
        <is>
          <t>Forest_0815</t>
        </is>
      </c>
      <c r="J180" s="18" t="inlineStr">
        <is>
          <t>家居</t>
        </is>
      </c>
      <c r="K180" s="18" t="inlineStr">
        <is>
          <t>尾部</t>
        </is>
      </c>
      <c r="L180" s="18" t="n">
        <v>22</v>
      </c>
      <c r="M180" s="18" t="inlineStr">
        <is>
          <t>2000-20000</t>
        </is>
      </c>
      <c r="N180" s="18" t="inlineStr">
        <is>
          <t>精致妈妈
新锐白领
小镇青年</t>
        </is>
      </c>
      <c r="O180" s="21" t="n">
        <v>0.6</v>
      </c>
      <c r="P180" s="18" t="n">
        <v>164000</v>
      </c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</row>
    <row r="181" ht="37.15" customHeight="1" s="151">
      <c r="A181" s="17" t="n">
        <v>46091</v>
      </c>
      <c r="B181" s="18" t="inlineStr">
        <is>
          <t>ok</t>
        </is>
      </c>
      <c r="C181" s="18" t="n"/>
      <c r="D181" s="18" t="inlineStr">
        <is>
          <t>电商</t>
        </is>
      </c>
      <c r="E181" s="32" t="inlineStr">
        <is>
          <t>200平套内+花园分享快乐给大家
花园｜手工改造｜美好生活｜设计师</t>
        </is>
      </c>
      <c r="F181" s="18" t="inlineStr">
        <is>
          <t>宝宝嘉里</t>
        </is>
      </c>
      <c r="G181" s="18" t="inlineStr">
        <is>
          <t>https://www.xingtu.cn/ad/creator/author-homepage/douyin-video/7470420750193983526?market_track_id=QD3GB9I3WY1B49U0XHN1&amp;search_session_id=7615533721722929178&amp;possessStarId&amp;active_tab=content_performance&amp;active_module=.content-video-list-panel&amp;content_key_word=%E6%B4%97%E7%A2%97%E6%9C%BA</t>
        </is>
      </c>
      <c r="H181" s="18" t="inlineStr">
        <is>
          <t>https://www.douyin.com/user/MS4wLjABAAAAyhtLhiL_qYBj3p-f7JsIbf_U18q7d5UPFZ4jqM6sEGg</t>
        </is>
      </c>
      <c r="I181" s="18" t="n">
        <v>379333043</v>
      </c>
      <c r="J181" s="18" t="inlineStr">
        <is>
          <t>家居</t>
        </is>
      </c>
      <c r="K181" s="18" t="inlineStr">
        <is>
          <t>尾部</t>
        </is>
      </c>
      <c r="L181" s="18" t="n">
        <v>19</v>
      </c>
      <c r="M181" s="18" t="inlineStr">
        <is>
          <t>2000-20000</t>
        </is>
      </c>
      <c r="N181" s="18" t="inlineStr">
        <is>
          <t>精致妈妈
小镇青年
新锐白领</t>
        </is>
      </c>
      <c r="O181" s="21" t="n">
        <v>0.54</v>
      </c>
      <c r="P181" s="18" t="n">
        <v>242000</v>
      </c>
      <c r="Q181" s="18">
        <f>SUM(Z181*1.05)</f>
        <v/>
      </c>
      <c r="R181" s="20">
        <f>Z181/(AB181+AD181+AC181)</f>
        <v/>
      </c>
      <c r="S181" s="18" t="inlineStr">
        <is>
          <t>视频</t>
        </is>
      </c>
      <c r="T181" s="21" t="n">
        <v>0.85</v>
      </c>
      <c r="U181" s="21" t="n">
        <v>0.28</v>
      </c>
      <c r="V181" s="21" t="n">
        <v>0.48</v>
      </c>
      <c r="W181" s="21" t="n">
        <v>0.1</v>
      </c>
      <c r="X181" s="18" t="n"/>
      <c r="Y181" s="18" t="n"/>
      <c r="Z181" s="18" t="n">
        <v>32000</v>
      </c>
      <c r="AA181" s="154">
        <f>SUM((Z181/P181)*1000)</f>
        <v/>
      </c>
      <c r="AB181" s="18" t="n">
        <v>3969</v>
      </c>
      <c r="AC181" s="18" t="n">
        <v>412</v>
      </c>
      <c r="AD181" s="18" t="n">
        <v>913</v>
      </c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</row>
    <row r="182">
      <c r="A182" s="17" t="n">
        <v>46091</v>
      </c>
      <c r="B182" s="18" t="inlineStr">
        <is>
          <t>ok</t>
        </is>
      </c>
      <c r="C182" s="18" t="n"/>
      <c r="D182" s="18" t="inlineStr">
        <is>
          <t>电商</t>
        </is>
      </c>
      <c r="E182" s="32" t="inlineStr">
        <is>
          <t>有千万播放大家电爆款</t>
        </is>
      </c>
      <c r="F182" s="18" t="inlineStr">
        <is>
          <t>菲十六宅家日记</t>
        </is>
      </c>
      <c r="G182" s="18" t="inlineStr">
        <is>
          <t>https://www.xingtu.cn/ad/creator/author-homepage/douyin-video/7155560692228030477</t>
        </is>
      </c>
      <c r="H182" s="18" t="inlineStr">
        <is>
          <t>https://www.douyin.com/user/MS4wLjABAAAAz1xavYuYxvZZxa4b-T1E2RsMjO6SFBMellpCu39kuQU</t>
        </is>
      </c>
      <c r="I182" s="18" t="inlineStr">
        <is>
          <t>VXhebe8800</t>
        </is>
      </c>
      <c r="J182" s="18" t="inlineStr">
        <is>
          <t>家居</t>
        </is>
      </c>
      <c r="K182" s="18" t="inlineStr">
        <is>
          <t>腰部</t>
        </is>
      </c>
      <c r="L182" s="18" t="n">
        <v>136</v>
      </c>
      <c r="M182" s="18" t="inlineStr">
        <is>
          <t>2000-20000</t>
        </is>
      </c>
      <c r="N182" s="18" t="inlineStr">
        <is>
          <t>新锐白领
都市蓝领
精致妈妈</t>
        </is>
      </c>
      <c r="O182" s="21" t="n">
        <v>0.51</v>
      </c>
      <c r="P182" s="18" t="n">
        <v>840000</v>
      </c>
      <c r="Q182" s="18">
        <f>SUM(Z182*1.05)</f>
        <v/>
      </c>
      <c r="R182" s="20">
        <f>Z182/(AB182+AD182+AC182)</f>
        <v/>
      </c>
      <c r="S182" s="18" t="inlineStr">
        <is>
          <t>视频</t>
        </is>
      </c>
      <c r="T182" s="21" t="n">
        <v>0.58</v>
      </c>
      <c r="U182" s="21" t="n">
        <v>0.24</v>
      </c>
      <c r="V182" s="21" t="n">
        <v>0.46</v>
      </c>
      <c r="W182" s="21" t="n">
        <v>0.14</v>
      </c>
      <c r="X182" s="18" t="n"/>
      <c r="Y182" s="18" t="n"/>
      <c r="Z182" s="18" t="n">
        <v>46000</v>
      </c>
      <c r="AA182" s="154">
        <f>SUM((Z182/P182)*1000)</f>
        <v/>
      </c>
      <c r="AB182" s="18" t="n">
        <v>22000</v>
      </c>
      <c r="AC182" s="18" t="n">
        <v>200</v>
      </c>
      <c r="AD182" s="18" t="n">
        <v>1217</v>
      </c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</row>
    <row r="183">
      <c r="A183" s="17" t="n">
        <v>46091</v>
      </c>
      <c r="B183" s="18" t="inlineStr">
        <is>
          <t>ok</t>
        </is>
      </c>
      <c r="C183" s="18" t="n"/>
      <c r="D183" s="18" t="inlineStr">
        <is>
          <t>电商</t>
        </is>
      </c>
      <c r="E183" s="18" t="inlineStr">
        <is>
          <t>有大家电爆款</t>
        </is>
      </c>
      <c r="F183" s="18" t="inlineStr">
        <is>
          <t>-孙一玮Well</t>
        </is>
      </c>
      <c r="G183" s="18" t="inlineStr">
        <is>
          <t>https://www.xingtu.cn/ad/creator/author-homepage/douyin-video/6629724072496332808?market_track_id=SUA9KH7ZBLCVW9Q8I8O3&amp;search_session_id=7611010792837922826&amp;possessStarId</t>
        </is>
      </c>
      <c r="H183" s="18" t="inlineStr">
        <is>
          <t>https://www.douyin.com/user/MS4wLjABAAAAp52iIUIC50X_sKEA9gkGSW3EbhMfkj6rJ5oOiL_tXtw</t>
        </is>
      </c>
      <c r="I183" s="18" t="inlineStr">
        <is>
          <t>sunewell</t>
        </is>
      </c>
      <c r="J183" s="18" t="inlineStr">
        <is>
          <t>智能家居</t>
        </is>
      </c>
      <c r="K183" s="18" t="inlineStr">
        <is>
          <t>腰部</t>
        </is>
      </c>
      <c r="L183" s="18" t="n">
        <v>142</v>
      </c>
      <c r="M183" s="18" t="inlineStr">
        <is>
          <t>2000-20000</t>
        </is>
      </c>
      <c r="N183" s="18" t="inlineStr">
        <is>
          <t>新锐白领
小镇青年
精致妈妈</t>
        </is>
      </c>
      <c r="O183" s="21" t="n">
        <v>0.4</v>
      </c>
      <c r="P183" s="18" t="n">
        <v>1160000</v>
      </c>
      <c r="Q183" s="18">
        <f>SUM(Z183*1.05)</f>
        <v/>
      </c>
      <c r="R183" s="20">
        <f>Z183/(AB183+AD183+AC183)</f>
        <v/>
      </c>
      <c r="S183" s="18" t="inlineStr">
        <is>
          <t>视频</t>
        </is>
      </c>
      <c r="T183" s="21" t="n">
        <v>0.85</v>
      </c>
      <c r="U183" s="21" t="n">
        <v>0.23</v>
      </c>
      <c r="V183" s="21" t="n">
        <v>0.33</v>
      </c>
      <c r="W183" s="21" t="n">
        <v>0.12</v>
      </c>
      <c r="X183" s="21" t="n"/>
      <c r="Y183" s="21" t="n"/>
      <c r="Z183" s="18" t="n">
        <v>55000</v>
      </c>
      <c r="AA183" s="154">
        <f>SUM((Z183/P183)*1000)</f>
        <v/>
      </c>
      <c r="AB183" s="18" t="n">
        <v>12000</v>
      </c>
      <c r="AC183" s="18" t="n">
        <v>170</v>
      </c>
      <c r="AD183" s="18" t="n">
        <v>139</v>
      </c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</row>
    <row r="184">
      <c r="A184" s="17" t="n">
        <v>46091</v>
      </c>
      <c r="B184" s="18" t="inlineStr">
        <is>
          <t>这个客户选不上
粉丝和观众的人群都要看，这个人群不对，调性也不符合</t>
        </is>
      </c>
      <c r="C184" s="18" t="n"/>
      <c r="D184" s="18" t="inlineStr">
        <is>
          <t>电商</t>
        </is>
      </c>
      <c r="E184" s="32" t="inlineStr">
        <is>
          <t>千万大家电爆款商单</t>
        </is>
      </c>
      <c r="F184" s="18" t="inlineStr">
        <is>
          <t>川阅日记</t>
        </is>
      </c>
      <c r="G184" s="18" t="inlineStr">
        <is>
          <t>https://www.xingtu.cn/ad/creator/author-homepage/douyin-video/6920165577600270344?market_track_id=SYU2O2J77PRZD6HSWFO4&amp;search_session_id=7611491430255001609&amp;possessStarId</t>
        </is>
      </c>
      <c r="H184" s="18" t="inlineStr">
        <is>
          <t>https://www.douyin.com/user/MS4wLjABAAAAEvnSjkvkAzbDpQ0caF50IYBkgWOAyJwd-CNfev5tkxAj7GiO0lFBkO07G1LayvKm</t>
        </is>
      </c>
      <c r="I184" s="18" t="inlineStr">
        <is>
          <t xml:space="preserve">dymes2j4tsav
 </t>
        </is>
      </c>
      <c r="J184" s="18" t="inlineStr">
        <is>
          <t>情侣</t>
        </is>
      </c>
      <c r="K184" s="18" t="inlineStr">
        <is>
          <t>腰部</t>
        </is>
      </c>
      <c r="L184" s="18" t="n">
        <v>129</v>
      </c>
      <c r="M184" s="18" t="inlineStr">
        <is>
          <t>20000-100000</t>
        </is>
      </c>
      <c r="N184" s="18" t="inlineStr">
        <is>
          <t>小镇青年
都市蓝领
精致妈妈</t>
        </is>
      </c>
      <c r="O184" s="21" t="n">
        <v>0.32</v>
      </c>
      <c r="P184" s="18" t="n">
        <v>3625000</v>
      </c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</row>
    <row r="185">
      <c r="A185" s="71" t="n">
        <v>46091</v>
      </c>
      <c r="B185" s="37" t="inlineStr">
        <is>
          <t>ok</t>
        </is>
      </c>
      <c r="C185" s="37" t="n"/>
      <c r="D185" s="37" t="inlineStr">
        <is>
          <t>品牌</t>
        </is>
      </c>
      <c r="E185" s="38" t="inlineStr">
        <is>
          <t>多个大家电爆款商单</t>
        </is>
      </c>
      <c r="F185" s="37" t="inlineStr">
        <is>
          <t>江十一</t>
        </is>
      </c>
      <c r="G185" s="37" t="inlineStr">
        <is>
          <t>https://www.xingtu.cn/ad/creator/author-homepage/douyin-video/7495973776300408859?market_track_id=PWQW3OK5VNZ1SLBXNIR0&amp;search_session_id=7611072156659302427&amp;possessStarId</t>
        </is>
      </c>
      <c r="H185" s="37" t="inlineStr">
        <is>
          <t>https://www.douyin.com/user/MS4wLjABAAAAnq7rHHWhn8NtYJqh0PT6cEv-grsVAk9-MV_5DFwB2tX-u92xZiyX2-8drDyBmlL5</t>
        </is>
      </c>
      <c r="I185" s="37" t="inlineStr">
        <is>
          <t>Sasha89160</t>
        </is>
      </c>
      <c r="J185" s="37" t="inlineStr">
        <is>
          <t>非遗</t>
        </is>
      </c>
      <c r="K185" s="37" t="inlineStr">
        <is>
          <t>腰部</t>
        </is>
      </c>
      <c r="L185" s="37" t="n">
        <v>120</v>
      </c>
      <c r="M185" s="37" t="inlineStr">
        <is>
          <t>2000-20000</t>
        </is>
      </c>
      <c r="N185" s="37" t="inlineStr">
        <is>
          <t>小镇青年
新锐白领
精致妈妈</t>
        </is>
      </c>
      <c r="O185" s="41" t="n">
        <v>0.49</v>
      </c>
      <c r="P185" s="37" t="n">
        <v>3154000</v>
      </c>
      <c r="Q185" s="37">
        <f>SUM(Z185*1.05)</f>
        <v/>
      </c>
      <c r="R185" s="40">
        <f>Z185/(AB185+AD185+AC185)</f>
        <v/>
      </c>
      <c r="S185" s="37" t="inlineStr">
        <is>
          <t>视频</t>
        </is>
      </c>
      <c r="T185" s="41" t="n">
        <v>0.59</v>
      </c>
      <c r="U185" s="41" t="n">
        <v>0.25</v>
      </c>
      <c r="V185" s="41" t="n">
        <v>0.43</v>
      </c>
      <c r="W185" s="41" t="n">
        <v>0.13</v>
      </c>
      <c r="X185" s="37" t="n"/>
      <c r="Y185" s="37" t="n"/>
      <c r="Z185" s="37" t="n">
        <v>52000</v>
      </c>
      <c r="AA185" s="157">
        <f>SUM((Z185/P185)*1000)</f>
        <v/>
      </c>
      <c r="AB185" s="37" t="n">
        <v>29000</v>
      </c>
      <c r="AC185" s="37" t="n">
        <v>558</v>
      </c>
      <c r="AD185" s="37" t="n">
        <v>656</v>
      </c>
      <c r="AE185" s="37" t="n"/>
      <c r="AF185" s="37" t="n"/>
      <c r="AG185" s="37" t="n"/>
      <c r="AH185" s="37" t="n"/>
      <c r="AI185" s="37" t="n"/>
      <c r="AJ185" s="37" t="n"/>
      <c r="AK185" s="37" t="n"/>
      <c r="AL185" s="37" t="n"/>
      <c r="AM185" s="37" t="n"/>
      <c r="AN185" s="37" t="n"/>
      <c r="AO185" s="37" t="n"/>
      <c r="AP185" s="37" t="n"/>
      <c r="AQ185" s="43" t="n"/>
      <c r="AR185" s="43" t="n"/>
    </row>
    <row r="186" ht="24.75" customHeight="1" s="151">
      <c r="A186" s="17" t="n">
        <v>46091</v>
      </c>
      <c r="B186" s="18" t="inlineStr">
        <is>
          <t>ok</t>
        </is>
      </c>
      <c r="C186" s="18" t="n"/>
      <c r="D186" s="18" t="inlineStr">
        <is>
          <t>电商</t>
        </is>
      </c>
      <c r="E186" s="32" t="inlineStr">
        <is>
          <t>温馨三口之家，原木风装修风格，场景适配</t>
        </is>
      </c>
      <c r="F186" s="32" t="inlineStr">
        <is>
          <t>张帅小屋</t>
        </is>
      </c>
      <c r="G186" s="36" t="inlineStr">
        <is>
          <t>https://www.xingtu.cn/ad/creator/author/douyin/7173687464870019076</t>
        </is>
      </c>
      <c r="H186" s="18" t="inlineStr">
        <is>
          <t>https://www.douyin.com/user/MS4wLjABAAAAIFj1JP9UPWhs18VcYR0GWnoaG0_3IuysonhEak_y-E9sMIancFJvxAv5ouUg-AfN</t>
        </is>
      </c>
      <c r="I186" s="18" t="inlineStr">
        <is>
          <t>ZhizuChangLe1017</t>
        </is>
      </c>
      <c r="J186" s="32" t="inlineStr">
        <is>
          <t>家居</t>
        </is>
      </c>
      <c r="K186" s="32" t="inlineStr">
        <is>
          <t>尾部</t>
        </is>
      </c>
      <c r="L186" s="32" t="n">
        <v>21</v>
      </c>
      <c r="M186" s="18" t="inlineStr">
        <is>
          <t>150-2000</t>
        </is>
      </c>
      <c r="N186" s="18" t="inlineStr">
        <is>
          <t>小镇青年
新锐白领
精致妈妈</t>
        </is>
      </c>
      <c r="O186" s="21" t="n">
        <v>0.53</v>
      </c>
      <c r="P186" s="18" t="n">
        <v>291000</v>
      </c>
      <c r="Q186" s="18">
        <f>SUM(Z186*1.05)</f>
        <v/>
      </c>
      <c r="R186" s="20">
        <f>Z186/(AB186+AD186+AC186)</f>
        <v/>
      </c>
      <c r="S186" s="18" t="inlineStr">
        <is>
          <t>视频</t>
        </is>
      </c>
      <c r="T186" s="46" t="n">
        <v>0.589</v>
      </c>
      <c r="U186" s="47" t="n">
        <v>0.28</v>
      </c>
      <c r="V186" s="47" t="n">
        <v>0.4</v>
      </c>
      <c r="W186" s="47" t="n">
        <v>0.15</v>
      </c>
      <c r="X186" s="47" t="n"/>
      <c r="Y186" s="47" t="n"/>
      <c r="Z186" s="32" t="n">
        <v>21000</v>
      </c>
      <c r="AA186" s="154">
        <f>SUM((Z186/P186)*1000)</f>
        <v/>
      </c>
      <c r="AB186" s="48" t="n">
        <v>2004</v>
      </c>
      <c r="AC186" s="32" t="n">
        <v>136</v>
      </c>
      <c r="AD186" s="32" t="n">
        <v>209</v>
      </c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</row>
    <row r="187" ht="24.75" customHeight="1" s="151">
      <c r="A187" s="17" t="n">
        <v>46091</v>
      </c>
      <c r="B187" s="18" t="inlineStr">
        <is>
          <t>ok</t>
        </is>
      </c>
      <c r="C187" s="18" t="n"/>
      <c r="D187" s="18" t="inlineStr">
        <is>
          <t>电商</t>
        </is>
      </c>
      <c r="E187" s="32" t="inlineStr">
        <is>
          <t>生活美学·家居好物·装修分享
全屋智能</t>
        </is>
      </c>
      <c r="F187" s="18" t="inlineStr">
        <is>
          <t>舸老板</t>
        </is>
      </c>
      <c r="G187" s="18" t="inlineStr">
        <is>
          <t>https://www.xingtu.cn/ad/creator/author-homepage/douyin-video/7281563288301731859?market_track_id=28H8VODTJ0FNIG82X54T&amp;search_session_id=7615568443047297034&amp;possessStarId</t>
        </is>
      </c>
      <c r="H187" s="18" t="inlineStr">
        <is>
          <t>https://www.douyin.com/user/MS4wLjABAAAAe3cuvpCBepjeMy5x_Qd_zT7fM240_Ad-BcVkbl1UoYw</t>
        </is>
      </c>
      <c r="I187" s="18" t="n">
        <v>39545322312</v>
      </c>
      <c r="J187" s="32" t="inlineStr">
        <is>
          <t>家居</t>
        </is>
      </c>
      <c r="K187" s="18" t="inlineStr">
        <is>
          <t>腰部</t>
        </is>
      </c>
      <c r="L187" s="18" t="n">
        <v>132</v>
      </c>
      <c r="M187" s="18" t="inlineStr">
        <is>
          <t>150-2000</t>
        </is>
      </c>
      <c r="N187" s="18" t="inlineStr">
        <is>
          <t>新锐白领
精致妈妈
小镇青年</t>
        </is>
      </c>
      <c r="O187" s="21" t="n">
        <v>0.66</v>
      </c>
      <c r="P187" s="18" t="n">
        <v>2060000</v>
      </c>
      <c r="Q187" s="18">
        <f>SUM(Z187*1.05)</f>
        <v/>
      </c>
      <c r="R187" s="20">
        <f>Z187/(AB187+AD187+AC187)</f>
        <v/>
      </c>
      <c r="S187" s="18" t="inlineStr">
        <is>
          <t>视频</t>
        </is>
      </c>
      <c r="T187" s="21" t="n">
        <v>0.6</v>
      </c>
      <c r="U187" s="21" t="n">
        <v>0.36</v>
      </c>
      <c r="V187" s="21" t="n">
        <v>0.39</v>
      </c>
      <c r="W187" s="21" t="n">
        <v>0.05</v>
      </c>
      <c r="X187" s="18" t="n"/>
      <c r="Y187" s="18" t="n"/>
      <c r="Z187" s="18" t="n">
        <v>58000</v>
      </c>
      <c r="AA187" s="154">
        <f>SUM((Z187/P187)*1000)</f>
        <v/>
      </c>
      <c r="AB187" s="18" t="n">
        <v>18000</v>
      </c>
      <c r="AC187" s="18" t="n">
        <v>84</v>
      </c>
      <c r="AD187" s="18" t="n">
        <v>146</v>
      </c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</row>
    <row r="188" ht="46" customHeight="1" s="151">
      <c r="A188" s="73" t="n"/>
      <c r="B188" s="60" t="n"/>
      <c r="C188" s="60" t="n"/>
      <c r="D188" s="60" t="n"/>
      <c r="E188" s="61" t="n"/>
      <c r="F188" s="60" t="n"/>
      <c r="G188" s="60" t="n"/>
      <c r="H188" s="60" t="n"/>
      <c r="I188" s="60" t="n"/>
      <c r="J188" s="61" t="n"/>
      <c r="K188" s="60" t="n"/>
      <c r="L188" s="60" t="n"/>
      <c r="M188" s="60" t="n"/>
      <c r="N188" s="60" t="n"/>
      <c r="O188" s="63" t="n"/>
      <c r="P188" s="60" t="n"/>
      <c r="Q188" s="60" t="n"/>
      <c r="R188" s="62" t="n"/>
      <c r="S188" s="60" t="n"/>
      <c r="T188" s="63" t="n"/>
      <c r="U188" s="63" t="n"/>
      <c r="V188" s="63" t="n"/>
      <c r="W188" s="63" t="n"/>
      <c r="X188" s="60" t="n"/>
      <c r="Y188" s="60" t="n"/>
      <c r="Z188" s="60" t="n"/>
      <c r="AA188" s="159" t="n"/>
      <c r="AB188" s="60" t="n"/>
      <c r="AC188" s="60" t="n"/>
      <c r="AD188" s="60" t="n"/>
      <c r="AE188" s="60" t="n"/>
      <c r="AF188" s="60" t="n"/>
      <c r="AG188" s="60" t="n"/>
      <c r="AH188" s="60" t="n"/>
      <c r="AI188" s="60" t="n"/>
      <c r="AJ188" s="60" t="n"/>
      <c r="AK188" s="60" t="n"/>
      <c r="AL188" s="60" t="n"/>
      <c r="AM188" s="60" t="n"/>
      <c r="AN188" s="60" t="n"/>
      <c r="AO188" s="60" t="n"/>
      <c r="AP188" s="60" t="n"/>
    </row>
    <row r="189" ht="24.75" customHeight="1" s="151">
      <c r="A189" s="17" t="n">
        <v>46092</v>
      </c>
      <c r="B189" s="18" t="inlineStr">
        <is>
          <t>ok</t>
        </is>
      </c>
      <c r="C189" s="18" t="n"/>
      <c r="D189" s="18" t="inlineStr">
        <is>
          <t>品牌</t>
        </is>
      </c>
      <c r="E189" s="32" t="inlineStr">
        <is>
          <t>家电垂直帐号，开门见山讲产品，种草能力更强</t>
        </is>
      </c>
      <c r="F189" s="18" t="inlineStr">
        <is>
          <t>猜礼物</t>
        </is>
      </c>
      <c r="G189" s="18" t="inlineStr">
        <is>
          <t>https://www.xingtu.cn/ad/creator/author-homepage/douyin-video/6834368834065924104?market_track_id=EVK545173R6DJQ919O2U&amp;search_session_id=7615827593002287113&amp;possessStarId</t>
        </is>
      </c>
      <c r="H189" s="18" t="inlineStr">
        <is>
          <t>https://www.douyin.com/user/MS4wLjABAAAA-F9dWILzcODO8ptMC_wYoEMaqlWxDlkMc3pcG4Fv6ok</t>
        </is>
      </c>
      <c r="I189" s="18" t="inlineStr">
        <is>
          <t>cailiwu</t>
        </is>
      </c>
      <c r="J189" s="32" t="inlineStr">
        <is>
          <t>家居</t>
        </is>
      </c>
      <c r="K189" s="18" t="inlineStr">
        <is>
          <t>腰部</t>
        </is>
      </c>
      <c r="L189" s="18" t="n">
        <v>74</v>
      </c>
      <c r="M189" s="18" t="inlineStr">
        <is>
          <t>150-2000</t>
        </is>
      </c>
      <c r="N189" s="18" t="inlineStr">
        <is>
          <t>新锐白领
小镇青年
精致妈妈</t>
        </is>
      </c>
      <c r="O189" s="21" t="n">
        <v>0.57</v>
      </c>
      <c r="P189" s="18" t="n">
        <v>1037000</v>
      </c>
      <c r="Q189" s="18">
        <f>SUM(Z189*1.05)</f>
        <v/>
      </c>
      <c r="R189" s="20">
        <f>Z189/(AB189+AD189+AC189)</f>
        <v/>
      </c>
      <c r="S189" s="18" t="inlineStr">
        <is>
          <t>视频</t>
        </is>
      </c>
      <c r="T189" s="21" t="n">
        <v>0.42</v>
      </c>
      <c r="U189" s="21" t="n">
        <v>0.32</v>
      </c>
      <c r="V189" s="21" t="n">
        <v>0.46</v>
      </c>
      <c r="W189" s="21" t="n">
        <v>0.09</v>
      </c>
      <c r="X189" s="18" t="n"/>
      <c r="Y189" s="18" t="n"/>
      <c r="Z189" s="18" t="n">
        <v>50000</v>
      </c>
      <c r="AA189" s="154">
        <f>SUM((Z189/P189)*1000)</f>
        <v/>
      </c>
      <c r="AB189" s="18" t="n">
        <v>24000</v>
      </c>
      <c r="AC189" s="18" t="n">
        <v>414</v>
      </c>
      <c r="AD189" s="18" t="n">
        <v>2532</v>
      </c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</row>
    <row r="190" ht="24.75" customHeight="1" s="151">
      <c r="A190" s="17" t="n">
        <v>46092</v>
      </c>
      <c r="B190" s="18" t="inlineStr">
        <is>
          <t>ok</t>
        </is>
      </c>
      <c r="C190" s="18" t="n"/>
      <c r="D190" s="18" t="inlineStr">
        <is>
          <t>品牌</t>
        </is>
      </c>
      <c r="E190" s="32" t="inlineStr">
        <is>
          <t xml:space="preserve">90后躺平女青年 记录生活中的我爱好的每一刻 </t>
        </is>
      </c>
      <c r="F190" s="18" t="inlineStr">
        <is>
          <t xml:space="preserve">
米粒Fay</t>
        </is>
      </c>
      <c r="G190" s="18" t="inlineStr">
        <is>
          <t>https://www.xingtu.cn/ad/creator/author-homepage/douyin-video/7245215464144502821?market_track_id=FTU6556YBFN9GARRYMMU&amp;search_session_id=7615828418950250534&amp;possessStarId</t>
        </is>
      </c>
      <c r="H190" s="18" t="inlineStr">
        <is>
          <t>https://www.douyin.com/user/MS4wLjABAAAAcWdg-koNqRnGlL9eDZ_Y-G0_vn1YIXEF10B1W5yI-lcbhPk8sGck8zMoxIhTmKUO</t>
        </is>
      </c>
      <c r="I190" s="18" t="inlineStr">
        <is>
          <t>tjs555555</t>
        </is>
      </c>
      <c r="J190" s="32" t="inlineStr">
        <is>
          <t>家居</t>
        </is>
      </c>
      <c r="K190" s="18" t="inlineStr">
        <is>
          <t>腰部</t>
        </is>
      </c>
      <c r="L190" s="18" t="n">
        <v>81</v>
      </c>
      <c r="M190" s="18" t="inlineStr">
        <is>
          <t>150-2000</t>
        </is>
      </c>
      <c r="N190" s="18" t="inlineStr">
        <is>
          <t>资深中产
小镇青年
都市蓝领</t>
        </is>
      </c>
      <c r="O190" s="21" t="n">
        <v>0.44</v>
      </c>
      <c r="P190" s="18" t="n">
        <v>2015000</v>
      </c>
      <c r="Q190" s="18">
        <f>SUM(Z190*1.05)</f>
        <v/>
      </c>
      <c r="R190" s="20">
        <f>Z190/(AB190+AD190+AC190)</f>
        <v/>
      </c>
      <c r="S190" s="18" t="inlineStr">
        <is>
          <t>视频</t>
        </is>
      </c>
      <c r="T190" s="21" t="n">
        <v>0.65</v>
      </c>
      <c r="U190" s="21" t="n">
        <v>0.14</v>
      </c>
      <c r="V190" s="21" t="n">
        <v>0.35</v>
      </c>
      <c r="W190" s="21" t="n">
        <v>0.22</v>
      </c>
      <c r="X190" s="18" t="n"/>
      <c r="Y190" s="18" t="n"/>
      <c r="Z190" s="18" t="n">
        <v>40000</v>
      </c>
      <c r="AA190" s="154">
        <f>SUM((Z190/P190)*1000)</f>
        <v/>
      </c>
      <c r="AB190" s="18" t="n">
        <v>31000</v>
      </c>
      <c r="AC190" s="18" t="n">
        <v>370</v>
      </c>
      <c r="AD190" s="18" t="n">
        <v>587</v>
      </c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</row>
    <row r="191" ht="24.75" customHeight="1" s="151">
      <c r="A191" s="71" t="n">
        <v>46092</v>
      </c>
      <c r="B191" s="37" t="inlineStr">
        <is>
          <t>ok</t>
        </is>
      </c>
      <c r="C191" s="37" t="n"/>
      <c r="D191" s="37" t="inlineStr">
        <is>
          <t>品牌</t>
        </is>
      </c>
      <c r="E191" s="38" t="inlineStr">
        <is>
          <t>150平横厅户型家居博主,全屋智能家居家电</t>
        </is>
      </c>
      <c r="F191" s="37" t="inlineStr">
        <is>
          <t>是管管呀</t>
        </is>
      </c>
      <c r="G191" s="37" t="inlineStr">
        <is>
          <t>https://www.xingtu.cn/ad/creator/author-homepage/douyin-video/6944117204090617894?market_track_id=PVVZQQZTA088YGZCZE3M&amp;search_session_id=7615829959416086554&amp;possessStarId</t>
        </is>
      </c>
      <c r="H191" s="37" t="inlineStr">
        <is>
          <t>https://www.douyin.com/user/MS4wLjABAAAAuizX40s-AiiyhJ8OJ2i-rV2hqLjwZX_3PJaczfPMbVJxQShBk98mSmtC11y_wVBd</t>
        </is>
      </c>
      <c r="I191" s="37" t="inlineStr">
        <is>
          <t>guanmengyao20</t>
        </is>
      </c>
      <c r="J191" s="38" t="inlineStr">
        <is>
          <t>家居</t>
        </is>
      </c>
      <c r="K191" s="37" t="inlineStr">
        <is>
          <t>尾部</t>
        </is>
      </c>
      <c r="L191" s="37" t="n">
        <v>33</v>
      </c>
      <c r="M191" s="37" t="inlineStr">
        <is>
          <t>150-2000</t>
        </is>
      </c>
      <c r="N191" s="37" t="inlineStr">
        <is>
          <t>新锐白领
小镇青年
精致妈妈</t>
        </is>
      </c>
      <c r="O191" s="41" t="n">
        <v>0.5</v>
      </c>
      <c r="P191" s="37" t="n">
        <v>1035000</v>
      </c>
      <c r="Q191" s="37">
        <f>SUM(Z191*1.05)</f>
        <v/>
      </c>
      <c r="R191" s="40">
        <f>Z191/(AB191+AD191+AC191)</f>
        <v/>
      </c>
      <c r="S191" s="37" t="inlineStr">
        <is>
          <t>视频</t>
        </is>
      </c>
      <c r="T191" s="41" t="n">
        <v>0.5</v>
      </c>
      <c r="U191" s="41" t="n">
        <v>0.31</v>
      </c>
      <c r="V191" s="41" t="n">
        <v>0.49</v>
      </c>
      <c r="W191" s="41" t="n">
        <v>0.05</v>
      </c>
      <c r="X191" s="37" t="n"/>
      <c r="Y191" s="37" t="n"/>
      <c r="Z191" s="37" t="n">
        <v>26900</v>
      </c>
      <c r="AA191" s="157">
        <f>SUM((Z191/P191)*1000)</f>
        <v/>
      </c>
      <c r="AB191" s="37" t="n">
        <v>7832</v>
      </c>
      <c r="AC191" s="37" t="n">
        <v>222</v>
      </c>
      <c r="AD191" s="37" t="n">
        <v>569</v>
      </c>
      <c r="AE191" s="37" t="n"/>
      <c r="AF191" s="37" t="n"/>
      <c r="AG191" s="37" t="n"/>
      <c r="AH191" s="37" t="n"/>
      <c r="AI191" s="37" t="n"/>
      <c r="AJ191" s="37" t="n"/>
      <c r="AK191" s="37" t="n"/>
      <c r="AL191" s="37" t="n"/>
      <c r="AM191" s="37" t="n"/>
      <c r="AN191" s="37" t="n"/>
      <c r="AO191" s="37" t="n"/>
      <c r="AP191" s="37" t="n"/>
      <c r="AQ191" s="43" t="n"/>
      <c r="AR191" s="43" t="n"/>
    </row>
    <row r="192">
      <c r="A192" s="72" t="n">
        <v>46092</v>
      </c>
      <c r="B192" s="53" t="inlineStr">
        <is>
          <t>人群不对</t>
        </is>
      </c>
      <c r="C192" s="53" t="n"/>
      <c r="D192" s="53" t="inlineStr">
        <is>
          <t>品牌</t>
        </is>
      </c>
      <c r="E192" s="54" t="n"/>
      <c r="F192" s="53" t="inlineStr">
        <is>
          <t xml:space="preserve">
院里的凌叔</t>
        </is>
      </c>
      <c r="G192" s="53" t="inlineStr">
        <is>
          <t>https://www.xingtu.cn/ad/creator/author-homepage/douyin-video/7120255283875545118?market_track_id=RFXEOFXZ0NT7SBTM4NSS&amp;search_session_id=7615830168871747593&amp;possessStarId</t>
        </is>
      </c>
      <c r="H192" s="53" t="inlineStr">
        <is>
          <t>https://www.douyin.com/user/MS4wLjABAAAA4LaXCt3utG_riGzCCLCdF0nE4x1iqCMwnPw6kIyJew37c25uFtpFI1G_IgPL9ltNhunjun1988</t>
        </is>
      </c>
      <c r="I192" s="53" t="inlineStr">
        <is>
          <t>hunjun1988</t>
        </is>
      </c>
      <c r="J192" s="54" t="inlineStr">
        <is>
          <t>家居</t>
        </is>
      </c>
      <c r="K192" s="53" t="inlineStr">
        <is>
          <t>尾部</t>
        </is>
      </c>
      <c r="L192" s="53" t="n">
        <v>40</v>
      </c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53" t="n"/>
      <c r="AN192" s="53" t="n"/>
      <c r="AO192" s="53" t="n"/>
      <c r="AP192" s="53" t="n"/>
      <c r="AQ192" s="57" t="n"/>
      <c r="AR192" s="57" t="n"/>
    </row>
    <row r="193">
      <c r="A193" s="71" t="n">
        <v>46092</v>
      </c>
      <c r="B193" s="37" t="inlineStr">
        <is>
          <t>博主形象一般</t>
        </is>
      </c>
      <c r="C193" s="37" t="n"/>
      <c r="D193" s="37" t="inlineStr">
        <is>
          <t>品牌</t>
        </is>
      </c>
      <c r="E193" s="38" t="n"/>
      <c r="F193" s="37" t="inlineStr">
        <is>
          <t>阿福你在干什么</t>
        </is>
      </c>
      <c r="G193" s="37" t="inlineStr">
        <is>
          <t>https://www.xingtu.cn/ad/creator/author-homepage/douyin-video/7443044824921407538?market_track_id=OTDIBZQ2VDQKJ5MLUFVC&amp;search_session_id=7615830546245566491&amp;possessStarId</t>
        </is>
      </c>
      <c r="H193" s="37" t="inlineStr">
        <is>
          <t>https://www.douyin.com/user/MS4wLjABAAAAU1CIlkZD-ncNht3DJ2gyjpQMbJA8cuxm85PhmuFBlH_Xuege6EKfHP7JJ1ejcU0i</t>
        </is>
      </c>
      <c r="I193" s="37" t="inlineStr">
        <is>
          <t>L1129888888</t>
        </is>
      </c>
      <c r="J193" s="38" t="inlineStr">
        <is>
          <t>家居</t>
        </is>
      </c>
      <c r="K193" s="37" t="inlineStr">
        <is>
          <t>腰部</t>
        </is>
      </c>
      <c r="L193" s="37" t="n">
        <v>117</v>
      </c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  <c r="AC193" s="37" t="n"/>
      <c r="AD193" s="37" t="n"/>
      <c r="AE193" s="37" t="n"/>
      <c r="AF193" s="37" t="n"/>
      <c r="AG193" s="37" t="n"/>
      <c r="AH193" s="37" t="n"/>
      <c r="AI193" s="37" t="n"/>
      <c r="AJ193" s="37" t="n"/>
      <c r="AK193" s="37" t="n"/>
      <c r="AL193" s="37" t="n"/>
      <c r="AM193" s="37" t="n"/>
      <c r="AN193" s="37" t="n"/>
      <c r="AO193" s="37" t="n"/>
      <c r="AP193" s="37" t="n"/>
      <c r="AQ193" s="43" t="n"/>
      <c r="AR193" s="43" t="n"/>
    </row>
    <row r="194" ht="24.75" customHeight="1" s="151">
      <c r="A194" s="17" t="n">
        <v>46092</v>
      </c>
      <c r="B194" s="18" t="inlineStr">
        <is>
          <t>客户估计会觉得商业风太重，但你先给品牌吧</t>
        </is>
      </c>
      <c r="C194" s="18" t="n"/>
      <c r="D194" s="18" t="inlineStr">
        <is>
          <t>品牌</t>
        </is>
      </c>
      <c r="E194" s="32" t="inlineStr">
        <is>
          <t>享省妈妙招、家居好物 生活家居、恋爱类，母婴类、家电类</t>
        </is>
      </c>
      <c r="F194" s="18" t="inlineStr">
        <is>
          <t xml:space="preserve">
林予的居居窝</t>
        </is>
      </c>
      <c r="G194" s="18" t="inlineStr">
        <is>
          <t>https://www.xingtu.cn/ad/creator/author-homepage/douyin-video/6739499247890071565?market_track_id=3WJJQM1BO6UF7F5FMUOZ&amp;search_session_id=7615867715550691337&amp;possessStarId&amp;active_tab=content_performance&amp;active_module=.content-video-list-panel&amp;content_key_word=%E7%A9%BA%E8%B0%83</t>
        </is>
      </c>
      <c r="H194" s="18" t="inlineStr">
        <is>
          <t>https://www.douyin.com/user/MS4wLjABAAAAPpmxjaU9WAIjuHBeNcJjwxCe-WQt14KaW9OdaCMpx5w</t>
        </is>
      </c>
      <c r="I194" s="18" t="inlineStr">
        <is>
          <t>ccl516711766</t>
        </is>
      </c>
      <c r="J194" s="32" t="inlineStr">
        <is>
          <t>家居</t>
        </is>
      </c>
      <c r="K194" s="18" t="inlineStr">
        <is>
          <t>腰部</t>
        </is>
      </c>
      <c r="L194" s="18" t="n">
        <v>70</v>
      </c>
      <c r="M194" s="18" t="inlineStr">
        <is>
          <t>2000-20000</t>
        </is>
      </c>
      <c r="N194" s="18" t="inlineStr">
        <is>
          <t>精致妈妈
资深中产
新锐白领</t>
        </is>
      </c>
      <c r="O194" s="21" t="n">
        <v>0.6899999999999999</v>
      </c>
      <c r="P194" s="18" t="n">
        <v>1211000</v>
      </c>
      <c r="Q194" s="18">
        <f>SUM(Z194*1.05)</f>
        <v/>
      </c>
      <c r="R194" s="20">
        <f>Z194/(AB194+AD194+AC194)</f>
        <v/>
      </c>
      <c r="S194" s="18" t="inlineStr">
        <is>
          <t>视频</t>
        </is>
      </c>
      <c r="T194" s="21" t="n">
        <v>0.93</v>
      </c>
      <c r="U194" s="21" t="n">
        <v>0.27</v>
      </c>
      <c r="V194" s="21" t="n">
        <v>0.48</v>
      </c>
      <c r="W194" s="21" t="n">
        <v>0.15</v>
      </c>
      <c r="X194" s="18" t="n"/>
      <c r="Y194" s="18" t="n"/>
      <c r="Z194" s="18" t="n">
        <v>45000</v>
      </c>
      <c r="AA194" s="154">
        <f>SUM((Z194/P194)*1000)</f>
        <v/>
      </c>
      <c r="AB194" s="18" t="n">
        <v>14000</v>
      </c>
      <c r="AC194" s="18" t="n">
        <v>170</v>
      </c>
      <c r="AD194" s="18" t="n">
        <v>109</v>
      </c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</row>
    <row r="195" ht="24.75" customHeight="1" s="151">
      <c r="A195" s="17" t="n">
        <v>46092</v>
      </c>
      <c r="B195" s="18" t="inlineStr">
        <is>
          <t>客户估计会觉得商业风太重，但你先给品牌吧</t>
        </is>
      </c>
      <c r="C195" s="18" t="n"/>
      <c r="D195" s="18" t="inlineStr">
        <is>
          <t>品牌</t>
        </is>
      </c>
      <c r="E195" s="32" t="inlineStr">
        <is>
          <t>好物分享/精致生活/带娃小知识 👉🏻</t>
        </is>
      </c>
      <c r="F195" s="18" t="inlineStr">
        <is>
          <t>辣妈珊珊的理想家</t>
        </is>
      </c>
      <c r="G195" s="18" t="inlineStr">
        <is>
          <t>https://www.xingtu.cn/ad/creator/author-homepage/douyin-video/6756127062890643470?market_track_id=3WJJQM1BO6UF7F5FMUOZ&amp;search_session_id=7615869734516883483&amp;possessStarId&amp;active_tab=content_performance&amp;active_module=.content-video-list-panel&amp;content_key_word=%E7%A9%BA%E8%B0%83</t>
        </is>
      </c>
      <c r="H195" s="18" t="inlineStr">
        <is>
          <t>https://www.douyin.com/user/MS4wLjABAAAAClvYs-T0IT0Jh-O_-dQKH3--0A741RDW2jR_uSYe3kQ</t>
        </is>
      </c>
      <c r="I195" s="18" t="inlineStr">
        <is>
          <t>wangzishan11</t>
        </is>
      </c>
      <c r="J195" s="18" t="inlineStr">
        <is>
          <t>母婴</t>
        </is>
      </c>
      <c r="K195" s="18" t="inlineStr">
        <is>
          <t>腰部</t>
        </is>
      </c>
      <c r="L195" s="18" t="n">
        <v>78</v>
      </c>
      <c r="M195" s="18" t="inlineStr">
        <is>
          <t>150-2000</t>
        </is>
      </c>
      <c r="N195" s="18" t="inlineStr">
        <is>
          <t>小镇青年
都市蓝领
精致妈妈</t>
        </is>
      </c>
      <c r="O195" s="21" t="n">
        <v>0.4</v>
      </c>
      <c r="P195" s="18" t="n">
        <v>612000</v>
      </c>
      <c r="Q195" s="18">
        <f>SUM(Z195*1.05)</f>
        <v/>
      </c>
      <c r="R195" s="20">
        <f>Z195/(AB195+AD195+AC195)</f>
        <v/>
      </c>
      <c r="S195" s="18" t="inlineStr">
        <is>
          <t>视频</t>
        </is>
      </c>
      <c r="T195" s="21" t="n">
        <v>0.88</v>
      </c>
      <c r="U195" s="21" t="n">
        <v>0.26</v>
      </c>
      <c r="V195" s="21" t="n">
        <v>0.44</v>
      </c>
      <c r="W195" s="21" t="n">
        <v>0.05</v>
      </c>
      <c r="X195" s="18" t="n"/>
      <c r="Y195" s="18" t="n"/>
      <c r="Z195" s="18" t="n">
        <v>50000</v>
      </c>
      <c r="AA195" s="154">
        <f>SUM((Z195/P195)*1000)</f>
        <v/>
      </c>
      <c r="AB195" s="18" t="n">
        <v>30000</v>
      </c>
      <c r="AC195" s="18" t="n">
        <v>155</v>
      </c>
      <c r="AD195" s="18" t="n">
        <v>497</v>
      </c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</row>
    <row r="196" ht="24.75" customHeight="1" s="151">
      <c r="A196" s="17" t="n">
        <v>46092</v>
      </c>
      <c r="B196" s="18" t="inlineStr">
        <is>
          <t>博主形象一般，但你先给吧</t>
        </is>
      </c>
      <c r="C196" s="18" t="n"/>
      <c r="D196" s="18" t="inlineStr">
        <is>
          <t>品牌</t>
        </is>
      </c>
      <c r="E196" s="32" t="inlineStr">
        <is>
          <t>一层145平🏠一楼复式装修中 避坑经验｜家具好物分享</t>
        </is>
      </c>
      <c r="F196" s="18" t="inlineStr">
        <is>
          <t>唤唤超爱捣鼓家</t>
        </is>
      </c>
      <c r="G196" s="18" t="inlineStr">
        <is>
          <t>https://www.xingtu.cn/ad/creator/author-homepage/douyin-video/7127213766332121124?market_track_id=3WJJQM1BO6UF7F5FMUOZ&amp;search_session_id=7615870486664691722&amp;possessStarId&amp;active_tab=content_performance&amp;active_module=.content-video-list-panel&amp;content_key_word=%E7%A9%BA%E8%B0%83</t>
        </is>
      </c>
      <c r="H196" s="18" t="inlineStr">
        <is>
          <t>https://www.douyin.com/user/MS4wLjABAAAAGaIqVOnmR7lsUUWmFIXYrHxiGaswCmCGOXTyDCefVOU</t>
        </is>
      </c>
      <c r="I196" s="18" t="n">
        <v>40408138957</v>
      </c>
      <c r="J196" s="18" t="inlineStr">
        <is>
          <t>家居</t>
        </is>
      </c>
      <c r="K196" s="18" t="inlineStr">
        <is>
          <t>腰部</t>
        </is>
      </c>
      <c r="L196" s="18" t="n">
        <v>52</v>
      </c>
      <c r="M196" s="18" t="inlineStr">
        <is>
          <t>150-2000</t>
        </is>
      </c>
      <c r="N196" s="18" t="inlineStr">
        <is>
          <t>新锐白领
精致妈妈
小镇青年</t>
        </is>
      </c>
      <c r="O196" s="21" t="n">
        <v>0.75</v>
      </c>
      <c r="P196" s="18" t="n">
        <v>673000</v>
      </c>
      <c r="Q196" s="18">
        <f>SUM(Z196*1.05)</f>
        <v/>
      </c>
      <c r="R196" s="20">
        <f>Z196/(AB196+AD196+AC196)</f>
        <v/>
      </c>
      <c r="S196" s="18" t="inlineStr">
        <is>
          <t>视频</t>
        </is>
      </c>
      <c r="T196" s="21" t="n">
        <v>0.43</v>
      </c>
      <c r="U196" s="21" t="n">
        <v>0.36</v>
      </c>
      <c r="V196" s="21" t="n">
        <v>0.46</v>
      </c>
      <c r="W196" s="21" t="n">
        <v>0.08</v>
      </c>
      <c r="X196" s="18" t="n"/>
      <c r="Y196" s="18" t="n"/>
      <c r="Z196" s="18" t="n">
        <v>29800</v>
      </c>
      <c r="AA196" s="154">
        <f>SUM((Z196/P196)*1000)</f>
        <v/>
      </c>
      <c r="AB196" s="18" t="n">
        <v>11000</v>
      </c>
      <c r="AC196" s="18" t="n">
        <v>553</v>
      </c>
      <c r="AD196" s="18" t="n">
        <v>621</v>
      </c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</row>
    <row r="197">
      <c r="A197" s="17" t="n">
        <v>46092</v>
      </c>
      <c r="B197" s="18" t="inlineStr">
        <is>
          <t>过于下沉</t>
        </is>
      </c>
      <c r="C197" s="18" t="n"/>
      <c r="D197" s="18" t="inlineStr">
        <is>
          <t>品牌</t>
        </is>
      </c>
      <c r="E197" s="32" t="n"/>
      <c r="F197" s="18" t="inlineStr">
        <is>
          <t>有福气的方慧珍</t>
        </is>
      </c>
      <c r="G197" s="18" t="inlineStr">
        <is>
          <t>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</t>
        </is>
      </c>
      <c r="H197" s="18" t="inlineStr">
        <is>
          <t>https://www.douyin.com/user/MS4wLjABAAAAIOpleKo7Lc3cla1Wa0km2Zx-rz5yHAufN_c36E1LY6M</t>
        </is>
      </c>
      <c r="I197" s="18" t="n">
        <v>31570523440</v>
      </c>
      <c r="J197" s="18" t="inlineStr">
        <is>
          <t>美食</t>
        </is>
      </c>
      <c r="K197" s="18" t="inlineStr">
        <is>
          <t>腰部</t>
        </is>
      </c>
      <c r="L197" s="18" t="n">
        <v>68</v>
      </c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</row>
    <row r="198">
      <c r="A198" s="17" t="n">
        <v>46092</v>
      </c>
      <c r="B198" s="18" t="inlineStr">
        <is>
          <t>受众过于年轻</t>
        </is>
      </c>
      <c r="C198" s="18" t="n"/>
      <c r="D198" s="18" t="inlineStr">
        <is>
          <t>品牌</t>
        </is>
      </c>
      <c r="E198" s="32" t="n"/>
      <c r="F198" s="18" t="inlineStr">
        <is>
          <t>爱笑的露娜</t>
        </is>
      </c>
      <c r="G198" s="18" t="inlineStr">
        <is>
          <t>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</t>
        </is>
      </c>
      <c r="H198" s="18" t="inlineStr">
        <is>
          <t>https://www.douyin.com/user/MS4wLjABAAAAxXgHKJ1FHUF1zt6f9FXSjPzFf_sN29TLoQs8UBWRxHI</t>
        </is>
      </c>
      <c r="I198" s="18" t="inlineStr">
        <is>
          <t>lunar520668</t>
        </is>
      </c>
      <c r="J198" s="18" t="inlineStr">
        <is>
          <t>生活</t>
        </is>
      </c>
      <c r="K198" s="18" t="inlineStr">
        <is>
          <t>腰部</t>
        </is>
      </c>
      <c r="L198" s="18" t="n">
        <v>152</v>
      </c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</row>
    <row r="199">
      <c r="A199" s="72" t="n">
        <v>46092</v>
      </c>
      <c r="B199" s="53" t="inlineStr">
        <is>
          <t>人群差太多</t>
        </is>
      </c>
      <c r="C199" s="53" t="n"/>
      <c r="D199" s="53" t="inlineStr">
        <is>
          <t>电商</t>
        </is>
      </c>
      <c r="E199" s="54" t="n"/>
      <c r="F199" s="53" t="inlineStr">
        <is>
          <t>上海设计师Rigo睿哥</t>
        </is>
      </c>
      <c r="G199" s="53" t="inlineStr">
        <is>
          <t>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</t>
        </is>
      </c>
      <c r="H199" s="53" t="inlineStr">
        <is>
          <t>https://www.douyin.com/user/MS4wLjABAAAAy_cE03ybdZUEslPjZeSfVh_3ZMsCX1Q0pyD4EscLA3zNkiCrxP6-ueEhdldhn4OT</t>
        </is>
      </c>
      <c r="I199" s="53" t="inlineStr">
        <is>
          <t>rigodesign</t>
        </is>
      </c>
      <c r="J199" s="53" t="inlineStr">
        <is>
          <t>家居</t>
        </is>
      </c>
      <c r="K199" s="53" t="inlineStr">
        <is>
          <t>尾部</t>
        </is>
      </c>
      <c r="L199" s="53" t="n">
        <v>24</v>
      </c>
      <c r="M199" s="53" t="inlineStr">
        <is>
          <t>150-2000</t>
        </is>
      </c>
      <c r="N199" s="53" t="inlineStr">
        <is>
          <t>新锐白领
小镇青年
资深中产</t>
        </is>
      </c>
      <c r="O199" s="56" t="n">
        <v>0.63</v>
      </c>
      <c r="P199" s="53" t="n">
        <v>841000</v>
      </c>
      <c r="Q199" s="53">
        <f>Z199*1.05</f>
        <v/>
      </c>
      <c r="R199" s="55">
        <f>Z199/(AB199+AD199+AC199)</f>
        <v/>
      </c>
      <c r="S199" s="53" t="inlineStr">
        <is>
          <t>视频</t>
        </is>
      </c>
      <c r="T199" s="56" t="n">
        <v>0.4</v>
      </c>
      <c r="U199" s="56" t="n">
        <v>0.33</v>
      </c>
      <c r="V199" s="56" t="n">
        <v>0.33</v>
      </c>
      <c r="W199" s="56" t="n">
        <v>0.1</v>
      </c>
      <c r="X199" s="53" t="n"/>
      <c r="Y199" s="53" t="n"/>
      <c r="Z199" s="53" t="n">
        <v>20000</v>
      </c>
      <c r="AA199" s="160">
        <f>SUM((Z199/P199)*1000)</f>
        <v/>
      </c>
      <c r="AB199" s="69" t="n">
        <v>4846</v>
      </c>
      <c r="AC199" s="53" t="n">
        <v>176</v>
      </c>
      <c r="AD199" s="53" t="n">
        <v>563</v>
      </c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53" t="n"/>
      <c r="AN199" s="53" t="n"/>
      <c r="AO199" s="53" t="n"/>
      <c r="AP199" s="53" t="n"/>
      <c r="AQ199" s="57" t="n"/>
      <c r="AR199" s="57" t="n"/>
    </row>
    <row r="200">
      <c r="A200" s="17" t="n">
        <v>46092</v>
      </c>
      <c r="B200" s="18" t="inlineStr">
        <is>
          <t>ok</t>
        </is>
      </c>
      <c r="C200" s="18" t="n"/>
      <c r="D200" s="18" t="inlineStr">
        <is>
          <t>电商</t>
        </is>
      </c>
      <c r="E200" s="32" t="inlineStr">
        <is>
          <t>中高端的法式复古风装修</t>
        </is>
      </c>
      <c r="F200" s="18" t="inlineStr">
        <is>
          <t>西西小姐的家</t>
        </is>
      </c>
      <c r="G200" s="18" t="inlineStr">
        <is>
          <t>https://www.xingtu.cn/ad/creator/author-homepage/douyin-video/7441525730095136818?market_track_id=4JJPR0NAW5HLH2AL27DA&amp;search_session_id=7615830995779764251&amp;possessStarId</t>
        </is>
      </c>
      <c r="H200" s="18" t="inlineStr">
        <is>
          <t>https://www.douyin.com/user/MS4wLjABAAAAqoSN5f3OZoTcXBs_yQr5GSkpokLQJRmgEb9eaYAHRsc1fCILBauFLxSgdnYheyme</t>
        </is>
      </c>
      <c r="I200" s="18" t="n">
        <v>96192233755</v>
      </c>
      <c r="J200" s="32" t="inlineStr">
        <is>
          <t>家居</t>
        </is>
      </c>
      <c r="K200" s="18" t="inlineStr">
        <is>
          <t>尾部</t>
        </is>
      </c>
      <c r="L200" s="18" t="n">
        <v>36</v>
      </c>
      <c r="M200" s="18" t="inlineStr">
        <is>
          <t>150-2000</t>
        </is>
      </c>
      <c r="N200" s="18" t="inlineStr">
        <is>
          <t>新锐白领
小镇青年
资深中产</t>
        </is>
      </c>
      <c r="O200" s="21" t="n">
        <v>0.54</v>
      </c>
      <c r="P200" s="18" t="n">
        <v>527000</v>
      </c>
      <c r="Q200" s="18" t="n">
        <v>19800</v>
      </c>
      <c r="R200" s="20">
        <f>Z200/(AB200+AD200+AC200)</f>
        <v/>
      </c>
      <c r="S200" s="18" t="inlineStr">
        <is>
          <t>视频</t>
        </is>
      </c>
      <c r="T200" s="21" t="n">
        <v>0.44</v>
      </c>
      <c r="U200" s="21" t="n">
        <v>0.23</v>
      </c>
      <c r="V200" s="21" t="n">
        <v>0.51</v>
      </c>
      <c r="W200" s="21" t="n">
        <v>0.17</v>
      </c>
      <c r="X200" s="18" t="n"/>
      <c r="Y200" s="18" t="n"/>
      <c r="Z200" s="18" t="n">
        <v>19800</v>
      </c>
      <c r="AA200" s="154">
        <f>SUM((Z200/P200)*1000)</f>
        <v/>
      </c>
      <c r="AB200" s="18" t="n">
        <v>1577</v>
      </c>
      <c r="AC200" s="18" t="n">
        <v>123</v>
      </c>
      <c r="AD200" s="18" t="n">
        <v>115</v>
      </c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</row>
    <row r="201">
      <c r="A201" s="17" t="n">
        <v>46092</v>
      </c>
      <c r="B201" s="18" t="inlineStr">
        <is>
          <t>ok</t>
        </is>
      </c>
      <c r="C201" s="18" t="n"/>
      <c r="D201" s="18" t="inlineStr">
        <is>
          <t>电商</t>
        </is>
      </c>
      <c r="E201" s="32" t="inlineStr">
        <is>
          <t>粉丝画像核心人群占比高</t>
        </is>
      </c>
      <c r="F201" s="18" t="inlineStr">
        <is>
          <t>·追同学装修日记</t>
        </is>
      </c>
      <c r="G201" s="18" t="inlineStr">
        <is>
          <t>https://www.xingtu.cn/ad/creator/author-homepage/douyin-video/6629658460059336711?market_track_id=MZCT008XDQ9LRFKWE2VY&amp;search_session_id=7613242839255744521&amp;possessStarId</t>
        </is>
      </c>
      <c r="H201" s="18" t="inlineStr">
        <is>
          <t>https://www.douyin.com/user/MS4wLjABAAAADuP3bF1OcPUmbyMptWG0cIfrxGNLefaMoyoK71ODLh4</t>
        </is>
      </c>
      <c r="I201" s="18" t="inlineStr">
        <is>
          <t>zhuibuaiwan</t>
        </is>
      </c>
      <c r="J201" s="18" t="inlineStr">
        <is>
          <t>家居</t>
        </is>
      </c>
      <c r="K201" s="18" t="inlineStr">
        <is>
          <t>尾部</t>
        </is>
      </c>
      <c r="L201" s="18" t="n">
        <v>25</v>
      </c>
      <c r="M201" s="18" t="inlineStr">
        <is>
          <t>2000-20000</t>
        </is>
      </c>
      <c r="N201" s="18" t="inlineStr">
        <is>
          <t>新锐白领
小镇青年
精致妈妈</t>
        </is>
      </c>
      <c r="O201" s="21" t="n">
        <v>0.65</v>
      </c>
      <c r="P201" s="18" t="n">
        <v>832000</v>
      </c>
      <c r="Q201" s="18">
        <f>Z201*1.05</f>
        <v/>
      </c>
      <c r="R201" s="20">
        <f>Z201/(AB201+AD201+AC201)</f>
        <v/>
      </c>
      <c r="S201" s="18" t="inlineStr">
        <is>
          <t>视频</t>
        </is>
      </c>
      <c r="T201" s="21" t="n">
        <v>0.54</v>
      </c>
      <c r="U201" s="21" t="n">
        <v>0.34</v>
      </c>
      <c r="V201" s="21" t="n">
        <v>0.49</v>
      </c>
      <c r="W201" s="21" t="n">
        <v>0.05</v>
      </c>
      <c r="X201" s="21" t="n"/>
      <c r="Y201" s="21" t="n"/>
      <c r="Z201" s="18" t="n">
        <v>39800</v>
      </c>
      <c r="AA201" s="154">
        <f>SUM((Z201/P201)*1000)</f>
        <v/>
      </c>
      <c r="AB201" s="18" t="n">
        <v>15000</v>
      </c>
      <c r="AC201" s="18" t="n">
        <v>514</v>
      </c>
      <c r="AD201" s="18" t="n">
        <v>276</v>
      </c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</row>
    <row r="202" ht="24.75" customHeight="1" s="151">
      <c r="A202" s="17" t="n">
        <v>46092</v>
      </c>
      <c r="B202" s="18" t="inlineStr">
        <is>
          <t>ok</t>
        </is>
      </c>
      <c r="C202" s="18" t="n"/>
      <c r="D202" s="18" t="inlineStr">
        <is>
          <t>电商</t>
        </is>
      </c>
      <c r="E202" s="32" t="inlineStr">
        <is>
          <t>🏡妈妈为家人亲手打造的梦幻童话屋 🛏️</t>
        </is>
      </c>
      <c r="F202" s="18" t="inlineStr">
        <is>
          <t>杰瑞有个漂亮家</t>
        </is>
      </c>
      <c r="G202" s="18" t="inlineStr">
        <is>
          <t>https://www.xingtu.cn/ad/creator/author-homepage/douyin-video/7368677997240385573?market_track_id=X7XM4BYETENRJE1S9R8R&amp;search_session_id=7615873045794717722&amp;possessStarId&amp;active_tab=content_performance&amp;active_module=.content-video-list-panel&amp;content_key_word=%E6%B4%97%E8%A1%A3%E6%9C%BA</t>
        </is>
      </c>
      <c r="H202" s="18" t="inlineStr">
        <is>
          <t>https://www.douyin.com/user/MS4wLjABAAAA3Bd0BFA-N9Mq2j1VkaWBQDRa0gxM-KUADksFVHO3TlRGzOYd0eYlATGyaOVZV1Qs</t>
        </is>
      </c>
      <c r="I202" s="18" t="inlineStr">
        <is>
          <t>jerryshome</t>
        </is>
      </c>
      <c r="J202" s="18" t="inlineStr">
        <is>
          <t>家居</t>
        </is>
      </c>
      <c r="K202" s="18" t="inlineStr">
        <is>
          <t>尾部</t>
        </is>
      </c>
      <c r="L202" s="18" t="n">
        <v>21</v>
      </c>
      <c r="M202" s="18" t="inlineStr">
        <is>
          <t>20000-100000</t>
        </is>
      </c>
      <c r="N202" s="18" t="inlineStr">
        <is>
          <t>新锐白领
小镇青年
精致妈妈</t>
        </is>
      </c>
      <c r="O202" s="21" t="n">
        <v>0.54</v>
      </c>
      <c r="P202" s="18" t="n">
        <v>1099000</v>
      </c>
      <c r="Q202" s="18">
        <f>Z202*1.05</f>
        <v/>
      </c>
      <c r="R202" s="20">
        <f>Z202/(AB202+AD202+AC202)</f>
        <v/>
      </c>
      <c r="S202" s="18" t="inlineStr">
        <is>
          <t>视频</t>
        </is>
      </c>
      <c r="T202" s="21" t="n">
        <v>0.72</v>
      </c>
      <c r="U202" s="21" t="n">
        <v>0.39</v>
      </c>
      <c r="V202" s="21" t="n">
        <v>0.39</v>
      </c>
      <c r="W202" s="21" t="n">
        <v>0.04</v>
      </c>
      <c r="X202" s="18" t="n"/>
      <c r="Y202" s="18" t="n"/>
      <c r="Z202" s="18" t="n">
        <v>38000</v>
      </c>
      <c r="AA202" s="154">
        <f>SUM((Z202/P202)*1000)</f>
        <v/>
      </c>
      <c r="AB202" s="18" t="n">
        <v>4624</v>
      </c>
      <c r="AC202" s="18" t="n">
        <v>81</v>
      </c>
      <c r="AD202" s="18" t="n">
        <v>994</v>
      </c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</row>
    <row r="203">
      <c r="A203" s="17" t="n">
        <v>46092</v>
      </c>
      <c r="B203" s="18" t="inlineStr">
        <is>
          <t>ok</t>
        </is>
      </c>
      <c r="C203" s="18" t="n"/>
      <c r="D203" s="18" t="inlineStr">
        <is>
          <t>电商</t>
        </is>
      </c>
      <c r="E203" s="32" t="inlineStr">
        <is>
          <t>粉丝画像匹配，多个大家电商单</t>
        </is>
      </c>
      <c r="F203" s="18" t="inlineStr">
        <is>
          <t>海边二狗哥</t>
        </is>
      </c>
      <c r="G203" s="18" t="inlineStr">
        <is>
          <t>https://www.xingtu.cn/ad/creator/author-homepage/douyin-video/7133463608620482597?market_track_id=3WJJQM1BO6UF7F5FMUOZ&amp;search_session_id=7615870486664691722&amp;possessStarId&amp;active_tab=content_performance&amp;active_module=.content-video-list-panel&amp;content_key_word=%E7%A9%BA%E8%B0%83</t>
        </is>
      </c>
      <c r="H203" s="18" t="inlineStr">
        <is>
          <t>https://www.douyin.com/user/MS4wLjABAAAA0ONFQl78h-Ad-jOm_ePmnspVPozUiHj3_NRmLKU2GQ4</t>
        </is>
      </c>
      <c r="I203" s="18" t="inlineStr">
        <is>
          <t>ergouge2023</t>
        </is>
      </c>
      <c r="J203" s="18" t="inlineStr">
        <is>
          <t>家居</t>
        </is>
      </c>
      <c r="K203" s="18" t="inlineStr">
        <is>
          <t>尾部</t>
        </is>
      </c>
      <c r="L203" s="18" t="n">
        <v>48</v>
      </c>
      <c r="M203" s="18" t="inlineStr">
        <is>
          <t>2000-20000</t>
        </is>
      </c>
      <c r="N203" s="18" t="inlineStr">
        <is>
          <t>新锐白领
小镇青年
精致妈妈</t>
        </is>
      </c>
      <c r="O203" s="21" t="n">
        <v>0.57</v>
      </c>
      <c r="P203" s="18" t="n">
        <v>449000</v>
      </c>
      <c r="Q203" s="18">
        <f>Z203*1.05</f>
        <v/>
      </c>
      <c r="R203" s="20">
        <f>Z203/(AB203+AD203+AC203)</f>
        <v/>
      </c>
      <c r="S203" s="18" t="inlineStr">
        <is>
          <t>视频</t>
        </is>
      </c>
      <c r="T203" s="21" t="n">
        <v>0.6899999999999999</v>
      </c>
      <c r="U203" s="21" t="n">
        <v>0.22</v>
      </c>
      <c r="V203" s="21" t="n">
        <v>0.45</v>
      </c>
      <c r="W203" s="21" t="n">
        <v>0.17</v>
      </c>
      <c r="X203" s="18" t="n"/>
      <c r="Y203" s="18" t="n"/>
      <c r="Z203" s="18" t="n">
        <v>29000</v>
      </c>
      <c r="AA203" s="154">
        <f>SUM((Z203/P203)*1000)</f>
        <v/>
      </c>
      <c r="AB203" s="22" t="n">
        <v>2220</v>
      </c>
      <c r="AC203" s="18" t="n">
        <v>195</v>
      </c>
      <c r="AD203" s="18" t="n">
        <v>672</v>
      </c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</row>
    <row r="204" ht="50.25" customHeight="1" s="151">
      <c r="A204" s="17" t="n">
        <v>46092</v>
      </c>
      <c r="B204" s="18" t="inlineStr">
        <is>
          <t>ok</t>
        </is>
      </c>
      <c r="C204" s="18" t="n"/>
      <c r="D204" s="18" t="inlineStr">
        <is>
          <t>电商</t>
        </is>
      </c>
      <c r="E204" s="32" t="inlineStr">
        <is>
          <t>精致妈妈和资深中产占比高，爆款大家电商单https://www.douyin.com/video/7565465871860174122</t>
        </is>
      </c>
      <c r="F204" s="18" t="inlineStr">
        <is>
          <t>高瘦Dd</t>
        </is>
      </c>
      <c r="G204" s="18" t="inlineStr">
        <is>
          <t>https://www.xingtu.cn/ad/creator/author-homepage/douyin-video/7298673899103846450?market_track_id=GTKGQL8X2XU0PIMT6UI5&amp;search_session_id=7615897568245776411&amp;possessStarId</t>
        </is>
      </c>
      <c r="H204" s="18" t="inlineStr">
        <is>
          <t>https://www.douyin.com/user/MS4wLjABAAAAvYjqp_tSUvO_b1Y7bzRxfeIFffVjz5gGjz7JP1zXLMXIOd6GoDwRjQSR8focb3LZ</t>
        </is>
      </c>
      <c r="I204" s="18" t="inlineStr">
        <is>
          <t>tdq_1108</t>
        </is>
      </c>
      <c r="J204" s="18" t="inlineStr">
        <is>
          <t>家居</t>
        </is>
      </c>
      <c r="K204" s="18" t="inlineStr">
        <is>
          <t>腰部</t>
        </is>
      </c>
      <c r="L204" s="18" t="n">
        <v>58</v>
      </c>
      <c r="M204" s="18" t="inlineStr">
        <is>
          <t>100000+</t>
        </is>
      </c>
      <c r="N204" s="18" t="inlineStr">
        <is>
          <t>精致妈妈
资深中产
都市银发</t>
        </is>
      </c>
      <c r="O204" s="21" t="n">
        <v>0.5</v>
      </c>
      <c r="P204" s="18" t="n">
        <v>2391000</v>
      </c>
      <c r="Q204" s="18">
        <f>Z204*1.05</f>
        <v/>
      </c>
      <c r="R204" s="20">
        <f>Z204/(AB204+AD204+AC204)</f>
        <v/>
      </c>
      <c r="S204" s="18" t="inlineStr">
        <is>
          <t>视频</t>
        </is>
      </c>
      <c r="T204" s="21" t="n">
        <v>0.76</v>
      </c>
      <c r="U204" s="21" t="n">
        <v>0.16</v>
      </c>
      <c r="V204" s="21" t="n">
        <v>0.35</v>
      </c>
      <c r="W204" s="21" t="n">
        <v>0.25</v>
      </c>
      <c r="X204" s="18" t="n"/>
      <c r="Y204" s="18" t="n"/>
      <c r="Z204" s="18" t="n">
        <v>38000</v>
      </c>
      <c r="AA204" s="154">
        <f>SUM((Z204/P204)*1000)</f>
        <v/>
      </c>
      <c r="AB204" s="18" t="n">
        <v>56000</v>
      </c>
      <c r="AC204" s="18" t="n">
        <v>3470</v>
      </c>
      <c r="AD204" s="18" t="n">
        <v>2371</v>
      </c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</row>
    <row r="205">
      <c r="A205" s="17" t="n">
        <v>46092</v>
      </c>
      <c r="B205" s="18" t="inlineStr">
        <is>
          <t>ok</t>
        </is>
      </c>
      <c r="C205" s="18" t="n"/>
      <c r="D205" s="18" t="inlineStr">
        <is>
          <t>电商</t>
        </is>
      </c>
      <c r="E205" s="32" t="inlineStr">
        <is>
          <t>精致妈妈占比第一</t>
        </is>
      </c>
      <c r="F205" s="18" t="inlineStr">
        <is>
          <t xml:space="preserve">
爱吃玉米的兔子c</t>
        </is>
      </c>
      <c r="G205" s="18" t="inlineStr">
        <is>
          <t>https://www.xingtu.cn/ad/creator/author-homepage/douyin-video/6852280498769625096?market_track_id=GTKGQL8X2XU0PIMT6UI5&amp;search_session_id=7615899588088021019&amp;possessStarId</t>
        </is>
      </c>
      <c r="H205" s="18" t="inlineStr">
        <is>
          <t>https://www.douyin.com/user/MS4wLjABAAAA8fD4HMeRXg19fviZC02U7_d5fYr0aJKUiQ1Q_YZYIOc</t>
        </is>
      </c>
      <c r="I205" s="18" t="inlineStr">
        <is>
          <t>tuzi6666777888</t>
        </is>
      </c>
      <c r="J205" s="18" t="inlineStr">
        <is>
          <t>美食</t>
        </is>
      </c>
      <c r="K205" s="18" t="inlineStr">
        <is>
          <t>腰部</t>
        </is>
      </c>
      <c r="L205" s="18" t="n">
        <v>146</v>
      </c>
      <c r="M205" s="18" t="inlineStr">
        <is>
          <t>100000+</t>
        </is>
      </c>
      <c r="N205" s="18" t="inlineStr">
        <is>
          <t>精致妈妈
小镇青年
新锐白领</t>
        </is>
      </c>
      <c r="O205" s="21" t="n">
        <v>0.58</v>
      </c>
      <c r="P205" s="18" t="n">
        <v>1039000</v>
      </c>
      <c r="Q205" s="18">
        <f>Z205*1.05</f>
        <v/>
      </c>
      <c r="R205" s="20">
        <f>Z205/(AB205+AD205+AC205)</f>
        <v/>
      </c>
      <c r="S205" s="18" t="inlineStr">
        <is>
          <t>视频</t>
        </is>
      </c>
      <c r="T205" s="21" t="n">
        <v>0.77</v>
      </c>
      <c r="U205" s="21" t="n">
        <v>0.24</v>
      </c>
      <c r="V205" s="21" t="n">
        <v>0.44</v>
      </c>
      <c r="W205" s="21" t="n">
        <v>0.11</v>
      </c>
      <c r="X205" s="18" t="n"/>
      <c r="Y205" s="18" t="n"/>
      <c r="Z205" s="18" t="n">
        <v>68000</v>
      </c>
      <c r="AA205" s="154">
        <f>SUM((Z205/P205)*1000)</f>
        <v/>
      </c>
      <c r="AB205" s="18" t="n">
        <v>16000</v>
      </c>
      <c r="AC205" s="18" t="n">
        <v>934</v>
      </c>
      <c r="AD205" s="18" t="n">
        <v>2362</v>
      </c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</row>
    <row r="206" ht="24.75" customHeight="1" s="151">
      <c r="A206" s="17" t="n">
        <v>46092</v>
      </c>
      <c r="B206" s="18" t="inlineStr">
        <is>
          <t>ok</t>
        </is>
      </c>
      <c r="C206" s="18" t="n"/>
      <c r="D206" s="18" t="inlineStr">
        <is>
          <t>电商</t>
        </is>
      </c>
      <c r="E206" s="32" t="inlineStr">
        <is>
          <t>专业测评博主，有方太科沃斯爆款商单</t>
        </is>
      </c>
      <c r="F206" s="18" t="inlineStr">
        <is>
          <t>之一家</t>
        </is>
      </c>
      <c r="G206" s="18" t="inlineStr">
        <is>
          <t>https://www.xingtu.cn/ad/creator/author-homepage/douyin-video/7034433199035908104?market_track_id=GTKGQL8X2XU0PIMT6UI5&amp;search_session_id=7615904229032853542&amp;possessStarId</t>
        </is>
      </c>
      <c r="H206" s="18" t="inlineStr">
        <is>
          <t>https://www.douyin.com/user/MS4wLjABAAAA5JHY8ivacRZn-zbolUMIPr92qZcohs47MhBiLtIkM_74JVM4TdCuCLrMScmQPEPZ</t>
        </is>
      </c>
      <c r="I206" s="18" t="n">
        <v>85491627876</v>
      </c>
      <c r="J206" s="18" t="inlineStr">
        <is>
          <t>家居</t>
        </is>
      </c>
      <c r="K206" s="18" t="inlineStr">
        <is>
          <t>腰部</t>
        </is>
      </c>
      <c r="L206" s="18" t="n">
        <v>100</v>
      </c>
      <c r="M206" s="18" t="inlineStr">
        <is>
          <t>2000-20000</t>
        </is>
      </c>
      <c r="N206" s="18" t="inlineStr">
        <is>
          <t>新锐白领
资深中产
小镇青年</t>
        </is>
      </c>
      <c r="O206" s="21" t="n">
        <v>0.62</v>
      </c>
      <c r="P206" s="18" t="n">
        <v>683000</v>
      </c>
      <c r="Q206" s="18">
        <f>Z206*1.05</f>
        <v/>
      </c>
      <c r="R206" s="20">
        <f>Z206/(AB206+AD206+AC206)</f>
        <v/>
      </c>
      <c r="S206" s="18" t="inlineStr">
        <is>
          <t>视频</t>
        </is>
      </c>
      <c r="T206" s="21" t="n">
        <v>0.4</v>
      </c>
      <c r="U206" s="21" t="n">
        <v>0.25</v>
      </c>
      <c r="V206" s="21" t="n">
        <v>0.45</v>
      </c>
      <c r="W206" s="21" t="n">
        <v>0.14</v>
      </c>
      <c r="X206" s="18" t="n"/>
      <c r="Y206" s="18" t="n"/>
      <c r="Z206" s="18" t="n">
        <v>60900</v>
      </c>
      <c r="AA206" s="154">
        <f>SUM((Z206/P206)*1000)</f>
        <v/>
      </c>
      <c r="AB206" s="22" t="n">
        <v>5170</v>
      </c>
      <c r="AC206" s="18" t="n">
        <v>431</v>
      </c>
      <c r="AD206" s="18" t="n">
        <v>917</v>
      </c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</row>
    <row r="207" ht="46" customHeight="1" s="151">
      <c r="A207" s="73" t="n"/>
      <c r="B207" s="60" t="n"/>
      <c r="C207" s="60" t="n"/>
      <c r="D207" s="60" t="n"/>
      <c r="E207" s="61" t="n"/>
      <c r="F207" s="60" t="n"/>
      <c r="G207" s="60" t="n"/>
      <c r="H207" s="60" t="n"/>
      <c r="I207" s="60" t="n"/>
      <c r="J207" s="60" t="n"/>
      <c r="K207" s="60" t="n"/>
      <c r="L207" s="60" t="n"/>
      <c r="M207" s="60" t="n"/>
      <c r="N207" s="60" t="n"/>
      <c r="O207" s="63" t="n"/>
      <c r="P207" s="60" t="n"/>
      <c r="Q207" s="60" t="n"/>
      <c r="R207" s="62" t="n"/>
      <c r="S207" s="60" t="n"/>
      <c r="T207" s="63" t="n"/>
      <c r="U207" s="63" t="n"/>
      <c r="V207" s="63" t="n"/>
      <c r="W207" s="63" t="n"/>
      <c r="X207" s="60" t="n"/>
      <c r="Y207" s="60" t="n"/>
      <c r="Z207" s="60" t="n"/>
      <c r="AA207" s="159" t="n"/>
      <c r="AB207" s="74" t="n"/>
      <c r="AC207" s="60" t="n"/>
      <c r="AD207" s="60" t="n"/>
      <c r="AE207" s="60" t="n"/>
      <c r="AF207" s="60" t="n"/>
      <c r="AG207" s="60" t="n"/>
      <c r="AH207" s="60" t="n"/>
      <c r="AI207" s="60" t="n"/>
      <c r="AJ207" s="60" t="n"/>
      <c r="AK207" s="60" t="n"/>
      <c r="AL207" s="60" t="n"/>
      <c r="AM207" s="60" t="n"/>
      <c r="AN207" s="60" t="n"/>
      <c r="AO207" s="60" t="n"/>
      <c r="AP207" s="60" t="n"/>
    </row>
    <row r="208">
      <c r="A208" s="17" t="n">
        <v>46093</v>
      </c>
      <c r="B208" s="18" t="n"/>
      <c r="C208" s="18" t="n"/>
      <c r="D208" s="18" t="inlineStr">
        <is>
          <t>品牌</t>
        </is>
      </c>
      <c r="E208" s="32" t="inlineStr">
        <is>
          <t>精致妈妈占比第一</t>
        </is>
      </c>
      <c r="F208" s="18" t="inlineStr">
        <is>
          <t>夏天妈妈</t>
        </is>
      </c>
      <c r="G208" s="18" t="inlineStr">
        <is>
          <t>https://www.xingtu.cn/ad/creator/author-homepage/douyin-video/6994640370961219591?market_track_id=BQFZGFBK6WAOAUFUKUFF&amp;search_session_id=7615925446161121326&amp;possessStarId</t>
        </is>
      </c>
      <c r="H208" s="18" t="inlineStr">
        <is>
          <t>https://www.douyin.com/user/MS4wLjABAAAAKFrzR-Lh8AvbUdXHxl0eiTdwcit_JiqOh6UBH4dAVI0</t>
        </is>
      </c>
      <c r="I208" s="18" t="inlineStr">
        <is>
          <t>YMF1994</t>
        </is>
      </c>
      <c r="J208" s="18" t="inlineStr">
        <is>
          <t>母婴</t>
        </is>
      </c>
      <c r="K208" s="18" t="inlineStr">
        <is>
          <t>尾部</t>
        </is>
      </c>
      <c r="L208" s="18" t="n">
        <v>44</v>
      </c>
      <c r="M208" s="18" t="inlineStr">
        <is>
          <t>2000-20000</t>
        </is>
      </c>
      <c r="N208" s="18" t="inlineStr">
        <is>
          <t>精致妈妈
新锐白领
小镇青年</t>
        </is>
      </c>
      <c r="O208" s="21" t="n">
        <v>0.76</v>
      </c>
      <c r="P208" s="18" t="n">
        <v>233000</v>
      </c>
      <c r="Q208" s="18">
        <f>Z208*1.05</f>
        <v/>
      </c>
      <c r="R208" s="20">
        <f>Z208/(AB208+AD208+AC208)</f>
        <v/>
      </c>
      <c r="S208" s="18" t="inlineStr">
        <is>
          <t>视频</t>
        </is>
      </c>
      <c r="T208" s="21" t="n">
        <v>0.89</v>
      </c>
      <c r="U208" s="21" t="n">
        <v>0.35</v>
      </c>
      <c r="V208" s="21" t="n">
        <v>0.48</v>
      </c>
      <c r="W208" s="21" t="n">
        <v>0.1</v>
      </c>
      <c r="X208" s="18" t="n"/>
      <c r="Y208" s="18" t="n"/>
      <c r="Z208" s="18" t="n">
        <v>29000</v>
      </c>
      <c r="AA208" s="154">
        <f>SUM((Z208/P208)*1000)</f>
        <v/>
      </c>
      <c r="AB208" s="22" t="n">
        <v>2661</v>
      </c>
      <c r="AC208" s="18" t="n">
        <v>261</v>
      </c>
      <c r="AD208" s="18" t="n">
        <v>161</v>
      </c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</row>
    <row r="209">
      <c r="A209" s="17" t="n">
        <v>46093</v>
      </c>
      <c r="B209" s="18" t="n"/>
      <c r="C209" s="18" t="n"/>
      <c r="D209" s="18" t="inlineStr">
        <is>
          <t>品牌</t>
        </is>
      </c>
      <c r="E209" s="32" t="inlineStr">
        <is>
          <t>女粉和精致妈妈占比多</t>
        </is>
      </c>
      <c r="F209" s="18" t="inlineStr">
        <is>
          <t>多多妈的小厨房</t>
        </is>
      </c>
      <c r="G209" s="18" t="inlineStr">
        <is>
          <t>https://www.xingtu.cn/ad/creator/author-homepage/douyin-video/7072745980210184223?market_track_id=BQFZGFBK6WAOAUFUKUFF&amp;search_session_id=7615927107147513866&amp;possessStarId</t>
        </is>
      </c>
      <c r="H209" s="18" t="inlineStr">
        <is>
          <t>https://www.douyin.com/user/MS4wLjABAAAA_HxonAavr589mpQxQuiYeJM_UbmAFJze0ivECvL-BMo</t>
        </is>
      </c>
      <c r="I209" s="18" t="inlineStr">
        <is>
          <t>juping27965</t>
        </is>
      </c>
      <c r="J209" s="18" t="inlineStr">
        <is>
          <t>美食</t>
        </is>
      </c>
      <c r="K209" s="18" t="inlineStr">
        <is>
          <t>腰部</t>
        </is>
      </c>
      <c r="L209" s="18" t="n">
        <v>127</v>
      </c>
      <c r="M209" s="18" t="inlineStr">
        <is>
          <t>2000-20000</t>
        </is>
      </c>
      <c r="N209" s="18" t="inlineStr">
        <is>
          <t>精致妈妈
小镇青年
新锐白领</t>
        </is>
      </c>
      <c r="O209" s="21" t="n">
        <v>0.45</v>
      </c>
      <c r="P209" s="18" t="n">
        <v>577000</v>
      </c>
      <c r="Q209" s="18">
        <f>Z209*1.05</f>
        <v/>
      </c>
      <c r="R209" s="20">
        <f>Z209/(AB209+AD209+AC209)</f>
        <v/>
      </c>
      <c r="S209" s="18" t="inlineStr">
        <is>
          <t>视频</t>
        </is>
      </c>
      <c r="T209" s="21" t="n">
        <v>0.83</v>
      </c>
      <c r="U209" s="21" t="n">
        <v>0.27</v>
      </c>
      <c r="V209" s="21" t="n">
        <v>0.46</v>
      </c>
      <c r="W209" s="21" t="n">
        <v>0.08</v>
      </c>
      <c r="X209" s="18" t="n"/>
      <c r="Y209" s="18" t="n"/>
      <c r="Z209" s="18" t="n">
        <v>80000</v>
      </c>
      <c r="AA209" s="154">
        <f>SUM((Z209/P209)*1000)</f>
        <v/>
      </c>
      <c r="AB209" s="18" t="n">
        <v>11000</v>
      </c>
      <c r="AC209" s="18" t="n">
        <v>423</v>
      </c>
      <c r="AD209" s="18" t="n">
        <v>1329</v>
      </c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</row>
    <row r="210">
      <c r="A210" s="17" t="n">
        <v>46093</v>
      </c>
      <c r="B210" s="18" t="n"/>
      <c r="C210" s="18" t="n"/>
      <c r="D210" s="18" t="inlineStr">
        <is>
          <t>品牌</t>
        </is>
      </c>
      <c r="E210" s="32" t="inlineStr">
        <is>
          <t>女粉和精致妈妈占比多</t>
        </is>
      </c>
      <c r="F210" s="18" t="inlineStr">
        <is>
          <t>路嫂赵逸</t>
        </is>
      </c>
      <c r="G210" s="18" t="inlineStr">
        <is>
          <t>https://www.xingtu.cn/ad/creator/author-homepage/douyin-video/6870161519338848269?market_track_id=BQFZGFBK6WAOAUFUKUFF&amp;search_session_id=7615927107147513866&amp;possessStarId</t>
        </is>
      </c>
      <c r="H210" s="18" t="inlineStr">
        <is>
          <t>https://www.douyin.com/user/MS4wLjABAAAAueFF0PaDfazgIovWP3zpwfyQSw2rDa14gI2g2aEDfY4</t>
        </is>
      </c>
      <c r="I210" s="18" t="inlineStr">
        <is>
          <t>zy15399667773</t>
        </is>
      </c>
      <c r="J210" s="18" t="inlineStr">
        <is>
          <t>生活</t>
        </is>
      </c>
      <c r="K210" s="18" t="inlineStr">
        <is>
          <t>腰部</t>
        </is>
      </c>
      <c r="L210" s="18" t="n">
        <v>57</v>
      </c>
      <c r="M210" s="18" t="inlineStr">
        <is>
          <t>20000-100000</t>
        </is>
      </c>
      <c r="N210" s="18" t="inlineStr">
        <is>
          <t>小镇青年
精致妈妈
新锐白领</t>
        </is>
      </c>
      <c r="O210" s="21" t="n">
        <v>0.42</v>
      </c>
      <c r="P210" s="18" t="n">
        <v>611000</v>
      </c>
      <c r="Q210" s="18">
        <f>Z210*1.05</f>
        <v/>
      </c>
      <c r="R210" s="20">
        <f>Z210/(AB210+AD210+AC210)</f>
        <v/>
      </c>
      <c r="S210" s="18" t="inlineStr">
        <is>
          <t>视频</t>
        </is>
      </c>
      <c r="T210" s="21" t="n">
        <v>0.73</v>
      </c>
      <c r="U210" s="21" t="n">
        <v>0.23</v>
      </c>
      <c r="V210" s="21" t="n">
        <v>0.45</v>
      </c>
      <c r="W210" s="21" t="n">
        <v>0.15</v>
      </c>
      <c r="X210" s="18" t="n"/>
      <c r="Y210" s="18" t="n"/>
      <c r="Z210" s="18" t="n">
        <v>40000</v>
      </c>
      <c r="AA210" s="154">
        <f>SUM((Z210/P210)*1000)</f>
        <v/>
      </c>
      <c r="AB210" s="18" t="n">
        <v>13000</v>
      </c>
      <c r="AC210" s="18" t="n">
        <v>349</v>
      </c>
      <c r="AD210" s="18" t="n">
        <v>191</v>
      </c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</row>
    <row r="211" ht="24.75" customHeight="1" s="151">
      <c r="A211" s="17" t="n">
        <v>46093</v>
      </c>
      <c r="B211" s="18" t="n"/>
      <c r="C211" s="18" t="n"/>
      <c r="D211" s="18" t="inlineStr">
        <is>
          <t>品牌</t>
        </is>
      </c>
      <c r="E211" s="32" t="inlineStr">
        <is>
          <t>女粉和精致妈妈占比多，创意型博主</t>
        </is>
      </c>
      <c r="F211" s="18" t="inlineStr">
        <is>
          <t>云胡不喜</t>
        </is>
      </c>
      <c r="G211" s="18" t="inlineStr">
        <is>
          <t>https://www.xingtu.cn/ad/creator/author-homepage/douyin-video/7167716894055596046?market_track_id=BQFZGFBK6WAOAUFUKUFF&amp;search_session_id=7615927755905859622&amp;possessStarId</t>
        </is>
      </c>
      <c r="H211" s="18" t="inlineStr">
        <is>
          <t>https://www.douyin.com/user/MS4wLjABAAAAgcZTYFu4DUkOcFwZ3LasykSoKvRcfJjOH-PUuH9zAaV9gdHmcdWTW3_WWD379E8R</t>
        </is>
      </c>
      <c r="I211" s="18" t="inlineStr">
        <is>
          <t>yunhubuxi999</t>
        </is>
      </c>
      <c r="J211" s="18" t="inlineStr">
        <is>
          <t>生活</t>
        </is>
      </c>
      <c r="K211" s="18" t="inlineStr">
        <is>
          <t>腰部</t>
        </is>
      </c>
      <c r="L211" s="18" t="n">
        <v>50</v>
      </c>
      <c r="M211" s="18" t="inlineStr">
        <is>
          <t>2000-20000</t>
        </is>
      </c>
      <c r="N211" s="18" t="inlineStr">
        <is>
          <t>小镇青年
精致妈妈
新锐白领</t>
        </is>
      </c>
      <c r="O211" s="21" t="n">
        <v>0.45</v>
      </c>
      <c r="P211" s="18" t="n">
        <v>1433000</v>
      </c>
      <c r="Q211" s="18">
        <f>Z211*1.05</f>
        <v/>
      </c>
      <c r="R211" s="20">
        <f>Z211/(AB211+AD211+AC211)</f>
        <v/>
      </c>
      <c r="S211" s="18" t="inlineStr">
        <is>
          <t>视频</t>
        </is>
      </c>
      <c r="T211" s="21" t="n">
        <v>0.93</v>
      </c>
      <c r="U211" s="21" t="n">
        <v>0.3</v>
      </c>
      <c r="V211" s="21" t="n">
        <v>0.4</v>
      </c>
      <c r="W211" s="21" t="n">
        <v>0.09</v>
      </c>
      <c r="X211" s="18" t="n"/>
      <c r="Y211" s="18" t="n"/>
      <c r="Z211" s="18" t="n">
        <v>38000</v>
      </c>
      <c r="AA211" s="154">
        <f>SUM((Z211/P211)*1000)</f>
        <v/>
      </c>
      <c r="AB211" s="18" t="n">
        <v>15000</v>
      </c>
      <c r="AC211" s="18" t="n">
        <v>438</v>
      </c>
      <c r="AD211" s="18" t="n">
        <v>2291</v>
      </c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</row>
    <row r="212">
      <c r="A212" s="17" t="n">
        <v>46093</v>
      </c>
      <c r="B212" s="18" t="n"/>
      <c r="C212" s="18" t="n"/>
      <c r="D212" s="18" t="inlineStr">
        <is>
          <t>品牌</t>
        </is>
      </c>
      <c r="E212" s="32" t="inlineStr">
        <is>
          <t>资深中产占比高</t>
        </is>
      </c>
      <c r="F212" s="18" t="inlineStr">
        <is>
          <t>王夫人</t>
        </is>
      </c>
      <c r="G212" s="18" t="inlineStr">
        <is>
          <t>https://www.xingtu.cn/ad/creator/author-homepage/douyin-video/7252161259804557367?market_track_id=BQFZGFBK6WAOAUFUKUFF&amp;search_session_id=7615929518088044571&amp;possessStarId</t>
        </is>
      </c>
      <c r="H212" s="18" t="inlineStr">
        <is>
          <t>https://www.douyin.com/user/MS4wLjABAAAAxgugwnC751HE4ncElhQ77PeD_qDoHL_zQtXpq5MRC9A</t>
        </is>
      </c>
      <c r="I212" s="18" t="inlineStr">
        <is>
          <t>Q500Q500</t>
        </is>
      </c>
      <c r="J212" s="18" t="inlineStr">
        <is>
          <t>家居</t>
        </is>
      </c>
      <c r="K212" s="18" t="inlineStr">
        <is>
          <t>腰部</t>
        </is>
      </c>
      <c r="L212" s="18" t="n">
        <v>63</v>
      </c>
      <c r="M212" s="18" t="inlineStr">
        <is>
          <t>150-2000</t>
        </is>
      </c>
      <c r="N212" s="18" t="inlineStr">
        <is>
          <t>资深中产
小镇青年
新锐白领</t>
        </is>
      </c>
      <c r="O212" s="21" t="n">
        <v>0.63</v>
      </c>
      <c r="P212" s="18" t="n">
        <v>1250000</v>
      </c>
      <c r="Q212" s="18">
        <f>Z212*1.05</f>
        <v/>
      </c>
      <c r="R212" s="20">
        <f>Z212/(AB212+AD212+AC212)</f>
        <v/>
      </c>
      <c r="S212" s="18" t="inlineStr">
        <is>
          <t>视频</t>
        </is>
      </c>
      <c r="T212" s="21" t="n">
        <v>0.7</v>
      </c>
      <c r="U212" s="21" t="n">
        <v>0.18</v>
      </c>
      <c r="V212" s="21" t="n">
        <v>0.38</v>
      </c>
      <c r="W212" s="21" t="n">
        <v>0.33</v>
      </c>
      <c r="X212" s="18" t="n"/>
      <c r="Y212" s="18" t="n"/>
      <c r="Z212" s="18" t="n">
        <v>35000</v>
      </c>
      <c r="AA212" s="154">
        <f>SUM((Z212/P212)*1000)</f>
        <v/>
      </c>
      <c r="AB212" s="18" t="n">
        <v>14000</v>
      </c>
      <c r="AC212" s="18" t="n">
        <v>249</v>
      </c>
      <c r="AD212" s="18" t="n">
        <v>648</v>
      </c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</row>
    <row r="213" ht="37.9" customHeight="1" s="151">
      <c r="A213" s="17" t="n">
        <v>46093</v>
      </c>
      <c r="B213" s="18" t="n"/>
      <c r="C213" s="18" t="n"/>
      <c r="D213" s="18" t="inlineStr">
        <is>
          <t>品牌</t>
        </is>
      </c>
      <c r="E213" s="32" t="inlineStr">
        <is>
          <t>创意博主，有过大家电商单卡萨帝https://www.douyin.com/video/7561712934305516827</t>
        </is>
      </c>
      <c r="F213" s="18" t="inlineStr">
        <is>
          <t>薇薇学姐（非遗版）</t>
        </is>
      </c>
      <c r="G213" s="18" t="inlineStr">
        <is>
          <t>https://www.xingtu.cn/ad/creator/author-homepage/douyin-video/6907118949305942024?market_track_id=RM1Q0W77NOJCAD9UKAIF&amp;search_session_id=7616291070897094694&amp;possessStarId</t>
        </is>
      </c>
      <c r="H213" s="18" t="inlineStr">
        <is>
          <t>https://www.douyin.com/user/MS4wLjABAAAAHdGznQ6dwSu3m2vRS9mdFgCbKhJQOyHlU-RG1xu79409A3YSM74GdTzK39rj3DML</t>
        </is>
      </c>
      <c r="I213" s="18" t="inlineStr">
        <is>
          <t>kuzi988</t>
        </is>
      </c>
      <c r="J213" s="18" t="inlineStr">
        <is>
          <t>非遗</t>
        </is>
      </c>
      <c r="K213" s="18" t="inlineStr">
        <is>
          <t>腰部</t>
        </is>
      </c>
      <c r="L213" s="18" t="n">
        <v>87</v>
      </c>
      <c r="M213" s="18" t="inlineStr">
        <is>
          <t>2000-20000</t>
        </is>
      </c>
      <c r="N213" s="18" t="inlineStr">
        <is>
          <t>新锐白领
精致妈妈
小镇青年</t>
        </is>
      </c>
      <c r="O213" s="21" t="n">
        <v>0.6</v>
      </c>
      <c r="P213" s="18" t="n">
        <v>1408000</v>
      </c>
      <c r="Q213" s="18">
        <f>Z213*1.05</f>
        <v/>
      </c>
      <c r="R213" s="20">
        <f>Z213/(AB213+AD213+AC213)</f>
        <v/>
      </c>
      <c r="S213" s="18" t="inlineStr">
        <is>
          <t>视频</t>
        </is>
      </c>
      <c r="T213" s="21" t="n">
        <v>0.79</v>
      </c>
      <c r="U213" s="21" t="n">
        <v>0.32</v>
      </c>
      <c r="V213" s="21" t="n">
        <v>0.34</v>
      </c>
      <c r="W213" s="21" t="n">
        <v>0.07000000000000001</v>
      </c>
      <c r="X213" s="18" t="n"/>
      <c r="Y213" s="18" t="n"/>
      <c r="Z213" s="18" t="n">
        <v>31000</v>
      </c>
      <c r="AA213" s="154">
        <f>SUM((Z213/P213)*1000)</f>
        <v/>
      </c>
      <c r="AB213" s="18" t="n">
        <v>31000</v>
      </c>
      <c r="AC213" s="18" t="n">
        <v>242</v>
      </c>
      <c r="AD213" s="18" t="n">
        <v>1260</v>
      </c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</row>
    <row r="214">
      <c r="A214" s="17" t="n">
        <v>46093</v>
      </c>
      <c r="B214" s="18" t="n"/>
      <c r="C214" s="18" t="n"/>
      <c r="D214" s="18" t="inlineStr">
        <is>
          <t>品牌</t>
        </is>
      </c>
      <c r="E214" s="32" t="inlineStr">
        <is>
          <t>精致妈妈占比高</t>
        </is>
      </c>
      <c r="F214" s="18" t="inlineStr">
        <is>
          <t>Baby周</t>
        </is>
      </c>
      <c r="G214" s="18" t="inlineStr">
        <is>
          <t>https://www.xingtu.cn/ad/creator/author-homepage/douyin-video/6927143235483598861?market_track_id=FXDDTU1X5IKRL2PIYGIK&amp;search_session_id=7616293184859914267&amp;possessStarId</t>
        </is>
      </c>
      <c r="H214" s="18" t="inlineStr">
        <is>
          <t>https://www.douyin.com/user/MS4wLjABAAAAepqHKo1626yCN95H8kRjLV-y2dzunICZaFcj6oufbfM</t>
        </is>
      </c>
      <c r="I214" s="18" t="n">
        <v>80936907</v>
      </c>
      <c r="J214" s="18" t="inlineStr">
        <is>
          <t>母婴</t>
        </is>
      </c>
      <c r="K214" s="18" t="inlineStr">
        <is>
          <t>尾部</t>
        </is>
      </c>
      <c r="L214" s="18" t="n">
        <v>37</v>
      </c>
      <c r="M214" s="18" t="inlineStr">
        <is>
          <t>2000-20000</t>
        </is>
      </c>
      <c r="N214" s="18" t="inlineStr">
        <is>
          <t>精致妈妈
小镇青年
新锐白领</t>
        </is>
      </c>
      <c r="O214" s="21" t="n">
        <v>0.5600000000000001</v>
      </c>
      <c r="P214" s="18" t="n">
        <v>587000</v>
      </c>
      <c r="Q214" s="18">
        <f>Z214*1.05</f>
        <v/>
      </c>
      <c r="R214" s="20">
        <f>Z214/(AB214+AD214+AC214)</f>
        <v/>
      </c>
      <c r="S214" s="18" t="inlineStr">
        <is>
          <t>视频</t>
        </is>
      </c>
      <c r="T214" s="21" t="n">
        <v>0.96</v>
      </c>
      <c r="U214" s="21" t="n">
        <v>0.45</v>
      </c>
      <c r="V214" s="21" t="n">
        <v>0.43</v>
      </c>
      <c r="W214" s="21" t="n">
        <v>0.02</v>
      </c>
      <c r="X214" s="18" t="n"/>
      <c r="Y214" s="18" t="n"/>
      <c r="Z214" s="18" t="n">
        <v>28800</v>
      </c>
      <c r="AA214" s="154">
        <f>SUM((Z214/P214)*1000)</f>
        <v/>
      </c>
      <c r="AB214" s="18" t="n">
        <v>3165</v>
      </c>
      <c r="AC214" s="18" t="n">
        <v>210</v>
      </c>
      <c r="AD214" s="18" t="n">
        <v>150</v>
      </c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</row>
    <row r="215">
      <c r="A215" s="17" t="n">
        <v>46093</v>
      </c>
      <c r="B215" s="18" t="n"/>
      <c r="C215" s="18" t="n"/>
      <c r="D215" s="18" t="inlineStr">
        <is>
          <t>品牌</t>
        </is>
      </c>
      <c r="E215" s="32" t="inlineStr">
        <is>
          <t>精致妈妈占比高</t>
        </is>
      </c>
      <c r="F215" s="18" t="inlineStr">
        <is>
          <t>KK不卷卷</t>
        </is>
      </c>
      <c r="G215" s="18" t="inlineStr">
        <is>
          <t>https://www.xingtu.cn/ad/creator/author-homepage/douyin-video/7024416887282860066?market_track_id=FXDDTU1X5IKRL2PIYGIK&amp;search_session_id=7616293184859914267&amp;possessStarId</t>
        </is>
      </c>
      <c r="H215" s="18" t="inlineStr">
        <is>
          <t>https://www.douyin.com/user/MS4wLjABAAAAcOEi4yfhGtK947Ilzze-4vvu_OdRnwZZJQhVcPGwMD4</t>
        </is>
      </c>
      <c r="I215" s="18" t="inlineStr">
        <is>
          <t>KKbujuanjuan</t>
        </is>
      </c>
      <c r="J215" s="18" t="inlineStr">
        <is>
          <t>生活</t>
        </is>
      </c>
      <c r="K215" s="18" t="inlineStr">
        <is>
          <t>尾部</t>
        </is>
      </c>
      <c r="L215" s="18" t="n">
        <v>24</v>
      </c>
      <c r="M215" s="18" t="inlineStr">
        <is>
          <t>20000-100000</t>
        </is>
      </c>
      <c r="N215" s="18" t="inlineStr">
        <is>
          <t>新锐白领
小镇青年
精致妈妈</t>
        </is>
      </c>
      <c r="O215" s="21" t="n">
        <v>0.46</v>
      </c>
      <c r="P215" s="18" t="n">
        <v>1891000</v>
      </c>
      <c r="Q215" s="18">
        <f>Z215*1.05</f>
        <v/>
      </c>
      <c r="R215" s="20">
        <f>Z215/(AB215+AD215+AC215)</f>
        <v/>
      </c>
      <c r="S215" s="18" t="inlineStr">
        <is>
          <t>视频</t>
        </is>
      </c>
      <c r="T215" s="21" t="n">
        <v>0.65</v>
      </c>
      <c r="U215" s="21" t="n">
        <v>0.24</v>
      </c>
      <c r="V215" s="21" t="n">
        <v>0.37</v>
      </c>
      <c r="W215" s="21" t="n">
        <v>0.1</v>
      </c>
      <c r="X215" s="18" t="n"/>
      <c r="Y215" s="18" t="n"/>
      <c r="Z215" s="18" t="n">
        <v>39210</v>
      </c>
      <c r="AA215" s="154">
        <f>SUM((Z215/P215)*1000)</f>
        <v/>
      </c>
      <c r="AB215" s="18" t="n">
        <v>55000</v>
      </c>
      <c r="AC215" s="18" t="n">
        <v>1438</v>
      </c>
      <c r="AD215" s="18" t="n">
        <v>329</v>
      </c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</row>
    <row r="216">
      <c r="A216" s="17" t="n">
        <v>46093</v>
      </c>
      <c r="B216" s="18" t="n"/>
      <c r="C216" s="18" t="n"/>
      <c r="D216" s="18" t="inlineStr">
        <is>
          <t>品牌</t>
        </is>
      </c>
      <c r="E216" s="32" t="inlineStr">
        <is>
          <t>精致妈妈占比高，家庭场景多</t>
        </is>
      </c>
      <c r="F216" s="18" t="inlineStr">
        <is>
          <t>丫丫日记</t>
        </is>
      </c>
      <c r="G216" s="18" t="inlineStr">
        <is>
          <t>https://www.xingtu.cn/ad/creator/author-homepage/douyin-video/6759441649018863624?market_track_id=FXDDTU1X5IKRL2PIYGIK&amp;search_session_id=7616297123428106291&amp;possessStarId</t>
        </is>
      </c>
      <c r="H216" s="18" t="inlineStr">
        <is>
          <t>https://www.douyin.com/user/MS4wLjABAAAAtDsELJJ0L5as3kW5jbWy0gjGjWc4JqpehiHsl2eiIqpAtjCPoU75Btno11edndqN</t>
        </is>
      </c>
      <c r="I216" s="18" t="inlineStr">
        <is>
          <t>lvyazheng</t>
        </is>
      </c>
      <c r="J216" s="18" t="inlineStr">
        <is>
          <t>生活</t>
        </is>
      </c>
      <c r="K216" s="18" t="inlineStr">
        <is>
          <t>腰部</t>
        </is>
      </c>
      <c r="L216" s="18" t="n">
        <v>107</v>
      </c>
      <c r="M216" s="18" t="inlineStr">
        <is>
          <t>2000-20000</t>
        </is>
      </c>
      <c r="N216" s="18" t="inlineStr">
        <is>
          <t>小镇青年
精致妈妈
新锐白领</t>
        </is>
      </c>
      <c r="O216" s="21" t="n">
        <v>0.43</v>
      </c>
      <c r="P216" s="18" t="n">
        <v>1292000</v>
      </c>
      <c r="Q216" s="18">
        <f>Z216*1.05</f>
        <v/>
      </c>
      <c r="R216" s="20">
        <f>Z216/(AB216+AD216+AC216)</f>
        <v/>
      </c>
      <c r="S216" s="18" t="inlineStr">
        <is>
          <t>视频</t>
        </is>
      </c>
      <c r="T216" s="21" t="n">
        <v>0.83</v>
      </c>
      <c r="U216" s="21" t="n">
        <v>0.35</v>
      </c>
      <c r="V216" s="21" t="n">
        <v>0.27</v>
      </c>
      <c r="W216" s="21" t="n">
        <v>0.07000000000000001</v>
      </c>
      <c r="X216" s="18" t="n"/>
      <c r="Y216" s="18" t="n"/>
      <c r="Z216" s="18" t="n">
        <v>50000</v>
      </c>
      <c r="AA216" s="154">
        <f>SUM((Z216/P216)*1000)</f>
        <v/>
      </c>
      <c r="AB216" s="18" t="n">
        <v>9004</v>
      </c>
      <c r="AC216" s="18" t="n">
        <v>97</v>
      </c>
      <c r="AD216" s="18" t="n">
        <v>102</v>
      </c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</row>
    <row r="217">
      <c r="A217" s="17" t="n">
        <v>46093</v>
      </c>
      <c r="B217" s="18" t="n"/>
      <c r="C217" s="18" t="n"/>
      <c r="D217" s="18" t="inlineStr">
        <is>
          <t>品牌</t>
        </is>
      </c>
      <c r="E217" s="32" t="inlineStr">
        <is>
          <t>中产家庭，精致妈妈占比高</t>
        </is>
      </c>
      <c r="F217" s="18" t="inlineStr">
        <is>
          <t>梦洁有六个葫芦娃</t>
        </is>
      </c>
      <c r="G217" s="18" t="inlineStr">
        <is>
          <t>https://www.xingtu.cn/ad/creator/author-homepage/douyin-video/7161065043155484685?market_track_id=6MJHWHZ9IVSELA36P36G&amp;search_session_id=7616321513118760998&amp;possessStarId</t>
        </is>
      </c>
      <c r="H217" s="18" t="inlineStr">
        <is>
          <t>https://www.douyin.com/user/MS4wLjABAAAAtqKDhpIp2otOFPOW-aHlaRcDZcdzdqSY0rL1hJgHbJ9fbYsiB914X6t0Iv4giFSG</t>
        </is>
      </c>
      <c r="I217" s="18" t="inlineStr">
        <is>
          <t>mengjie0371</t>
        </is>
      </c>
      <c r="J217" s="18" t="inlineStr">
        <is>
          <t>母婴</t>
        </is>
      </c>
      <c r="K217" s="18" t="inlineStr">
        <is>
          <t>腰部</t>
        </is>
      </c>
      <c r="L217" s="18" t="n">
        <v>256</v>
      </c>
      <c r="M217" s="18" t="inlineStr">
        <is>
          <t>近期未接商单</t>
        </is>
      </c>
      <c r="N217" s="18" t="inlineStr">
        <is>
          <t>精致妈妈
小镇青年
都市白领</t>
        </is>
      </c>
      <c r="O217" s="21" t="n">
        <v>0.52</v>
      </c>
      <c r="P217" s="18" t="n">
        <v>1899000</v>
      </c>
      <c r="Q217" s="18">
        <f>Z217*1.05</f>
        <v/>
      </c>
      <c r="R217" s="20">
        <f>Z217/(AB217+AD217+AC217)</f>
        <v/>
      </c>
      <c r="S217" s="18" t="inlineStr">
        <is>
          <t>视频</t>
        </is>
      </c>
      <c r="T217" s="21" t="n">
        <v>0.76</v>
      </c>
      <c r="U217" s="21" t="n">
        <v>0.21</v>
      </c>
      <c r="V217" s="21" t="n">
        <v>0.54</v>
      </c>
      <c r="W217" s="21" t="n">
        <v>0.14</v>
      </c>
      <c r="X217" s="18" t="n"/>
      <c r="Y217" s="18" t="n"/>
      <c r="Z217" s="18" t="n">
        <v>61000</v>
      </c>
      <c r="AA217" s="154">
        <f>SUM((Z217/P217)*1000)</f>
        <v/>
      </c>
      <c r="AB217" s="18" t="n">
        <v>29000</v>
      </c>
      <c r="AC217" s="18" t="n">
        <v>1296</v>
      </c>
      <c r="AD217" s="18" t="n">
        <v>1613</v>
      </c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</row>
    <row r="218" ht="37.9" customHeight="1" s="151">
      <c r="A218" s="17" t="n">
        <v>46093</v>
      </c>
      <c r="B218" s="18" t="n"/>
      <c r="C218" s="18" t="n"/>
      <c r="D218" s="18" t="inlineStr">
        <is>
          <t>电商</t>
        </is>
      </c>
      <c r="E218" s="32" t="inlineStr">
        <is>
          <t>A3数据好，方太3000W大爆单https://www.douyin.com/video/7590699422766419252</t>
        </is>
      </c>
      <c r="F218" s="18" t="inlineStr">
        <is>
          <t>小桑</t>
        </is>
      </c>
      <c r="G218" s="18" t="inlineStr">
        <is>
          <t>https://www.xingtu.cn/ad/creator/author-homepage/douyin-video/7080974341856296960?market_track_id=AU1WPXK306S8S5ES374S&amp;search_session_id=7616283467366137907&amp;possessStarId</t>
        </is>
      </c>
      <c r="H218" s="18" t="inlineStr">
        <is>
          <t>https://www.douyin.com/user/MS4wLjABAAAAoA6q18gARwQFVu2TnqyMZ4VMdX1Sh4fchA4cz-hPDGQ</t>
        </is>
      </c>
      <c r="I218" s="18" t="inlineStr">
        <is>
          <t>Ss81103777</t>
        </is>
      </c>
      <c r="J218" s="18" t="inlineStr">
        <is>
          <t>家居</t>
        </is>
      </c>
      <c r="K218" s="18" t="inlineStr">
        <is>
          <t>腰部</t>
        </is>
      </c>
      <c r="L218" s="18" t="n">
        <v>153</v>
      </c>
      <c r="M218" s="18" t="inlineStr">
        <is>
          <t>20000-100000</t>
        </is>
      </c>
      <c r="N218" s="18" t="inlineStr">
        <is>
          <t>新锐白领
小镇青年
都市蓝领</t>
        </is>
      </c>
      <c r="O218" s="21" t="n">
        <v>0.44</v>
      </c>
      <c r="P218" s="18" t="n">
        <v>3900000</v>
      </c>
      <c r="Q218" s="18">
        <f>Z218*1.05</f>
        <v/>
      </c>
      <c r="R218" s="20">
        <f>Z218/(AB218+AD218+AC218)</f>
        <v/>
      </c>
      <c r="S218" s="18" t="inlineStr">
        <is>
          <t>视频</t>
        </is>
      </c>
      <c r="T218" s="21" t="n">
        <v>0.52</v>
      </c>
      <c r="U218" s="21" t="n">
        <v>0.31</v>
      </c>
      <c r="V218" s="21" t="n">
        <v>0.37</v>
      </c>
      <c r="W218" s="21" t="n">
        <v>0.07000000000000001</v>
      </c>
      <c r="X218" s="18" t="n"/>
      <c r="Y218" s="18" t="n"/>
      <c r="Z218" s="18" t="n">
        <v>138000</v>
      </c>
      <c r="AA218" s="154">
        <f>SUM((Z218/P218)*1000)</f>
        <v/>
      </c>
      <c r="AB218" s="18" t="n">
        <v>66000</v>
      </c>
      <c r="AC218" s="18" t="n">
        <v>1326</v>
      </c>
      <c r="AD218" s="18" t="n">
        <v>17000</v>
      </c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</row>
    <row r="219" ht="37.9" customHeight="1" s="151">
      <c r="A219" s="17" t="n">
        <v>46093</v>
      </c>
      <c r="B219" s="18" t="n"/>
      <c r="C219" s="18" t="n"/>
      <c r="D219" s="18" t="inlineStr">
        <is>
          <t>电商</t>
        </is>
      </c>
      <c r="E219" s="32" t="inlineStr">
        <is>
          <t>西门子爆单https://www.douyin.com/video/7533444058983779636</t>
        </is>
      </c>
      <c r="F219" s="18" t="inlineStr">
        <is>
          <t>十万个阿拉蕾</t>
        </is>
      </c>
      <c r="G219" s="18" t="inlineStr">
        <is>
          <t>https://www.xingtu.cn/ad/creator/author-homepage/douyin-video/6703488285064298507?market_track_id=P9MHRFZ6HXF90BFDLWI4&amp;search_session_id=7616285568766443566&amp;possessStarId</t>
        </is>
      </c>
      <c r="H219" s="18" t="inlineStr">
        <is>
          <t>https://www.douyin.com/user/MS4wLjABAAAAFSC8Jh8itIoikSjrXMBCbrOh6er9oH7gdoXn8AAsvR0</t>
        </is>
      </c>
      <c r="I219" s="18" t="n">
        <v>588918251</v>
      </c>
      <c r="J219" s="18" t="inlineStr">
        <is>
          <t>家居</t>
        </is>
      </c>
      <c r="K219" s="18" t="inlineStr">
        <is>
          <t>腰部</t>
        </is>
      </c>
      <c r="L219" s="18" t="n">
        <v>245</v>
      </c>
      <c r="M219" s="18" t="inlineStr">
        <is>
          <t>150-2000</t>
        </is>
      </c>
      <c r="N219" s="18" t="inlineStr">
        <is>
          <t>新锐白领
精致妈妈
都市蓝领</t>
        </is>
      </c>
      <c r="O219" s="21" t="n">
        <v>0.61</v>
      </c>
      <c r="P219" s="18" t="n">
        <v>2281000</v>
      </c>
      <c r="Q219" s="18">
        <f>Z219*1.05</f>
        <v/>
      </c>
      <c r="R219" s="20">
        <f>Z219/(AB219+AD219+AC219)</f>
        <v/>
      </c>
      <c r="S219" s="18" t="inlineStr">
        <is>
          <t>视频</t>
        </is>
      </c>
      <c r="T219" s="21" t="n">
        <v>0.77</v>
      </c>
      <c r="U219" s="21" t="n">
        <v>0.37</v>
      </c>
      <c r="V219" s="21" t="n">
        <v>0.35</v>
      </c>
      <c r="W219" s="21" t="n">
        <v>0.05</v>
      </c>
      <c r="X219" s="18" t="n"/>
      <c r="Y219" s="18" t="n"/>
      <c r="Z219" s="18" t="n">
        <v>59000</v>
      </c>
      <c r="AA219" s="154">
        <f>SUM((Z219/P219)*1000)</f>
        <v/>
      </c>
      <c r="AB219" s="18" t="n">
        <v>20000</v>
      </c>
      <c r="AC219" s="18" t="n">
        <v>699</v>
      </c>
      <c r="AD219" s="18" t="n">
        <v>1633</v>
      </c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</row>
    <row r="220" ht="38.25" customHeight="1" s="151">
      <c r="A220" s="17" t="n">
        <v>46093</v>
      </c>
      <c r="B220" s="18" t="n"/>
      <c r="C220" s="18" t="n"/>
      <c r="D220" s="18" t="inlineStr">
        <is>
          <t>电商</t>
        </is>
      </c>
      <c r="E220" s="32" t="inlineStr">
        <is>
          <t>创意博主，大家电爆单 https://www.douyin.com/video/7554311169440337171</t>
        </is>
      </c>
      <c r="F220" s="18" t="inlineStr">
        <is>
          <t>天予睡过头</t>
        </is>
      </c>
      <c r="G220" s="18" t="inlineStr">
        <is>
          <t>https://www.xingtu.cn/ad/creator/author-homepage/douyin-video/7413523525836734491?market_track_id=GR5MWSIU1HNRDPTNUQ3Q&amp;search_session_id=7616289267056738330&amp;possessStarId</t>
        </is>
      </c>
      <c r="H220" s="18" t="inlineStr">
        <is>
          <t>https://www.douyin.com/user/MS4wLjABAAAAaZKJ6glF2gDsLOMN0_Abvh-tMpfHTgJb85NlMKpPG0tDBMq4c3a4bvHKgo4g-Hxd</t>
        </is>
      </c>
      <c r="I220" s="18" t="inlineStr">
        <is>
          <t>TtttttYu_sgt</t>
        </is>
      </c>
      <c r="J220" s="18" t="inlineStr">
        <is>
          <t>家居</t>
        </is>
      </c>
      <c r="K220" s="18" t="inlineStr">
        <is>
          <t>腰部</t>
        </is>
      </c>
      <c r="L220" s="18" t="n">
        <v>53</v>
      </c>
      <c r="M220" s="18" t="inlineStr">
        <is>
          <t>100000+</t>
        </is>
      </c>
      <c r="N220" s="18" t="inlineStr">
        <is>
          <t>新锐白领
小镇青年
都市蓝领</t>
        </is>
      </c>
      <c r="O220" s="21" t="n">
        <v>0.35</v>
      </c>
      <c r="P220" s="18" t="n">
        <v>2400000</v>
      </c>
      <c r="Q220" s="18">
        <f>Z220*1.05</f>
        <v/>
      </c>
      <c r="R220" s="20">
        <f>Z220/(AB220+AD220+AC220)</f>
        <v/>
      </c>
      <c r="S220" s="18" t="inlineStr">
        <is>
          <t>视频</t>
        </is>
      </c>
      <c r="T220" s="21" t="n">
        <v>0.36</v>
      </c>
      <c r="U220" s="21" t="n">
        <v>0.19</v>
      </c>
      <c r="V220" s="21" t="n">
        <v>0.42</v>
      </c>
      <c r="W220" s="21" t="n">
        <v>0.14</v>
      </c>
      <c r="X220" s="18" t="n"/>
      <c r="Y220" s="18" t="n"/>
      <c r="Z220" s="18" t="n">
        <v>80000</v>
      </c>
      <c r="AA220" s="154">
        <f>SUM((Z220/P220)*1000)</f>
        <v/>
      </c>
      <c r="AB220" s="18" t="n">
        <v>35000</v>
      </c>
      <c r="AC220" s="18" t="n">
        <v>597</v>
      </c>
      <c r="AD220" s="18" t="n">
        <v>15000</v>
      </c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</row>
    <row r="221" ht="24.75" customHeight="1" s="151">
      <c r="A221" s="17" t="n">
        <v>46093</v>
      </c>
      <c r="B221" s="18" t="n"/>
      <c r="C221" s="18" t="n"/>
      <c r="D221" s="18" t="inlineStr">
        <is>
          <t>电商</t>
        </is>
      </c>
      <c r="E221" s="32" t="inlineStr">
        <is>
          <t>多孩家庭亲子家庭，调性高，转化好</t>
        </is>
      </c>
      <c r="F221" s="18" t="inlineStr">
        <is>
          <t>-阿拉冰冰</t>
        </is>
      </c>
      <c r="G221" s="18" t="inlineStr">
        <is>
          <t>https://www.xingtu.cn/ad/creator/author-homepage/douyin-video/6870162144202063885?market_track_id=JHTNBEGQO60RJNOU4K0V&amp;search_session_id=7612612744516632585&amp;possessStarId</t>
        </is>
      </c>
      <c r="H221" s="18" t="inlineStr">
        <is>
          <t>https://www.douyin.com/user/MS4wLjABAAAASQlIT9yA-LNfju8IjDx0j2GdcdLhlHwn_qr83KMtCY0</t>
        </is>
      </c>
      <c r="I221" s="18" t="inlineStr">
        <is>
          <t>alabingbing7</t>
        </is>
      </c>
      <c r="J221" s="18" t="inlineStr">
        <is>
          <t>母婴</t>
        </is>
      </c>
      <c r="K221" s="18" t="inlineStr">
        <is>
          <t>尾部</t>
        </is>
      </c>
      <c r="L221" s="18" t="n">
        <v>16</v>
      </c>
      <c r="M221" s="18" t="inlineStr">
        <is>
          <t>2000-20000</t>
        </is>
      </c>
      <c r="N221" s="18" t="inlineStr">
        <is>
          <t>新锐白领
小镇青年
精致妈妈</t>
        </is>
      </c>
      <c r="O221" s="21" t="n">
        <v>0.68</v>
      </c>
      <c r="P221" s="18" t="n">
        <v>987000</v>
      </c>
      <c r="Q221" s="18">
        <f>Z221*1.05</f>
        <v/>
      </c>
      <c r="R221" s="20">
        <f>Z221/(AB221+AD221+AC221)</f>
        <v/>
      </c>
      <c r="S221" s="18" t="inlineStr">
        <is>
          <t>视频</t>
        </is>
      </c>
      <c r="T221" s="21" t="n">
        <v>0.5</v>
      </c>
      <c r="U221" s="21" t="n">
        <v>0.28</v>
      </c>
      <c r="V221" s="21" t="n">
        <v>0.63</v>
      </c>
      <c r="W221" s="21" t="n">
        <v>0.04</v>
      </c>
      <c r="X221" s="18" t="n"/>
      <c r="Y221" s="18" t="n"/>
      <c r="Z221" s="18" t="n">
        <v>28000</v>
      </c>
      <c r="AA221" s="154">
        <f>SUM((Z221/P221)*1000)</f>
        <v/>
      </c>
      <c r="AB221" s="22" t="n">
        <v>3518</v>
      </c>
      <c r="AC221" s="18" t="n">
        <v>61</v>
      </c>
      <c r="AD221" s="18" t="n">
        <v>1630</v>
      </c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</row>
    <row r="222" ht="50.65" customHeight="1" s="151">
      <c r="A222" s="17" t="n">
        <v>46093</v>
      </c>
      <c r="B222" s="18" t="n"/>
      <c r="C222" s="18" t="n"/>
      <c r="D222" s="18" t="inlineStr">
        <is>
          <t>电商</t>
        </is>
      </c>
      <c r="E222" s="32" t="inlineStr">
        <is>
          <t>大家电爆款商单，https://www.douyin.com/video/7600970938574260836?previous_page=app_code_link</t>
        </is>
      </c>
      <c r="F222" s="18" t="inlineStr">
        <is>
          <t>杜宾安妮</t>
        </is>
      </c>
      <c r="G222" s="18" t="inlineStr">
        <is>
          <t>https://www.xingtu.cn/ad/creator/author-homepage/douyin-video/7165752836070834188?market_track_id=Q44UBLMDWF73H8L3KBZA&amp;search_session_id=7616329416167997449&amp;possessStarId</t>
        </is>
      </c>
      <c r="H222" s="18" t="inlineStr">
        <is>
          <t>https://www.douyin.com/user/MS4wLjABAAAAwIYRDnmPtEPO3Ii_tNh09X-ZmJwm84s6jup2RUIeil1hZ6vEpsfByK3qb00YZHK-</t>
        </is>
      </c>
      <c r="I222" s="18" t="inlineStr">
        <is>
          <t>Annie.Dog</t>
        </is>
      </c>
      <c r="J222" s="18" t="inlineStr">
        <is>
          <t>萌宠</t>
        </is>
      </c>
      <c r="K222" s="18" t="inlineStr">
        <is>
          <t>腰部</t>
        </is>
      </c>
      <c r="L222" s="18" t="n">
        <v>111</v>
      </c>
      <c r="M222" s="18" t="inlineStr">
        <is>
          <t>2000-20000</t>
        </is>
      </c>
      <c r="N222" s="18" t="inlineStr">
        <is>
          <t>小镇青年
Z世代
新锐白领</t>
        </is>
      </c>
      <c r="O222" s="21" t="n">
        <v>0.3</v>
      </c>
      <c r="P222" s="18" t="n">
        <v>571000</v>
      </c>
      <c r="Q222" s="18">
        <f>Z222*1.05</f>
        <v/>
      </c>
      <c r="R222" s="20">
        <f>Z222/(AB222+AD222+AC222)</f>
        <v/>
      </c>
      <c r="S222" s="18" t="inlineStr">
        <is>
          <t>视频</t>
        </is>
      </c>
      <c r="T222" s="21" t="n">
        <v>0.57</v>
      </c>
      <c r="U222" s="21" t="n">
        <v>0.24</v>
      </c>
      <c r="V222" s="21" t="n">
        <v>0.28</v>
      </c>
      <c r="W222" s="21" t="n">
        <v>0.08</v>
      </c>
      <c r="X222" s="18" t="n"/>
      <c r="Y222" s="18" t="n"/>
      <c r="Z222" s="18" t="n">
        <v>30000</v>
      </c>
      <c r="AA222" s="154">
        <f>SUM((Z222/P222)*1000)</f>
        <v/>
      </c>
      <c r="AB222" s="18" t="n">
        <v>12000</v>
      </c>
      <c r="AC222" s="18" t="n">
        <v>85</v>
      </c>
      <c r="AD222" s="18" t="n">
        <v>1924</v>
      </c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</row>
    <row r="223" ht="46" customHeight="1" s="151">
      <c r="A223" s="73" t="n"/>
      <c r="B223" s="60" t="n"/>
      <c r="C223" s="60" t="n"/>
      <c r="D223" s="60" t="n"/>
      <c r="E223" s="61" t="n"/>
      <c r="F223" s="60" t="n"/>
      <c r="G223" s="60" t="n"/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0" t="n"/>
      <c r="V223" s="60" t="n"/>
      <c r="W223" s="60" t="n"/>
      <c r="X223" s="60" t="n"/>
      <c r="Y223" s="60" t="n"/>
      <c r="Z223" s="60" t="n"/>
      <c r="AA223" s="60" t="n"/>
      <c r="AB223" s="60" t="n"/>
      <c r="AC223" s="60" t="n"/>
      <c r="AD223" s="60" t="n"/>
      <c r="AE223" s="60" t="n"/>
      <c r="AF223" s="60" t="n"/>
      <c r="AG223" s="60" t="n"/>
      <c r="AH223" s="60" t="n"/>
      <c r="AI223" s="60" t="n"/>
      <c r="AJ223" s="60" t="n"/>
      <c r="AK223" s="60" t="n"/>
      <c r="AL223" s="60" t="n"/>
      <c r="AM223" s="60" t="n"/>
      <c r="AN223" s="60" t="n"/>
      <c r="AO223" s="60" t="n"/>
      <c r="AP223" s="60" t="n"/>
    </row>
    <row r="224" ht="50.65" customHeight="1" s="151">
      <c r="A224" s="17" t="n">
        <v>46094</v>
      </c>
      <c r="B224" s="18" t="inlineStr">
        <is>
          <t>商单太少</t>
        </is>
      </c>
      <c r="C224" s="18" t="n"/>
      <c r="D224" s="18" t="inlineStr">
        <is>
          <t>品牌</t>
        </is>
      </c>
      <c r="E224" s="32" t="inlineStr">
        <is>
          <t>西门子爆款商单https://www.douyin.com/video/7377710464458902822?previous_page=app_code_link</t>
        </is>
      </c>
      <c r="F224" s="18" t="inlineStr">
        <is>
          <t>颜小姐Home🏠</t>
        </is>
      </c>
      <c r="G224" s="18" t="inlineStr">
        <is>
          <t>https://www.xingtu.cn/ad/creator/author-homepage/douyin-video/6727068349852811268?market_track_id=C3T9LPPN1SC7ET0QI4RF&amp;search_session_id=7616577660684992521&amp;possessStarId</t>
        </is>
      </c>
      <c r="H224" s="18" t="inlineStr">
        <is>
          <t>https://www.douyin.com/user/MS4wLjABAAAAqwHezwd5abfKZfnri7Q7AckMvqvDNOsGQd_ZrC3J4po</t>
        </is>
      </c>
      <c r="I224" s="18" t="n">
        <v>925731981</v>
      </c>
      <c r="J224" s="18" t="inlineStr">
        <is>
          <t>家居</t>
        </is>
      </c>
      <c r="K224" s="18" t="inlineStr">
        <is>
          <t>腰部</t>
        </is>
      </c>
      <c r="L224" s="18" t="n">
        <v>50</v>
      </c>
      <c r="M224" s="18" t="inlineStr">
        <is>
          <t>近一个月无商单</t>
        </is>
      </c>
      <c r="N224" s="18" t="inlineStr">
        <is>
          <t>小镇青年
Z世代
新锐白领</t>
        </is>
      </c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</row>
    <row r="225" ht="37.9" customHeight="1" s="151">
      <c r="A225" s="17" t="n">
        <v>46094</v>
      </c>
      <c r="B225" s="18" t="inlineStr">
        <is>
          <t>ok</t>
        </is>
      </c>
      <c r="C225" s="18" t="n"/>
      <c r="D225" s="18" t="inlineStr">
        <is>
          <t>品牌</t>
        </is>
      </c>
      <c r="E225" s="32" t="inlineStr">
        <is>
          <t>海尔大家电爆款商单https://www.douyin.com/video/7402461141940604201</t>
        </is>
      </c>
      <c r="F225" s="18" t="inlineStr">
        <is>
          <t>拳师犬阿卢</t>
        </is>
      </c>
      <c r="G225" s="18" t="inlineStr">
        <is>
          <t>https://www.xingtu.cn/ad/creator/author-homepage/douyin-video/6629664154447773704?market_track_id=C3T9LPPN1SC7ET0QI4RF&amp;search_session_id=7616579607346626570&amp;possessStarId</t>
        </is>
      </c>
      <c r="H225" s="18" t="inlineStr">
        <is>
          <t>https://www.douyin.com/user/MS4wLjABAAAABr08X5Vc6Q_s3S07050ecc7pMYCyEvyPUzdJma2bt_M</t>
        </is>
      </c>
      <c r="I225" s="18" t="inlineStr">
        <is>
          <t>3170G</t>
        </is>
      </c>
      <c r="J225" s="18" t="inlineStr">
        <is>
          <t>萌宠</t>
        </is>
      </c>
      <c r="K225" s="18" t="inlineStr">
        <is>
          <t>腰部</t>
        </is>
      </c>
      <c r="L225" s="18" t="n">
        <v>240</v>
      </c>
      <c r="M225" s="18" t="inlineStr">
        <is>
          <t>近一个月无商单</t>
        </is>
      </c>
      <c r="N225" s="18" t="inlineStr">
        <is>
          <t>小镇青年
新锐白领
都市蓝领</t>
        </is>
      </c>
      <c r="O225" s="21" t="n">
        <v>0.44</v>
      </c>
      <c r="P225" s="18" t="n">
        <v>1260000</v>
      </c>
      <c r="Q225" s="18">
        <f>Z225*1.05</f>
        <v/>
      </c>
      <c r="R225" s="20">
        <f>Z225/(AB225+AC225+AD225)</f>
        <v/>
      </c>
      <c r="S225" s="18" t="inlineStr">
        <is>
          <t>视频</t>
        </is>
      </c>
      <c r="T225" s="21" t="n">
        <v>0.55</v>
      </c>
      <c r="U225" s="21" t="n">
        <v>0.22</v>
      </c>
      <c r="V225" s="21" t="n">
        <v>0.5600000000000001</v>
      </c>
      <c r="W225" s="21" t="n">
        <v>0.14</v>
      </c>
      <c r="X225" s="18" t="n"/>
      <c r="Y225" s="18" t="n"/>
      <c r="Z225" s="18" t="n">
        <v>45900</v>
      </c>
      <c r="AA225" s="20">
        <f>Z225/P225*1000</f>
        <v/>
      </c>
      <c r="AB225" s="18" t="n">
        <v>24000</v>
      </c>
      <c r="AC225" s="18" t="n">
        <v>679</v>
      </c>
      <c r="AD225" s="18" t="n">
        <v>2365</v>
      </c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</row>
    <row r="226" ht="24.75" customHeight="1" s="151">
      <c r="A226" s="17" t="n">
        <v>46094</v>
      </c>
      <c r="B226" s="18" t="inlineStr">
        <is>
          <t>ok</t>
        </is>
      </c>
      <c r="C226" s="18" t="n"/>
      <c r="D226" s="18" t="inlineStr">
        <is>
          <t>电商</t>
        </is>
      </c>
      <c r="E226" s="32" t="inlineStr">
        <is>
          <t>粉丝画像契合，家庭做饭场景多，植入场景适配配</t>
        </is>
      </c>
      <c r="F226" s="18" t="inlineStr">
        <is>
          <t>酒窝夫妇</t>
        </is>
      </c>
      <c r="G226" s="18" t="inlineStr">
        <is>
          <t>https://www.xingtu.cn/ad/creator/author-homepage/douyin-video/6855623204803706893?market_track_id=C3T9LPPN1SC7ET0QI4RF&amp;search_session_id=7616579607346626570&amp;possessStarId</t>
        </is>
      </c>
      <c r="H226" s="18" t="inlineStr">
        <is>
          <t>https://www.douyin.com/user/MS4wLjABAAAAKMa35rfZONaCd2ve6Klu8G3thM8HTDQPoPGRAqFXCGs</t>
        </is>
      </c>
      <c r="I226" s="18" t="inlineStr">
        <is>
          <t>W2018716</t>
        </is>
      </c>
      <c r="J226" s="18" t="inlineStr">
        <is>
          <t>家庭生活</t>
        </is>
      </c>
      <c r="K226" s="18" t="inlineStr">
        <is>
          <t>腰部</t>
        </is>
      </c>
      <c r="L226" s="18" t="n">
        <v>251</v>
      </c>
      <c r="M226" s="18" t="inlineStr">
        <is>
          <t>100000+</t>
        </is>
      </c>
      <c r="N226" s="18" t="inlineStr">
        <is>
          <t>新锐白领
小镇青年
精致妈妈</t>
        </is>
      </c>
      <c r="O226" s="21" t="n">
        <v>0.5600000000000001</v>
      </c>
      <c r="P226" s="18" t="n">
        <v>2641000</v>
      </c>
      <c r="Q226" s="18">
        <f>Z226*1.05</f>
        <v/>
      </c>
      <c r="R226" s="20">
        <f>Z226/(AB226+AC226+AD226)</f>
        <v/>
      </c>
      <c r="S226" s="18" t="inlineStr">
        <is>
          <t>视频</t>
        </is>
      </c>
      <c r="T226" s="21" t="n">
        <v>0.67</v>
      </c>
      <c r="U226" s="21" t="n">
        <v>0.35</v>
      </c>
      <c r="V226" s="21" t="n">
        <v>0.35</v>
      </c>
      <c r="W226" s="21" t="n">
        <v>0.07000000000000001</v>
      </c>
      <c r="X226" s="18" t="n"/>
      <c r="Y226" s="18" t="n"/>
      <c r="Z226" s="18" t="n">
        <v>102000</v>
      </c>
      <c r="AA226" s="20">
        <f>Z226/P226*1000</f>
        <v/>
      </c>
      <c r="AB226" s="18" t="n">
        <v>22000</v>
      </c>
      <c r="AC226" s="18" t="n">
        <v>555</v>
      </c>
      <c r="AD226" s="18" t="n">
        <v>1344</v>
      </c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</row>
    <row r="227">
      <c r="A227" s="17" t="n">
        <v>46094</v>
      </c>
      <c r="B227" s="18" t="inlineStr">
        <is>
          <t>ok</t>
        </is>
      </c>
      <c r="C227" s="18" t="n"/>
      <c r="D227" s="18" t="inlineStr">
        <is>
          <t>品牌</t>
        </is>
      </c>
      <c r="E227" s="32" t="inlineStr">
        <is>
          <t>粉丝画像适配性强，多出爆款商单</t>
        </is>
      </c>
      <c r="F227" s="18" t="inlineStr">
        <is>
          <t xml:space="preserve">
高瓦斯</t>
        </is>
      </c>
      <c r="G227" s="18" t="inlineStr">
        <is>
          <t>https://www.xingtu.cn/ad/creator/author-homepage/douyin-video/6992043651710844942?market_track_id=C3T9LPPN1SC7ET0QI4RF&amp;search_session_id=7616580037122736174&amp;possessStarId</t>
        </is>
      </c>
      <c r="H227" s="18" t="inlineStr">
        <is>
          <t>https://www.douyin.com/user/MS4wLjABAAAA9KXFZj4eehkhdu-idU4jwar3LBbDveoN2NTLoNkm6kfUFIeKIsbffmALrHw3WrNG</t>
        </is>
      </c>
      <c r="I227" s="18" t="n">
        <v>2161851781</v>
      </c>
      <c r="J227" s="18" t="inlineStr">
        <is>
          <t>手工家居</t>
        </is>
      </c>
      <c r="K227" s="18" t="inlineStr">
        <is>
          <t>腰部</t>
        </is>
      </c>
      <c r="L227" s="18" t="n">
        <v>279</v>
      </c>
      <c r="M227" s="18" t="inlineStr">
        <is>
          <t>100000+</t>
        </is>
      </c>
      <c r="N227" s="18" t="inlineStr">
        <is>
          <t>小镇青年
新锐白领
精致妈妈</t>
        </is>
      </c>
      <c r="O227" s="21" t="n">
        <v>0.35</v>
      </c>
      <c r="P227" s="18" t="n">
        <v>2058000</v>
      </c>
      <c r="Q227" s="18">
        <f>Z227*1.05</f>
        <v/>
      </c>
      <c r="R227" s="20">
        <f>Z227/(AB227+AC227+AD227)</f>
        <v/>
      </c>
      <c r="S227" s="18" t="inlineStr">
        <is>
          <t>视频</t>
        </is>
      </c>
      <c r="T227" s="21" t="n">
        <v>0.8100000000000001</v>
      </c>
      <c r="U227" s="21" t="n">
        <v>0.32</v>
      </c>
      <c r="V227" s="21" t="n">
        <v>0.34</v>
      </c>
      <c r="W227" s="21" t="n">
        <v>0.03</v>
      </c>
      <c r="X227" s="18" t="n"/>
      <c r="Y227" s="18" t="n"/>
      <c r="Z227" s="18" t="n">
        <v>99800</v>
      </c>
      <c r="AA227" s="20">
        <f>Z227/P227*1000</f>
        <v/>
      </c>
      <c r="AB227" s="18" t="n">
        <v>51000</v>
      </c>
      <c r="AC227" s="18" t="n">
        <v>548</v>
      </c>
      <c r="AD227" s="18" t="n">
        <v>2308</v>
      </c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</row>
    <row r="228" ht="50.65" customHeight="1" s="151">
      <c r="A228" s="17" t="n">
        <v>46094</v>
      </c>
      <c r="B228" s="18" t="inlineStr">
        <is>
          <t>ok</t>
        </is>
      </c>
      <c r="C228" s="18" t="n"/>
      <c r="D228" s="18" t="inlineStr">
        <is>
          <t>品牌</t>
        </is>
      </c>
      <c r="E228" s="32" t="inlineStr">
        <is>
          <t>小米家电爆款商单https://www.douyin.com/video/7516541046617427241?previous_page=app_code_link</t>
        </is>
      </c>
      <c r="F228" s="18" t="inlineStr">
        <is>
          <t>打打的小窝</t>
        </is>
      </c>
      <c r="G228" s="18" t="inlineStr">
        <is>
          <t>https://www.xingtu.cn/ad/creator/author-homepage/douyin-video/7168806549899608077?market_track_id=C3T9LPPN1SC7ET0QI4RF&amp;search_session_id=7616580037122736174&amp;possessStarId</t>
        </is>
      </c>
      <c r="H228" s="18" t="inlineStr">
        <is>
          <t>https://www.douyin.com/user/MS4wLjABAAAA8U8hHZNbPPvQaFCvNEdml8rJbRstrak-X3De_63zsa7HsRFk_E9Uq_KLCzXjJm9q</t>
        </is>
      </c>
      <c r="I228" s="18" t="inlineStr">
        <is>
          <t>what123hahaha</t>
        </is>
      </c>
      <c r="J228" s="18" t="inlineStr">
        <is>
          <t>手工家居</t>
        </is>
      </c>
      <c r="K228" s="18" t="inlineStr">
        <is>
          <t>腰部</t>
        </is>
      </c>
      <c r="L228" s="18" t="n">
        <v>126</v>
      </c>
      <c r="M228" s="18" t="inlineStr">
        <is>
          <t>20000-100000</t>
        </is>
      </c>
      <c r="N228" s="18" t="inlineStr">
        <is>
          <t>小镇青年
新锐白领
都市蓝领</t>
        </is>
      </c>
      <c r="O228" s="21" t="n">
        <v>0.3</v>
      </c>
      <c r="P228" s="18" t="n">
        <v>2063000</v>
      </c>
      <c r="Q228" s="18">
        <f>Z228*1.05</f>
        <v/>
      </c>
      <c r="R228" s="20">
        <f>Z228/(AB228+AC228+AD228)</f>
        <v/>
      </c>
      <c r="S228" s="18" t="inlineStr">
        <is>
          <t>视频</t>
        </is>
      </c>
      <c r="T228" s="21" t="n">
        <v>0.6</v>
      </c>
      <c r="U228" s="21" t="n">
        <v>0.24</v>
      </c>
      <c r="V228" s="21" t="n">
        <v>0.4</v>
      </c>
      <c r="W228" s="21" t="n">
        <v>0.1</v>
      </c>
      <c r="X228" s="18" t="n"/>
      <c r="Y228" s="18" t="n"/>
      <c r="Z228" s="18" t="n">
        <v>157000</v>
      </c>
      <c r="AA228" s="20">
        <f>Z228/P228*1000</f>
        <v/>
      </c>
      <c r="AB228" s="18" t="n">
        <v>48000</v>
      </c>
      <c r="AC228" s="18" t="n">
        <v>1467</v>
      </c>
      <c r="AD228" s="18" t="n">
        <v>15000</v>
      </c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</row>
    <row r="229" ht="63" customHeight="1" s="151">
      <c r="A229" s="17" t="n">
        <v>46094</v>
      </c>
      <c r="B229" s="18" t="inlineStr">
        <is>
          <t>ok</t>
        </is>
      </c>
      <c r="C229" s="18" t="n"/>
      <c r="D229" s="18" t="inlineStr">
        <is>
          <t>品牌</t>
        </is>
      </c>
      <c r="E229" s="32" t="inlineStr">
        <is>
          <t>情侣博主，爆单多，有大家电推广经验https://www.douyin.com/video/7478557920486198587?previous_page=app_code_link</t>
        </is>
      </c>
      <c r="F229" s="18" t="inlineStr">
        <is>
          <t>陈煜_Chenyu</t>
        </is>
      </c>
      <c r="G229" s="18" t="inlineStr">
        <is>
          <t>https://www.xingtu.cn/ad/creator/author-homepage/douyin-video/6870160877992017928?market_track_id=C3T9LPPN1SC7ET0QI4RF&amp;search_session_id=7616581366926655515&amp;possessStarId</t>
        </is>
      </c>
      <c r="H229" s="18" t="inlineStr">
        <is>
          <t>https://www.douyin.com/user/MS4wLjABAAAAcjKVPT-o1DbylsfIoLK4oDFk_QgXFNqROzM6aC8Vuho</t>
        </is>
      </c>
      <c r="I229" s="18" t="inlineStr">
        <is>
          <t>goodcy0222</t>
        </is>
      </c>
      <c r="J229" s="18" t="inlineStr">
        <is>
          <t>情侣</t>
        </is>
      </c>
      <c r="K229" s="18" t="inlineStr">
        <is>
          <t>腰部</t>
        </is>
      </c>
      <c r="L229" s="18" t="n">
        <v>128</v>
      </c>
      <c r="M229" s="18" t="inlineStr">
        <is>
          <t>20000-100000</t>
        </is>
      </c>
      <c r="N229" s="18" t="inlineStr">
        <is>
          <t>小镇青年
新锐白领
Z世代</t>
        </is>
      </c>
      <c r="O229" s="21" t="n">
        <v>0.4</v>
      </c>
      <c r="P229" s="18" t="n">
        <v>546000</v>
      </c>
      <c r="Q229" s="18">
        <f>Z229*1.05</f>
        <v/>
      </c>
      <c r="R229" s="20">
        <f>Z229/(AB229+AC229+AD229)</f>
        <v/>
      </c>
      <c r="S229" s="18" t="inlineStr">
        <is>
          <t>视频</t>
        </is>
      </c>
      <c r="T229" s="21" t="n">
        <v>0.75</v>
      </c>
      <c r="U229" s="21" t="n">
        <v>0.4</v>
      </c>
      <c r="V229" s="21" t="n">
        <v>0.25</v>
      </c>
      <c r="W229" s="21" t="n">
        <v>0.02</v>
      </c>
      <c r="X229" s="18" t="n"/>
      <c r="Y229" s="18" t="n"/>
      <c r="Z229" s="18" t="n">
        <v>65000</v>
      </c>
      <c r="AA229" s="20">
        <f>Z229/P229*1000</f>
        <v/>
      </c>
      <c r="AB229" s="22" t="n">
        <v>6569</v>
      </c>
      <c r="AC229" s="18" t="n">
        <v>129</v>
      </c>
      <c r="AD229" s="18" t="n">
        <v>2424</v>
      </c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</row>
    <row r="230">
      <c r="A230" s="17" t="n">
        <v>46094</v>
      </c>
      <c r="B230" s="18" t="inlineStr">
        <is>
          <t>ok</t>
        </is>
      </c>
      <c r="C230" s="18" t="n"/>
      <c r="D230" s="18" t="inlineStr">
        <is>
          <t>品牌</t>
        </is>
      </c>
      <c r="E230" s="32" t="inlineStr">
        <is>
          <t>粉丝画像匹配度高</t>
        </is>
      </c>
      <c r="F230" s="18" t="inlineStr">
        <is>
          <t>里里小姨子</t>
        </is>
      </c>
      <c r="G230" s="18" t="inlineStr">
        <is>
          <t>https://www.xingtu.cn/ad/creator/author-homepage/douyin-video/6994153345170538504?market_track_id=C3T9LPPN1SC7ET0QI4RF&amp;search_session_id=7616581366926655515&amp;possessStarId</t>
        </is>
      </c>
      <c r="H230" s="18" t="inlineStr">
        <is>
          <t>https://www.douyin.com/user/MS4wLjABAAAA4YO6Ezcplh77iJnwfDFavbx9o8sewQIt4xQRpd82Yak</t>
        </is>
      </c>
      <c r="I230" s="18" t="inlineStr">
        <is>
          <t>XXX081818</t>
        </is>
      </c>
      <c r="J230" s="18" t="inlineStr">
        <is>
          <t>家庭生活</t>
        </is>
      </c>
      <c r="K230" s="18" t="inlineStr">
        <is>
          <t>腰部</t>
        </is>
      </c>
      <c r="L230" s="18" t="n">
        <v>50</v>
      </c>
      <c r="M230" s="18" t="inlineStr">
        <is>
          <t>100000+</t>
        </is>
      </c>
      <c r="N230" s="18" t="inlineStr">
        <is>
          <t>小镇青年
精致妈妈
新锐白领</t>
        </is>
      </c>
      <c r="O230" s="21" t="n">
        <v>0.42</v>
      </c>
      <c r="P230" s="18" t="n">
        <v>1170000</v>
      </c>
      <c r="Q230" s="18">
        <f>Z230*1.05</f>
        <v/>
      </c>
      <c r="R230" s="20">
        <f>Z230/(AB230+AC230+AD230)</f>
        <v/>
      </c>
      <c r="S230" s="18" t="inlineStr">
        <is>
          <t>视频</t>
        </is>
      </c>
      <c r="T230" s="21" t="n">
        <v>0.7</v>
      </c>
      <c r="U230" s="21" t="n">
        <v>0.34</v>
      </c>
      <c r="V230" s="21" t="n">
        <v>0.39</v>
      </c>
      <c r="W230" s="21" t="n">
        <v>0.1</v>
      </c>
      <c r="X230" s="18" t="n"/>
      <c r="Y230" s="18" t="n"/>
      <c r="Z230" s="18" t="n">
        <v>58000</v>
      </c>
      <c r="AA230" s="20">
        <f>Z230/P230*1000</f>
        <v/>
      </c>
      <c r="AB230" s="18" t="n">
        <v>11000</v>
      </c>
      <c r="AC230" s="18" t="n">
        <v>296</v>
      </c>
      <c r="AD230" s="18" t="n">
        <v>396</v>
      </c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</row>
    <row r="231" ht="50.65" customHeight="1" s="151">
      <c r="A231" s="17" t="n">
        <v>46094</v>
      </c>
      <c r="B231" s="18" t="inlineStr">
        <is>
          <t>ok</t>
        </is>
      </c>
      <c r="C231" s="18" t="n"/>
      <c r="D231" s="18" t="inlineStr">
        <is>
          <t>电商</t>
        </is>
      </c>
      <c r="E231" s="32" t="inlineStr">
        <is>
          <t>大家电千万播放爆款数据https://www.douyin.com/video/7475641881095949608?previous_page=app_code_link</t>
        </is>
      </c>
      <c r="F231" s="18" t="inlineStr">
        <is>
          <t xml:space="preserve">
罗天真-</t>
        </is>
      </c>
      <c r="G231" s="18" t="inlineStr">
        <is>
          <t>https://www.xingtu.cn/ad/creator/author-homepage/douyin-video/7008950281987686413?market_track_id=1NN8XWAK1CGIJFNAQBZ8&amp;search_session_id=7613351311513714726&amp;possessStarId</t>
        </is>
      </c>
      <c r="H231" s="18" t="inlineStr">
        <is>
          <t>https://www.douyin.com/user/MS4wLjABAAAAaiXLTcfTvuyI_yPSnMdmJQbyrZ2g0sKYzUVs_UnJ0mq9lEIqcE0XyW7VpZbVkzWx</t>
        </is>
      </c>
      <c r="I231" s="18" t="inlineStr">
        <is>
          <t>LTZx1019</t>
        </is>
      </c>
      <c r="J231" s="18" t="inlineStr">
        <is>
          <t>家居</t>
        </is>
      </c>
      <c r="K231" s="18" t="inlineStr">
        <is>
          <t>腰部</t>
        </is>
      </c>
      <c r="L231" s="18" t="n">
        <v>86</v>
      </c>
      <c r="M231" s="18" t="inlineStr">
        <is>
          <t>20000-100000</t>
        </is>
      </c>
      <c r="N231" s="18" t="inlineStr">
        <is>
          <t>小镇青年
新锐白领
精致妈妈</t>
        </is>
      </c>
      <c r="O231" s="21" t="n">
        <v>0.48</v>
      </c>
      <c r="P231" s="18" t="n">
        <v>1923000</v>
      </c>
      <c r="Q231" s="18">
        <f>Z231*1.05</f>
        <v/>
      </c>
      <c r="R231" s="20">
        <f>Z231/(AB231+AC231+AD231)</f>
        <v/>
      </c>
      <c r="S231" s="18" t="inlineStr">
        <is>
          <t>视频</t>
        </is>
      </c>
      <c r="T231" s="21" t="n">
        <v>0.8</v>
      </c>
      <c r="U231" s="21" t="n">
        <v>0.38</v>
      </c>
      <c r="V231" s="21" t="n">
        <v>0.4</v>
      </c>
      <c r="W231" s="21" t="n">
        <v>0.04</v>
      </c>
      <c r="X231" s="21" t="n"/>
      <c r="Y231" s="21" t="n"/>
      <c r="Z231" s="18" t="n">
        <v>37500</v>
      </c>
      <c r="AA231" s="20">
        <f>Z231/P231*1000</f>
        <v/>
      </c>
      <c r="AB231" s="18" t="n">
        <v>19000</v>
      </c>
      <c r="AC231" s="18" t="n">
        <v>2716</v>
      </c>
      <c r="AD231" s="18" t="n">
        <v>2323</v>
      </c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</row>
    <row r="232" ht="37.9" customHeight="1" s="151">
      <c r="A232" s="17" t="n">
        <v>46094</v>
      </c>
      <c r="B232" s="18" t="inlineStr">
        <is>
          <t>ok</t>
        </is>
      </c>
      <c r="C232" s="18" t="n"/>
      <c r="D232" s="18" t="inlineStr">
        <is>
          <t>电商</t>
        </is>
      </c>
      <c r="E232" s="32" t="inlineStr">
        <is>
          <t>爆款家电商单https://www.douyin.com/video/7514570881042058535</t>
        </is>
      </c>
      <c r="F232" s="18" t="inlineStr">
        <is>
          <t>100个中国女孩的家</t>
        </is>
      </c>
      <c r="G232" s="18" t="inlineStr">
        <is>
          <t>https://www.xingtu.cn/ad/creator/author-homepage/douyin-video/7078218034459967495?market_track_id=2420PDENNTLWAS6GMX7R&amp;search_session_id=7616630069280948262&amp;possessStarId</t>
        </is>
      </c>
      <c r="H232" s="18" t="inlineStr">
        <is>
          <t>https://www.douyin.com/user/MS4wLjABAAAAZoNYeySvQdHnRf7BdXjWUsNuOrHff5upZQA0eiPfhHrP5OC6z50YaS3S5hwwJgf3</t>
        </is>
      </c>
      <c r="I232" s="18" t="n">
        <v>57630383999</v>
      </c>
      <c r="J232" s="18" t="inlineStr">
        <is>
          <t>家居</t>
        </is>
      </c>
      <c r="K232" s="18" t="inlineStr">
        <is>
          <t>腰部</t>
        </is>
      </c>
      <c r="L232" s="18" t="n">
        <v>233</v>
      </c>
      <c r="M232" s="18" t="inlineStr">
        <is>
          <t>近一个月无商单数据</t>
        </is>
      </c>
      <c r="N232" s="18" t="inlineStr">
        <is>
          <t>Z世代
小镇青年
新锐白领</t>
        </is>
      </c>
      <c r="O232" s="21" t="n">
        <v>0.35</v>
      </c>
      <c r="P232" s="18" t="n">
        <v>508000</v>
      </c>
      <c r="Q232" s="18">
        <f>Z232*1.05</f>
        <v/>
      </c>
      <c r="R232" s="20">
        <f>Z232/(AB232+AC232+AD232)</f>
        <v/>
      </c>
      <c r="S232" s="18" t="inlineStr">
        <is>
          <t>视频</t>
        </is>
      </c>
      <c r="T232" s="21" t="n">
        <v>0.78</v>
      </c>
      <c r="U232" s="21" t="n">
        <v>0.29</v>
      </c>
      <c r="V232" s="21" t="n">
        <v>0.25</v>
      </c>
      <c r="W232" s="21" t="n">
        <v>0.06</v>
      </c>
      <c r="X232" s="18" t="n"/>
      <c r="Y232" s="18" t="n"/>
      <c r="Z232" s="18" t="n">
        <v>150000</v>
      </c>
      <c r="AA232" s="20">
        <f>Z232/P232*1000</f>
        <v/>
      </c>
      <c r="AB232" s="18" t="n">
        <v>21000</v>
      </c>
      <c r="AC232" s="18" t="n">
        <v>266</v>
      </c>
      <c r="AD232" s="18" t="n">
        <v>4399</v>
      </c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</row>
    <row r="233" ht="37.9" customHeight="1" s="151">
      <c r="A233" s="17" t="n">
        <v>46094</v>
      </c>
      <c r="B233" s="18" t="inlineStr">
        <is>
          <t>ok</t>
        </is>
      </c>
      <c r="C233" s="18" t="n"/>
      <c r="D233" s="18" t="inlineStr">
        <is>
          <t>品牌</t>
        </is>
      </c>
      <c r="E233" s="32" t="inlineStr">
        <is>
          <t>卡萨帝爆款商单https://www.douyin.com/video/7553829616390016283</t>
        </is>
      </c>
      <c r="F233" s="18" t="inlineStr">
        <is>
          <t>多肉小梨</t>
        </is>
      </c>
      <c r="G233" s="18" t="inlineStr">
        <is>
          <t>https://www.xingtu.cn/ad/creator/author-homepage/douyin-video/6738573523591102475?market_track_id=POFIZ6OUTCOROVDWWFQN&amp;search_session_id=7616631545667649546&amp;possessStarId</t>
        </is>
      </c>
      <c r="H233" s="18" t="inlineStr">
        <is>
          <t>https://www.douyin.com/user/MS4wLjABAAAAO1K_2j6DRZh3KGWCeX60GnsS3JPCkb6Wn34tY7jGVFw</t>
        </is>
      </c>
      <c r="I233" s="18" t="inlineStr">
        <is>
          <t>nidells</t>
        </is>
      </c>
      <c r="J233" s="18" t="inlineStr">
        <is>
          <t>剧情</t>
        </is>
      </c>
      <c r="K233" s="18" t="inlineStr">
        <is>
          <t>头部</t>
        </is>
      </c>
      <c r="L233" s="18" t="n">
        <v>508</v>
      </c>
      <c r="M233" s="18" t="inlineStr">
        <is>
          <t>20000-100000</t>
        </is>
      </c>
      <c r="N233" s="18" t="inlineStr">
        <is>
          <t>小镇青年
新锐白领
Z世代</t>
        </is>
      </c>
      <c r="O233" s="21" t="n">
        <v>0.35</v>
      </c>
      <c r="P233" s="18" t="n">
        <v>1642000</v>
      </c>
      <c r="Q233" s="18">
        <f>Z233*1.05</f>
        <v/>
      </c>
      <c r="R233" s="20">
        <f>Z233/(AB233+AC233+AD233)</f>
        <v/>
      </c>
      <c r="S233" s="18" t="inlineStr">
        <is>
          <t>视频</t>
        </is>
      </c>
      <c r="T233" s="21" t="n">
        <v>0.71</v>
      </c>
      <c r="U233" s="21" t="n">
        <v>0.31</v>
      </c>
      <c r="V233" s="21" t="n">
        <v>0.33</v>
      </c>
      <c r="W233" s="21" t="n">
        <v>0.07000000000000001</v>
      </c>
      <c r="X233" s="18" t="n"/>
      <c r="Y233" s="18" t="n"/>
      <c r="Z233" s="18" t="n">
        <v>76800</v>
      </c>
      <c r="AA233" s="20">
        <f>Z233/P233*1000</f>
        <v/>
      </c>
      <c r="AB233" s="18" t="n">
        <v>32000</v>
      </c>
      <c r="AC233" s="18" t="n">
        <v>1094</v>
      </c>
      <c r="AD233" s="18" t="n">
        <v>41000</v>
      </c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</row>
    <row r="234" ht="37.9" customHeight="1" s="151">
      <c r="A234" s="17" t="n">
        <v>46094</v>
      </c>
      <c r="B234" s="18" t="inlineStr">
        <is>
          <t>人群不对，标签不对</t>
        </is>
      </c>
      <c r="C234" s="18" t="n"/>
      <c r="D234" s="18" t="inlineStr">
        <is>
          <t>电商</t>
        </is>
      </c>
      <c r="E234" s="32" t="inlineStr">
        <is>
          <t>大家电爆款商单https://www.douyin.com/video/7606707141802056292</t>
        </is>
      </c>
      <c r="F234" s="18" t="inlineStr">
        <is>
          <t>小付咕咕</t>
        </is>
      </c>
      <c r="G234" s="18" t="inlineStr">
        <is>
          <t>https://www.xingtu.cn/ad/creator/author-homepage/douyin-video/6870171106762817549?market_track_id=SBR7APD1CP9BLG3L2I7H&amp;search_session_id=7616637178206093322&amp;possessStarId</t>
        </is>
      </c>
      <c r="H234" s="18" t="inlineStr">
        <is>
          <t>https://www.douyin.com/user/MS4wLjABAAAAVsFGZsTDs611Vn4t2ciwzt-gUN1Kgk5y4RbfYCRjm6qs9VvxJQTQkja82KTvUkVY</t>
        </is>
      </c>
      <c r="I234" s="18" t="inlineStr">
        <is>
          <t>xiaofugeer520</t>
        </is>
      </c>
      <c r="J234" s="18" t="inlineStr">
        <is>
          <t>生活</t>
        </is>
      </c>
      <c r="K234" s="18" t="inlineStr">
        <is>
          <t>尾部</t>
        </is>
      </c>
      <c r="L234" s="18" t="n">
        <v>33</v>
      </c>
      <c r="M234" s="18" t="inlineStr">
        <is>
          <t>2000-20000</t>
        </is>
      </c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</row>
    <row r="235" ht="37.9" customHeight="1" s="151">
      <c r="A235" s="17" t="n">
        <v>46094</v>
      </c>
      <c r="B235" s="18" t="inlineStr">
        <is>
          <t>ok</t>
        </is>
      </c>
      <c r="C235" s="18" t="n"/>
      <c r="D235" s="18" t="inlineStr">
        <is>
          <t>电商</t>
        </is>
      </c>
      <c r="E235" s="32" t="inlineStr">
        <is>
          <t>海氏爆款商单https://www.douyin.com/video/7580635359072111906</t>
        </is>
      </c>
      <c r="F235" s="18" t="inlineStr">
        <is>
          <t>杰儿美食</t>
        </is>
      </c>
      <c r="G235" s="18" t="inlineStr">
        <is>
          <t>https://www.xingtu.cn/ad/creator/author-homepage/douyin-video/6629659220260159491?market_track_id=GYN7U41I9QVIQIWZCR4K&amp;search_session_id=7616643897611173914&amp;possessStarId</t>
        </is>
      </c>
      <c r="H235" s="18" t="inlineStr">
        <is>
          <t>https://www.douyin.com/user/MS4wLjABAAAAaGPupGXkpAjXZOVH21EVXCRlX-WY4k0pSwspKgpfC9c</t>
        </is>
      </c>
      <c r="I235" s="18" t="inlineStr">
        <is>
          <t>jieermeishi</t>
        </is>
      </c>
      <c r="J235" s="18" t="inlineStr">
        <is>
          <t>美食</t>
        </is>
      </c>
      <c r="K235" s="18" t="inlineStr">
        <is>
          <t>头部</t>
        </is>
      </c>
      <c r="L235" s="18" t="n">
        <v>863</v>
      </c>
      <c r="M235" s="18" t="inlineStr">
        <is>
          <t>20000-100000</t>
        </is>
      </c>
      <c r="N235" s="18" t="inlineStr">
        <is>
          <t>小镇青年
新锐白领
Z世代</t>
        </is>
      </c>
      <c r="O235" s="21" t="n">
        <v>0.35</v>
      </c>
      <c r="P235" s="18" t="n">
        <v>1187000</v>
      </c>
      <c r="Q235" s="18">
        <f>Z235*1.05</f>
        <v/>
      </c>
      <c r="R235" s="20">
        <f>Z235/(AB235+AC235+AD235)</f>
        <v/>
      </c>
      <c r="S235" s="18" t="inlineStr">
        <is>
          <t>视频</t>
        </is>
      </c>
      <c r="T235" s="21" t="n">
        <v>0.76</v>
      </c>
      <c r="U235" s="21" t="n">
        <v>0.25</v>
      </c>
      <c r="V235" s="21" t="n">
        <v>0.35</v>
      </c>
      <c r="W235" s="21" t="n">
        <v>0.12</v>
      </c>
      <c r="X235" s="18" t="n"/>
      <c r="Y235" s="18" t="n"/>
      <c r="Z235" s="18" t="n">
        <v>85300</v>
      </c>
      <c r="AA235" s="20">
        <f>Z235/P235*1000</f>
        <v/>
      </c>
      <c r="AB235" s="18" t="n">
        <v>29000</v>
      </c>
      <c r="AC235" s="18" t="n">
        <v>819</v>
      </c>
      <c r="AD235" s="18" t="n">
        <v>1672</v>
      </c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</row>
    <row r="236" ht="37.9" customHeight="1" s="151">
      <c r="A236" s="17" t="n">
        <v>46094</v>
      </c>
      <c r="B236" s="18" t="inlineStr">
        <is>
          <t>人群不对，标签不对</t>
        </is>
      </c>
      <c r="C236" s="18" t="n"/>
      <c r="D236" s="18" t="inlineStr">
        <is>
          <t>电商</t>
        </is>
      </c>
      <c r="E236" s="32" t="inlineStr">
        <is>
          <t>海尔爆款商单：https://www.douyin.com/video/7600647445030203761</t>
        </is>
      </c>
      <c r="F236" s="18" t="inlineStr">
        <is>
          <t>钿哥来了</t>
        </is>
      </c>
      <c r="G236" s="18" t="inlineStr">
        <is>
          <t>https://www.xingtu.cn/ad/creator/author-homepage/douyin-video/7182410758330777604?market_track_id=SN20ND2FZ5FPJEXN7S4E&amp;search_session_id=7616674203077050419&amp;possessStarId</t>
        </is>
      </c>
      <c r="H236" s="18" t="inlineStr">
        <is>
          <t>https://www.douyin.com/user/MS4wLjABAAAAaAcfvEDWUh_xE5kJu4lV_8C45iIPdOKMq73eysmfdlE</t>
        </is>
      </c>
      <c r="I236" s="18" t="inlineStr">
        <is>
          <t>tiangelaile</t>
        </is>
      </c>
      <c r="J236" s="18" t="inlineStr">
        <is>
          <t>生活</t>
        </is>
      </c>
      <c r="K236" s="18" t="inlineStr">
        <is>
          <t>腰部</t>
        </is>
      </c>
      <c r="L236" s="18" t="n">
        <v>108</v>
      </c>
      <c r="M236" s="18" t="inlineStr">
        <is>
          <t>100000+</t>
        </is>
      </c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</row>
    <row r="237" ht="37.9" customHeight="1" s="151">
      <c r="A237" s="17" t="n">
        <v>46094</v>
      </c>
      <c r="B237" s="18" t="inlineStr">
        <is>
          <t>ok</t>
        </is>
      </c>
      <c r="C237" s="18" t="n"/>
      <c r="D237" s="18" t="inlineStr">
        <is>
          <t>品牌</t>
        </is>
      </c>
      <c r="E237" s="32" t="inlineStr">
        <is>
          <t>美的爆款商单：https://www.douyin.com/video/7311687790259883279</t>
        </is>
      </c>
      <c r="F237" s="18" t="inlineStr">
        <is>
          <t>小陶罐</t>
        </is>
      </c>
      <c r="G237" s="18" t="inlineStr">
        <is>
          <t>https://www.xingtu.cn/ad/creator/author-homepage/douyin-video/7228050208410566715?market_track_id=MOZQBJ7GT03Q1TMXNOAI&amp;search_session_id=7616648253435789322&amp;possessStarId</t>
        </is>
      </c>
      <c r="H237" s="18" t="inlineStr">
        <is>
          <t>https://www.douyin.com/user/MS4wLjABAAAAb7WAny-tA6rjYHc9UP6I7qiGVhY3Ug47cu2mWz-61oU</t>
        </is>
      </c>
      <c r="I237" s="18" t="n">
        <v>1090612996</v>
      </c>
      <c r="J237" s="18" t="inlineStr">
        <is>
          <t>美食</t>
        </is>
      </c>
      <c r="K237" s="18" t="inlineStr">
        <is>
          <t>尾部</t>
        </is>
      </c>
      <c r="L237" s="18" t="n">
        <v>14</v>
      </c>
      <c r="M237" s="18" t="inlineStr">
        <is>
          <t>2000-20000</t>
        </is>
      </c>
      <c r="N237" s="18" t="inlineStr">
        <is>
          <t>新锐白领
Z世代
小镇青年</t>
        </is>
      </c>
      <c r="O237" s="21" t="n">
        <v>0.37</v>
      </c>
      <c r="P237" s="18" t="n">
        <v>474000</v>
      </c>
      <c r="Q237" s="18">
        <f>Z237*1.05</f>
        <v/>
      </c>
      <c r="R237" s="20">
        <f>Z237/(AB237+AC237+AD237)</f>
        <v/>
      </c>
      <c r="S237" s="18" t="inlineStr">
        <is>
          <t>视频</t>
        </is>
      </c>
      <c r="T237" s="21" t="n">
        <v>0.51</v>
      </c>
      <c r="U237" s="21" t="n">
        <v>0.32</v>
      </c>
      <c r="V237" s="21" t="n">
        <v>0.2</v>
      </c>
      <c r="W237" s="21" t="n">
        <v>0.05</v>
      </c>
      <c r="X237" s="18" t="n"/>
      <c r="Y237" s="18" t="n"/>
      <c r="Z237" s="18" t="n">
        <v>15000</v>
      </c>
      <c r="AA237" s="20">
        <f>Z237/P237*1000</f>
        <v/>
      </c>
      <c r="AB237" s="22" t="n">
        <v>7646</v>
      </c>
      <c r="AC237" s="22" t="n">
        <v>2631</v>
      </c>
      <c r="AD237" s="18" t="n">
        <v>26000</v>
      </c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</row>
    <row r="238" ht="50.25" customHeight="1" s="151">
      <c r="A238" s="17" t="n">
        <v>46094</v>
      </c>
      <c r="B238" s="18" t="inlineStr">
        <is>
          <t>人群不对，标签不对</t>
        </is>
      </c>
      <c r="C238" s="18" t="n"/>
      <c r="D238" s="18" t="inlineStr">
        <is>
          <t>电商</t>
        </is>
      </c>
      <c r="E238" s="32" t="inlineStr">
        <is>
          <t>商单均过千万播放，近期有大家电商单爆款，https://www.douyin.com/video/7598388485124634011</t>
        </is>
      </c>
      <c r="F238" s="18" t="inlineStr">
        <is>
          <t>明天谁做东</t>
        </is>
      </c>
      <c r="G238" s="18" t="inlineStr">
        <is>
          <t>https://www.xingtu.cn/ad/creator/author-homepage/douyin-video/7063710781757456420?market_track_id=7V09FBZRNDM9257H8QCX&amp;search_session_id=7616651184430776347&amp;possessStarId</t>
        </is>
      </c>
      <c r="H238" s="18" t="inlineStr">
        <is>
          <t>https://www.douyin.com/user/MS4wLjABAAAA_M5dOMrn_OJDEseTF8rBFm1WGT0v25Vg0uvTyJDKlqVgxS5sPN2S6ZZX8LlIquSo</t>
        </is>
      </c>
      <c r="I238" s="18" t="n">
        <v>48575645444</v>
      </c>
      <c r="J238" s="18" t="inlineStr">
        <is>
          <t>美食</t>
        </is>
      </c>
      <c r="K238" s="18" t="inlineStr">
        <is>
          <t>头部</t>
        </is>
      </c>
      <c r="L238" s="18" t="n">
        <v>803</v>
      </c>
      <c r="M238" s="18" t="inlineStr">
        <is>
          <t>100000+</t>
        </is>
      </c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</row>
    <row r="239" ht="37.9" customHeight="1" s="151">
      <c r="A239" s="17" t="n">
        <v>46094</v>
      </c>
      <c r="B239" s="18" t="inlineStr">
        <is>
          <t>ok</t>
        </is>
      </c>
      <c r="C239" s="18" t="n"/>
      <c r="D239" s="18" t="inlineStr">
        <is>
          <t>品牌</t>
        </is>
      </c>
      <c r="E239" s="32" t="inlineStr">
        <is>
          <t>西门子爆款商单：https://www.douyin.com/video/7600015452685661627</t>
        </is>
      </c>
      <c r="F239" s="18" t="inlineStr">
        <is>
          <t>梦洋Amanda</t>
        </is>
      </c>
      <c r="G239" s="18" t="inlineStr">
        <is>
          <t>https://www.xingtu.cn/ad/creator/author-homepage/douyin-video/6866734332837363723?market_track_id=255NG1IA5QKP634KZDSQ&amp;search_session_id=7616667210668687410&amp;possessStarId</t>
        </is>
      </c>
      <c r="H239" s="18" t="inlineStr">
        <is>
          <t>https://www.douyin.com/user/MS4wLjABAAAAiXWzfBC6YQjPG5DiOF-8LfxY3fC3zGmkYVy3cXttUFI</t>
        </is>
      </c>
      <c r="I239" s="18" t="inlineStr">
        <is>
          <t>dbw0000</t>
        </is>
      </c>
      <c r="J239" s="18" t="inlineStr">
        <is>
          <t>家居</t>
        </is>
      </c>
      <c r="K239" s="18" t="inlineStr">
        <is>
          <t>腰部</t>
        </is>
      </c>
      <c r="L239" s="18" t="n">
        <v>63</v>
      </c>
      <c r="M239" s="18" t="inlineStr">
        <is>
          <t>2000-20000</t>
        </is>
      </c>
      <c r="N239" s="18" t="inlineStr">
        <is>
          <t>新锐白领
小镇青年
都市蓝领</t>
        </is>
      </c>
      <c r="O239" s="21" t="n">
        <v>0.44</v>
      </c>
      <c r="P239" s="18" t="n">
        <v>1803000</v>
      </c>
      <c r="Q239" s="18">
        <f>Z239*1.05</f>
        <v/>
      </c>
      <c r="R239" s="20">
        <f>Z239/(AB239+AC239+AD239)</f>
        <v/>
      </c>
      <c r="S239" s="18" t="inlineStr">
        <is>
          <t>视频</t>
        </is>
      </c>
      <c r="T239" s="21" t="n">
        <v>0.46</v>
      </c>
      <c r="U239" s="21" t="n">
        <v>0.39</v>
      </c>
      <c r="V239" s="21" t="n">
        <v>0.34</v>
      </c>
      <c r="W239" s="21" t="n">
        <v>0.02</v>
      </c>
      <c r="X239" s="18" t="n"/>
      <c r="Y239" s="18" t="n"/>
      <c r="Z239" s="18" t="n">
        <v>40000</v>
      </c>
      <c r="AA239" s="20">
        <f>Z239/P239*1000</f>
        <v/>
      </c>
      <c r="AB239" s="18" t="n">
        <v>19000</v>
      </c>
      <c r="AC239" s="18" t="n">
        <v>1235</v>
      </c>
      <c r="AD239" s="18" t="n">
        <v>7041</v>
      </c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</row>
    <row r="240" ht="37.9" customHeight="1" s="151">
      <c r="A240" s="17" t="n">
        <v>46094</v>
      </c>
      <c r="B240" s="18" t="inlineStr">
        <is>
          <t>太下沉，太负面</t>
        </is>
      </c>
      <c r="C240" s="18" t="n"/>
      <c r="D240" s="18" t="inlineStr">
        <is>
          <t>电商</t>
        </is>
      </c>
      <c r="E240" s="32" t="inlineStr">
        <is>
          <t>西门子爆款商单：https://www.douyin.com/video/7599919494719251035</t>
        </is>
      </c>
      <c r="F240" s="18" t="inlineStr">
        <is>
          <t>-在逃许师傅</t>
        </is>
      </c>
      <c r="G240" s="18" t="inlineStr">
        <is>
          <t>https://www.xingtu.cn/ad/creator/author-homepage/douyin-video/7237693402249494560?market_track_id=N4PBRHV2K7PCWJ3T3MBY&amp;search_session_id=7616667428616962086&amp;possessStarId</t>
        </is>
      </c>
      <c r="H240" s="18" t="inlineStr">
        <is>
          <t>https://www.douyin.com/user/MS4wLjABAAAA9YU4u9kZcGzGzr0ca4sT4-aDqkN8Pm4sEaS2jfEZGJU7raTBd3TsTI36FaCmgctp</t>
        </is>
      </c>
      <c r="I240" s="18" t="n">
        <v>45999744020</v>
      </c>
      <c r="J240" s="18" t="inlineStr">
        <is>
          <t>家居</t>
        </is>
      </c>
      <c r="K240" s="18" t="inlineStr">
        <is>
          <t>腰部</t>
        </is>
      </c>
      <c r="L240" s="18" t="n">
        <v>93</v>
      </c>
      <c r="M240" s="18" t="inlineStr">
        <is>
          <t>2000-20000</t>
        </is>
      </c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</row>
    <row r="241" ht="37.9" customHeight="1" s="151">
      <c r="A241" s="17" t="n">
        <v>46094</v>
      </c>
      <c r="B241" s="18" t="inlineStr">
        <is>
          <t>厨房场景太low</t>
        </is>
      </c>
      <c r="C241" s="18" t="n"/>
      <c r="D241" s="18" t="inlineStr">
        <is>
          <t>电商</t>
        </is>
      </c>
      <c r="E241" s="32" t="inlineStr">
        <is>
          <t>五千万播放家电爆文：https://www.douyin.com/video/7555516326732172579</t>
        </is>
      </c>
      <c r="F241" s="18" t="inlineStr">
        <is>
          <t>丛小吖</t>
        </is>
      </c>
      <c r="G241" s="18" t="inlineStr">
        <is>
          <t>https://www.xingtu.cn/ad/creator/author-homepage/douyin-video/7094235680405979177?market_track_id=D74CIVP98ZHTTIUE1GAW&amp;search_session_id=7616671025753128969&amp;possessStarId</t>
        </is>
      </c>
      <c r="H241" s="18" t="inlineStr">
        <is>
          <t>https://www.douyin.com/user/MS4wLjABAAAAguXfi0BOH50IC6s7ttS7JWnczGBQqKr4oVp1qdH2yXQ</t>
        </is>
      </c>
      <c r="I241" s="18" t="n">
        <v>95586336</v>
      </c>
      <c r="J241" s="18" t="inlineStr">
        <is>
          <t>母婴</t>
        </is>
      </c>
      <c r="K241" s="18" t="inlineStr">
        <is>
          <t>腰部</t>
        </is>
      </c>
      <c r="L241" s="18" t="n">
        <v>251</v>
      </c>
      <c r="M241" s="18" t="inlineStr">
        <is>
          <t>100000+</t>
        </is>
      </c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</row>
    <row r="242">
      <c r="A242" s="60" t="n"/>
      <c r="B242" s="60" t="n"/>
      <c r="C242" s="60" t="n"/>
      <c r="D242" s="60" t="n"/>
      <c r="E242" s="61" t="n"/>
      <c r="F242" s="60" t="n"/>
      <c r="G242" s="60" t="n"/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  <c r="Z242" s="60" t="n"/>
      <c r="AA242" s="60" t="n"/>
      <c r="AB242" s="60" t="n"/>
      <c r="AC242" s="60" t="n"/>
      <c r="AD242" s="60" t="n"/>
      <c r="AE242" s="60" t="n"/>
      <c r="AF242" s="60" t="n"/>
      <c r="AG242" s="60" t="n"/>
      <c r="AH242" s="60" t="n"/>
      <c r="AI242" s="60" t="n"/>
      <c r="AJ242" s="60" t="n"/>
      <c r="AK242" s="60" t="n"/>
      <c r="AL242" s="60" t="n"/>
      <c r="AM242" s="60" t="n"/>
      <c r="AN242" s="60" t="n"/>
      <c r="AO242" s="60" t="n"/>
      <c r="AP242" s="60" t="n"/>
    </row>
    <row r="243">
      <c r="A243" s="17" t="n">
        <v>46097</v>
      </c>
      <c r="B243" s="18" t="inlineStr">
        <is>
          <t>ok</t>
        </is>
      </c>
      <c r="C243" s="18" t="n"/>
      <c r="D243" s="18" t="inlineStr">
        <is>
          <t>电商</t>
        </is>
      </c>
      <c r="E243" s="32" t="inlineStr">
        <is>
          <t>家具家电行业退休夫妻档</t>
        </is>
      </c>
      <c r="F243" s="18" t="inlineStr">
        <is>
          <t>猪妮生活记</t>
        </is>
      </c>
      <c r="G243" s="18" t="inlineStr">
        <is>
          <t>https://www.xingtu.cn/ad/creator/author-homepage/douyin-video/7188349445459673127?market_track_id=V3SVRVAZNICLFPE0J6SJ&amp;search_session_id=7617735670479978547&amp;possessStarId</t>
        </is>
      </c>
      <c r="H243" s="18" t="inlineStr">
        <is>
          <t>https://www.douyin.com/user/MS4wLjABAAAAhVCMU-mUhDIVUWGUMzqmc6GJIgQyM0IMX8bjuImUqJl9h_SXx962d6En8O6_0uEv</t>
        </is>
      </c>
      <c r="I243" s="18" t="n">
        <v>52927363831</v>
      </c>
      <c r="J243" s="18" t="inlineStr">
        <is>
          <t>家居</t>
        </is>
      </c>
      <c r="K243" s="18" t="inlineStr">
        <is>
          <t>腰部</t>
        </is>
      </c>
      <c r="L243" s="18" t="n">
        <v>111</v>
      </c>
      <c r="M243" s="18" t="inlineStr">
        <is>
          <t>2000-20000</t>
        </is>
      </c>
      <c r="N243" s="18" t="inlineStr">
        <is>
          <t>新锐白领
小镇青年
精致妈妈</t>
        </is>
      </c>
      <c r="O243" s="21" t="n">
        <v>0.51</v>
      </c>
      <c r="P243" s="18" t="n">
        <v>1097000</v>
      </c>
      <c r="Q243" s="18">
        <f>Z243*1.05</f>
        <v/>
      </c>
      <c r="R243" s="20">
        <f>Z243/(AB243+AD243+AC243)</f>
        <v/>
      </c>
      <c r="S243" s="18" t="inlineStr">
        <is>
          <t>视频</t>
        </is>
      </c>
      <c r="T243" s="21" t="n">
        <v>0.58</v>
      </c>
      <c r="U243" s="21" t="n">
        <v>0.3</v>
      </c>
      <c r="V243" s="21" t="n">
        <v>0.42</v>
      </c>
      <c r="W243" s="21" t="n">
        <v>0.09</v>
      </c>
      <c r="X243" s="18" t="n"/>
      <c r="Y243" s="18" t="n"/>
      <c r="Z243" s="18" t="n">
        <v>39000</v>
      </c>
      <c r="AA243" s="20">
        <f>Z243/P243*1000</f>
        <v/>
      </c>
      <c r="AB243" s="18" t="n">
        <v>15000</v>
      </c>
      <c r="AC243" s="18" t="n">
        <v>291</v>
      </c>
      <c r="AD243" s="18" t="n">
        <v>1880</v>
      </c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</row>
    <row r="244">
      <c r="A244" s="17" t="n">
        <v>46097</v>
      </c>
      <c r="B244" s="18" t="n"/>
      <c r="C244" s="18" t="n"/>
      <c r="D244" s="18" t="inlineStr">
        <is>
          <t>电商</t>
        </is>
      </c>
      <c r="E244" s="32" t="inlineStr">
        <is>
          <t>手工DIY,打造梦想田园小院</t>
        </is>
      </c>
      <c r="F244" s="18" t="inlineStr">
        <is>
          <t>小池改造日记🏠</t>
        </is>
      </c>
      <c r="G244" s="18" t="inlineStr">
        <is>
          <t>https://www.xingtu.cn/ad/creator/author-homepage/douyin-video/7348285762749595702?market_track_id=V3SVRVAZNICLFPE0J6SJ&amp;search_session_id=7617737280752582665&amp;possessStarId</t>
        </is>
      </c>
      <c r="H244" s="18" t="inlineStr">
        <is>
          <t>https://www.douyin.com/user/MS4wLjABAAAAHKgbcSjDTgowNKDqOyqtKq-hdFjlyDq95TjdXTgRRSY</t>
        </is>
      </c>
      <c r="I244" s="18" t="n">
        <v>74042541482</v>
      </c>
      <c r="J244" s="18" t="inlineStr">
        <is>
          <t>家居</t>
        </is>
      </c>
      <c r="K244" s="18" t="inlineStr">
        <is>
          <t>腰部</t>
        </is>
      </c>
      <c r="L244" s="18" t="n">
        <v>50</v>
      </c>
      <c r="M244" s="18" t="inlineStr">
        <is>
          <t>2000-20000</t>
        </is>
      </c>
      <c r="N244" s="18" t="inlineStr">
        <is>
          <t>小镇青年
都市蓝领
新锐白领</t>
        </is>
      </c>
      <c r="O244" s="21" t="n">
        <v>0.3</v>
      </c>
      <c r="P244" s="18" t="n">
        <v>275000</v>
      </c>
      <c r="Q244" s="18">
        <f>Z244*1.05</f>
        <v/>
      </c>
      <c r="R244" s="20">
        <f>Z244/(AB244+AD244+AC244)</f>
        <v/>
      </c>
      <c r="S244" s="18" t="inlineStr">
        <is>
          <t>视频</t>
        </is>
      </c>
      <c r="T244" s="21" t="n">
        <v>0.51</v>
      </c>
      <c r="U244" s="21" t="n">
        <v>0.27</v>
      </c>
      <c r="V244" s="21" t="n">
        <v>0.42</v>
      </c>
      <c r="W244" s="21" t="n">
        <v>0.11</v>
      </c>
      <c r="X244" s="18" t="n"/>
      <c r="Y244" s="18" t="n"/>
      <c r="Z244" s="18" t="n">
        <v>25000</v>
      </c>
      <c r="AA244" s="20">
        <f>Z244/P244*1000</f>
        <v/>
      </c>
      <c r="AB244" s="22" t="n">
        <v>4406</v>
      </c>
      <c r="AC244" s="18" t="n">
        <v>228</v>
      </c>
      <c r="AD244" s="18" t="n">
        <v>467</v>
      </c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</row>
    <row r="245" ht="37.15" customHeight="1" s="151">
      <c r="A245" s="17" t="n">
        <v>46097</v>
      </c>
      <c r="B245" s="18" t="n"/>
      <c r="C245" s="18" t="n"/>
      <c r="D245" s="18" t="inlineStr">
        <is>
          <t>电商</t>
        </is>
      </c>
      <c r="E245" s="32" t="inlineStr">
        <is>
          <t>📗自由插画师|爱做点手工 ⛰️记录70平森林复式山景房改造日常 📎喜欢自然&amp;松弛的空间</t>
        </is>
      </c>
      <c r="F245" s="18" t="inlineStr">
        <is>
          <t>椰夫同学（软装中）</t>
        </is>
      </c>
      <c r="G245" s="18" t="inlineStr">
        <is>
          <t>https://www.xingtu.cn/ad/creator/author-homepage/douyin-video/7078279148648529928?market_track_id=V3SVRVAZNICLFPE0J6SJ&amp;search_session_id=7617737280752582665&amp;possessStarId</t>
        </is>
      </c>
      <c r="H245" s="18" t="inlineStr">
        <is>
          <t>https://www.douyin.com/user/MS4wLjABAAAAKvsmt0foTt7k1YNr-ro-s6xXcq4JJKr19Vtd6mZ-Dkqxh4_MEFnU3eCxpJSckzHO</t>
        </is>
      </c>
      <c r="I245" s="18" t="n">
        <v>95961026377</v>
      </c>
      <c r="J245" s="18" t="inlineStr">
        <is>
          <t>家居</t>
        </is>
      </c>
      <c r="K245" s="18" t="inlineStr">
        <is>
          <t>尾部</t>
        </is>
      </c>
      <c r="L245" s="18" t="n">
        <v>25</v>
      </c>
      <c r="M245" s="18" t="inlineStr">
        <is>
          <t>近一个月无商单</t>
        </is>
      </c>
      <c r="N245" s="18" t="inlineStr">
        <is>
          <t>新锐白领
小镇青年
精致妈妈</t>
        </is>
      </c>
      <c r="O245" s="35" t="n">
        <v>0.625</v>
      </c>
      <c r="P245" s="18" t="n">
        <v>147000</v>
      </c>
      <c r="Q245" s="18">
        <f>Z245*1.05</f>
        <v/>
      </c>
      <c r="R245" s="20">
        <f>Z245/(AB245+AD245+AC245)</f>
        <v/>
      </c>
      <c r="S245" s="18" t="inlineStr">
        <is>
          <t>视频</t>
        </is>
      </c>
      <c r="T245" s="21" t="n">
        <v>0.59</v>
      </c>
      <c r="U245" s="21" t="n">
        <v>0.4</v>
      </c>
      <c r="V245" s="21" t="n">
        <v>0.37</v>
      </c>
      <c r="W245" s="21" t="n">
        <v>0.07000000000000001</v>
      </c>
      <c r="X245" s="18" t="n"/>
      <c r="Y245" s="18" t="n"/>
      <c r="Z245" s="18" t="n">
        <v>32000</v>
      </c>
      <c r="AA245" s="20">
        <f>Z245/P245*1000</f>
        <v/>
      </c>
      <c r="AB245" s="22" t="n">
        <v>4928</v>
      </c>
      <c r="AC245" s="18" t="n">
        <v>324</v>
      </c>
      <c r="AD245" s="18" t="n">
        <v>1571</v>
      </c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</row>
    <row r="246" ht="37.15" customHeight="1" s="151">
      <c r="A246" s="17" t="n">
        <v>46097</v>
      </c>
      <c r="B246" s="18" t="n"/>
      <c r="C246" s="18" t="n"/>
      <c r="D246" s="18" t="inlineStr">
        <is>
          <t>电商</t>
        </is>
      </c>
      <c r="E246" s="32" t="inlineStr">
        <is>
          <t xml:space="preserve">95后已婚美术生|绘画|阅读|戏精甜酷girl ｜👩🏻‍❤️‍👨🏻➕🐶快乐宅家记 </t>
        </is>
      </c>
      <c r="F246" s="18" t="inlineStr">
        <is>
          <t>大耳图的舒适窝</t>
        </is>
      </c>
      <c r="G246" s="18" t="inlineStr">
        <is>
          <t>https://www.xingtu.cn/ad/creator/author-homepage/douyin-video/7371376725386756150?market_track_id=V3SVRVAZNICLFPE0J6SJ&amp;search_session_id=7617737280752582665&amp;possessStarId</t>
        </is>
      </c>
      <c r="H246" s="18" t="inlineStr">
        <is>
          <t>https://www.douyin.com/user/MS4wLjABAAAAH6EuhbI0HTnZCrZS3_rhDHJ_L9-oLfolS-ufm5CQ_dM</t>
        </is>
      </c>
      <c r="I246" s="18" t="inlineStr">
        <is>
          <t>xuan17809</t>
        </is>
      </c>
      <c r="J246" s="18" t="inlineStr">
        <is>
          <t>生活</t>
        </is>
      </c>
      <c r="K246" s="18" t="inlineStr">
        <is>
          <t>腰部</t>
        </is>
      </c>
      <c r="L246" s="18" t="n">
        <v>116</v>
      </c>
      <c r="M246" s="18" t="inlineStr">
        <is>
          <t>2000-20000</t>
        </is>
      </c>
      <c r="N246" s="18" t="inlineStr">
        <is>
          <t>新锐白领
都市蓝领
小镇青年</t>
        </is>
      </c>
      <c r="O246" s="21" t="n">
        <v>0.44</v>
      </c>
      <c r="P246" s="18" t="n">
        <v>547000</v>
      </c>
      <c r="Q246" s="18">
        <f>Z246*1.05</f>
        <v/>
      </c>
      <c r="R246" s="20">
        <f>Z246/(AB246+AD246+AC246)</f>
        <v/>
      </c>
      <c r="S246" s="18" t="inlineStr">
        <is>
          <t>视频</t>
        </is>
      </c>
      <c r="T246" s="21" t="n">
        <v>0.55</v>
      </c>
      <c r="U246" s="21" t="n">
        <v>0.25</v>
      </c>
      <c r="V246" s="21" t="n">
        <v>0.42</v>
      </c>
      <c r="W246" s="21" t="n">
        <v>0.11</v>
      </c>
      <c r="X246" s="18" t="n"/>
      <c r="Y246" s="18" t="n"/>
      <c r="Z246" s="18" t="n">
        <v>39800</v>
      </c>
      <c r="AA246" s="20">
        <f>Z246/P246*1000</f>
        <v/>
      </c>
      <c r="AB246" s="22" t="n">
        <v>8278</v>
      </c>
      <c r="AC246" s="18" t="n">
        <v>257</v>
      </c>
      <c r="AD246" s="18" t="n">
        <v>170</v>
      </c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</row>
    <row r="247">
      <c r="A247" s="17" t="n">
        <v>46097</v>
      </c>
      <c r="B247" s="18" t="n"/>
      <c r="C247" s="18" t="n"/>
      <c r="D247" s="18" t="inlineStr">
        <is>
          <t>电商</t>
        </is>
      </c>
      <c r="E247" s="32" t="inlineStr">
        <is>
          <t>探家博主，创意新颖有趣</t>
        </is>
      </c>
      <c r="F247" s="18" t="inlineStr">
        <is>
          <t>叮咚十一</t>
        </is>
      </c>
      <c r="G247" s="18" t="inlineStr">
        <is>
          <t>https://www.xingtu.cn/ad/creator/author-homepage/douyin-video/6629723068413509639?market_track_id=V3SVRVAZNICLFPE0J6SJ&amp;search_session_id=7617738312274591794&amp;possessStarId</t>
        </is>
      </c>
      <c r="H247" s="18" t="inlineStr">
        <is>
          <t>https://www.douyin.com/user/MS4wLjABAAAAV6vN5b6cqiaBT9CHFwNKh4-RBAXe5G3CEEVMltxeCyQ</t>
        </is>
      </c>
      <c r="I247" s="18" t="n">
        <v>1061108558</v>
      </c>
      <c r="J247" s="18" t="inlineStr">
        <is>
          <t>生活</t>
        </is>
      </c>
      <c r="K247" s="18" t="inlineStr">
        <is>
          <t>头部</t>
        </is>
      </c>
      <c r="L247" s="18" t="n">
        <v>446</v>
      </c>
      <c r="M247" s="18" t="inlineStr">
        <is>
          <t>2000-20000</t>
        </is>
      </c>
      <c r="N247" s="18" t="inlineStr">
        <is>
          <t>小镇青年
都市银发
新锐白领</t>
        </is>
      </c>
      <c r="O247" s="21" t="n">
        <v>0.4</v>
      </c>
      <c r="P247" s="18" t="n">
        <v>818000</v>
      </c>
      <c r="Q247" s="18">
        <f>Z247*1.05</f>
        <v/>
      </c>
      <c r="R247" s="20">
        <f>Z247/(AB247+AD247+AC247)</f>
        <v/>
      </c>
      <c r="S247" s="18" t="inlineStr">
        <is>
          <t>视频</t>
        </is>
      </c>
      <c r="T247" s="21" t="n">
        <v>0.66</v>
      </c>
      <c r="U247" s="21" t="n">
        <v>0.2</v>
      </c>
      <c r="V247" s="21" t="n">
        <v>0.38</v>
      </c>
      <c r="W247" s="21" t="n">
        <v>0.21</v>
      </c>
      <c r="X247" s="18" t="n"/>
      <c r="Y247" s="18" t="n"/>
      <c r="Z247" s="18" t="n">
        <v>68000</v>
      </c>
      <c r="AA247" s="20">
        <f>Z247/P247*1000</f>
        <v/>
      </c>
      <c r="AB247" s="18" t="n">
        <v>4581</v>
      </c>
      <c r="AC247" s="18" t="n">
        <v>168</v>
      </c>
      <c r="AD247" s="18" t="n">
        <v>462</v>
      </c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</row>
    <row r="248" ht="37.15" customHeight="1" s="151">
      <c r="A248" s="17" t="n">
        <v>46097</v>
      </c>
      <c r="B248" s="18" t="n"/>
      <c r="C248" s="18" t="n"/>
      <c r="D248" s="18" t="inlineStr">
        <is>
          <t>电商</t>
        </is>
      </c>
      <c r="E248" s="32" t="inlineStr">
        <is>
          <t>2岁一儿一女 自带一楼带院和一梯一户 住进Dream house的日常点滴 家居｜亲子｜好物｜生活｜干货</t>
        </is>
      </c>
      <c r="F248" s="18" t="inlineStr">
        <is>
          <t xml:space="preserve">
朱朱爱折腾</t>
        </is>
      </c>
      <c r="G248" s="18" t="inlineStr">
        <is>
          <t>https://www.xingtu.cn/ad/creator/author-homepage/douyin-video/7307089287776829477?market_track_id=V3SVRVAZNICLFPE0J6SJ&amp;search_session_id=7617739065844465702&amp;possessStarId</t>
        </is>
      </c>
      <c r="H248" s="18" t="inlineStr">
        <is>
          <t>https://www.douyin.com/user/MS4wLjABAAAAzqS_PBshcJ_aSZNxIPkqZ_gBhrJq6KzsNRQjjU8aZRI</t>
        </is>
      </c>
      <c r="I248" s="18" t="inlineStr">
        <is>
          <t>zhuzhu.lovehome</t>
        </is>
      </c>
      <c r="J248" s="18" t="inlineStr">
        <is>
          <t>家居</t>
        </is>
      </c>
      <c r="K248" s="18" t="inlineStr">
        <is>
          <t>腰部</t>
        </is>
      </c>
      <c r="L248" s="18" t="n">
        <v>138</v>
      </c>
      <c r="M248" s="18" t="inlineStr">
        <is>
          <t>150-2000</t>
        </is>
      </c>
      <c r="N248" s="18" t="inlineStr">
        <is>
          <t>小镇青年
新锐白领
都市蓝领</t>
        </is>
      </c>
      <c r="O248" s="21" t="n">
        <v>0.4</v>
      </c>
      <c r="P248" s="18" t="n">
        <v>885000</v>
      </c>
      <c r="Q248" s="18">
        <f>Z248*1.05</f>
        <v/>
      </c>
      <c r="R248" s="20">
        <f>Z248/(AB248+AD248+AC248)</f>
        <v/>
      </c>
      <c r="S248" s="18" t="inlineStr">
        <is>
          <t>视频</t>
        </is>
      </c>
      <c r="T248" s="21" t="n">
        <v>0.52</v>
      </c>
      <c r="U248" s="21" t="n">
        <v>0.27</v>
      </c>
      <c r="V248" s="21" t="n">
        <v>0.36</v>
      </c>
      <c r="W248" s="21" t="n">
        <v>0.12</v>
      </c>
      <c r="X248" s="18" t="n"/>
      <c r="Y248" s="18" t="n"/>
      <c r="Z248" s="18" t="n">
        <v>47800</v>
      </c>
      <c r="AA248" s="20">
        <f>Z248/P248*1000</f>
        <v/>
      </c>
      <c r="AB248" s="18" t="n">
        <v>13000</v>
      </c>
      <c r="AC248" s="18" t="n">
        <v>145</v>
      </c>
      <c r="AD248" s="18" t="n">
        <v>729</v>
      </c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</row>
    <row r="249" ht="24.75" customHeight="1" s="151">
      <c r="A249" s="17" t="n">
        <v>46097</v>
      </c>
      <c r="B249" s="18" t="n"/>
      <c r="C249" s="18" t="n"/>
      <c r="D249" s="18" t="inlineStr">
        <is>
          <t>电商</t>
        </is>
      </c>
      <c r="E249" s="32" t="inlineStr">
        <is>
          <t>从魔都逃离回成都定居的北方大妞， 有娃有狗有小院</t>
        </is>
      </c>
      <c r="F249" s="18" t="inlineStr">
        <is>
          <t>梁闹闹的花园一楼</t>
        </is>
      </c>
      <c r="G249" s="18" t="inlineStr">
        <is>
          <t>https://www.xingtu.cn/ad/creator/author-homepage/douyin-video/7382884261608554506?market_track_id=V3SVRVAZNICLFPE0J6SJ&amp;search_session_id=7617739489735016498&amp;possessStarId</t>
        </is>
      </c>
      <c r="H249" s="18" t="inlineStr">
        <is>
          <t>https://www.douyin.com/user/MS4wLjABAAAA7lplVpa2j83bnjUKoVbuBMmgeQBKxzINNNpCl1MsIew</t>
        </is>
      </c>
      <c r="I249" s="18" t="inlineStr">
        <is>
          <t>TaiCang10</t>
        </is>
      </c>
      <c r="J249" s="18" t="inlineStr">
        <is>
          <t>家居</t>
        </is>
      </c>
      <c r="K249" s="18" t="inlineStr">
        <is>
          <t>腰部</t>
        </is>
      </c>
      <c r="L249" s="18" t="n">
        <v>189</v>
      </c>
      <c r="M249" s="18" t="inlineStr">
        <is>
          <t>150-2000</t>
        </is>
      </c>
      <c r="N249" s="18" t="inlineStr">
        <is>
          <t>小镇青年
新锐白领
资深中产</t>
        </is>
      </c>
      <c r="O249" s="21" t="n">
        <v>0.45</v>
      </c>
      <c r="P249" s="18" t="n">
        <v>1089000</v>
      </c>
      <c r="Q249" s="18">
        <f>Z249*1.05</f>
        <v/>
      </c>
      <c r="R249" s="20">
        <f>Z249/(AB249+AD249+AC249)</f>
        <v/>
      </c>
      <c r="S249" s="18" t="inlineStr">
        <is>
          <t>视频</t>
        </is>
      </c>
      <c r="T249" s="21" t="n">
        <v>0.25</v>
      </c>
      <c r="U249" s="21" t="n">
        <v>0.26</v>
      </c>
      <c r="V249" s="21" t="n">
        <v>0.39</v>
      </c>
      <c r="W249" s="21" t="n">
        <v>0.19</v>
      </c>
      <c r="X249" s="18" t="n"/>
      <c r="Y249" s="18" t="n"/>
      <c r="Z249" s="18" t="n">
        <v>65000</v>
      </c>
      <c r="AA249" s="20">
        <f>Z249/P249*1000</f>
        <v/>
      </c>
      <c r="AB249" s="22" t="n">
        <v>4923</v>
      </c>
      <c r="AC249" s="18" t="n">
        <v>1080</v>
      </c>
      <c r="AD249" s="18" t="n">
        <v>475</v>
      </c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</row>
    <row r="250" ht="37.15" customHeight="1" s="151">
      <c r="A250" s="17" t="n">
        <v>46097</v>
      </c>
      <c r="B250" s="18" t="n"/>
      <c r="C250" s="18" t="n"/>
      <c r="D250" s="18" t="inlineStr">
        <is>
          <t>电商</t>
        </is>
      </c>
      <c r="E250" s="32" t="inlineStr">
        <is>
          <t xml:space="preserve"> 家居分享 ｜记录生活｜日常vlog｜亲子生活 一家三口的极简2房100平小复式</t>
        </is>
      </c>
      <c r="F250" s="18" t="inlineStr">
        <is>
          <t>花麦麦的家</t>
        </is>
      </c>
      <c r="G250" s="18" t="inlineStr">
        <is>
          <t>https://www.xingtu.cn/ad/creator/author-homepage/douyin-video/7367182371520512037?market_track_id=V3SVRVAZNICLFPE0J6SJ&amp;search_session_id=7617739828616888347&amp;possessStarId</t>
        </is>
      </c>
      <c r="H250" s="18" t="inlineStr">
        <is>
          <t>https://www.douyin.com/user/MS4wLjABAAAASXNhw5qC3BgFGgRjVaj_KUtNG0sb1r1fHNwNFtfGrac</t>
        </is>
      </c>
      <c r="I250" s="18" t="n">
        <v>85693513602</v>
      </c>
      <c r="J250" s="18" t="inlineStr">
        <is>
          <t>家居</t>
        </is>
      </c>
      <c r="K250" s="18" t="inlineStr">
        <is>
          <t>腰部</t>
        </is>
      </c>
      <c r="L250" s="18" t="n">
        <v>95</v>
      </c>
      <c r="M250" s="18" t="inlineStr">
        <is>
          <t>近一个月无商单数据</t>
        </is>
      </c>
      <c r="N250" s="18" t="inlineStr">
        <is>
          <t>小镇青年
都市银发
都市蓝领</t>
        </is>
      </c>
      <c r="O250" s="21" t="n">
        <v>0.3</v>
      </c>
      <c r="P250" s="18" t="n">
        <v>1100000</v>
      </c>
      <c r="Q250" s="18">
        <f>Z250*1.05</f>
        <v/>
      </c>
      <c r="R250" s="20">
        <f>Z250/(AB250+AD250+AC250)</f>
        <v/>
      </c>
      <c r="S250" s="18" t="inlineStr">
        <is>
          <t>视频</t>
        </is>
      </c>
      <c r="T250" s="21" t="n">
        <v>0.61</v>
      </c>
      <c r="U250" s="21" t="n">
        <v>0.2</v>
      </c>
      <c r="V250" s="21" t="n">
        <v>0.35</v>
      </c>
      <c r="W250" s="21" t="n">
        <v>0.09</v>
      </c>
      <c r="X250" s="18" t="n"/>
      <c r="Y250" s="18" t="n"/>
      <c r="Z250" s="18" t="n">
        <v>43800</v>
      </c>
      <c r="AA250" s="20">
        <f>Z250/P250*1000</f>
        <v/>
      </c>
      <c r="AB250" s="18" t="n">
        <v>16000</v>
      </c>
      <c r="AC250" s="18" t="n">
        <v>288</v>
      </c>
      <c r="AD250" s="18" t="n">
        <v>1752</v>
      </c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</row>
    <row r="251" ht="24.75" customHeight="1" s="151">
      <c r="A251" s="17" t="n">
        <v>46097</v>
      </c>
      <c r="B251" s="18" t="n"/>
      <c r="C251" s="18" t="n"/>
      <c r="D251" s="18" t="inlineStr">
        <is>
          <t>电商</t>
        </is>
      </c>
      <c r="E251" s="32" t="inlineStr">
        <is>
          <t>👫🏻90后小夫妻第一套房 🏠123平 | 套内102平 ✨家居 | 日常 | 情侣</t>
        </is>
      </c>
      <c r="F251" s="18" t="inlineStr">
        <is>
          <t>郭七七的窝</t>
        </is>
      </c>
      <c r="G251" s="18" t="inlineStr">
        <is>
          <t>https://www.xingtu.cn/ad/creator/author-homepage/douyin-video/7195808519419854909?market_track_id=V3SVRVAZNICLFPE0J6SJ&amp;search_session_id=7617739828616888347&amp;possessStarId</t>
        </is>
      </c>
      <c r="H251" s="18" t="inlineStr">
        <is>
          <t>https://www.douyin.com/user/MS4wLjABAAAAKVLBXglsD4wE2hlHYXoyq7LmT07Ftub19OjfZAh_x7moAdZdpvsVVTtUls2prYUb</t>
        </is>
      </c>
      <c r="I251" s="18" t="n">
        <v>21030137922</v>
      </c>
      <c r="J251" s="18" t="inlineStr">
        <is>
          <t>家居</t>
        </is>
      </c>
      <c r="K251" s="18" t="inlineStr">
        <is>
          <t>尾部</t>
        </is>
      </c>
      <c r="L251" s="18" t="n">
        <v>45.3</v>
      </c>
      <c r="M251" s="18" t="inlineStr">
        <is>
          <t>150-2000</t>
        </is>
      </c>
      <c r="N251" s="18" t="inlineStr">
        <is>
          <t>新锐白领
小镇青年
精致妈妈</t>
        </is>
      </c>
      <c r="O251" s="21" t="n">
        <v>0.66</v>
      </c>
      <c r="P251" s="18" t="n">
        <v>1242000</v>
      </c>
      <c r="Q251" s="18">
        <f>Z251*1.05</f>
        <v/>
      </c>
      <c r="R251" s="20">
        <f>Z251/(AB251+AD251+AC251)</f>
        <v/>
      </c>
      <c r="S251" s="18" t="inlineStr">
        <is>
          <t>视频</t>
        </is>
      </c>
      <c r="T251" s="21" t="n">
        <v>0.53</v>
      </c>
      <c r="U251" s="21" t="n">
        <v>0.32</v>
      </c>
      <c r="V251" s="21" t="n">
        <v>0.45</v>
      </c>
      <c r="W251" s="21" t="n">
        <v>0.12</v>
      </c>
      <c r="X251" s="18" t="n"/>
      <c r="Y251" s="18" t="n"/>
      <c r="Z251" s="18" t="n">
        <v>29800</v>
      </c>
      <c r="AA251" s="20">
        <f>Z251/P251*1000</f>
        <v/>
      </c>
      <c r="AB251" s="22" t="n">
        <v>4614</v>
      </c>
      <c r="AC251" s="18" t="n">
        <v>138</v>
      </c>
      <c r="AD251" s="18" t="n">
        <v>193</v>
      </c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</row>
    <row r="252" ht="24.75" customHeight="1" s="151">
      <c r="A252" s="17" t="n">
        <v>46097</v>
      </c>
      <c r="B252" s="18" t="n"/>
      <c r="C252" s="18" t="n"/>
      <c r="D252" s="18" t="inlineStr">
        <is>
          <t>电商</t>
        </is>
      </c>
      <c r="E252" s="32" t="inlineStr">
        <is>
          <t>慢生活的家居园艺爱好者 🌷拥有一个小森林的家</t>
        </is>
      </c>
      <c r="F252" s="18" t="inlineStr">
        <is>
          <t>Miss.福子的温馨小屋</t>
        </is>
      </c>
      <c r="G252" s="18" t="inlineStr">
        <is>
          <t>https://www.xingtu.cn/ad/creator/author-homepage/douyin-video/6791285912912265230?market_track_id=V3SVRVAZNICLFPE0J6SJ&amp;search_session_id=7617739828616888347&amp;possessStarId</t>
        </is>
      </c>
      <c r="H252" s="18" t="inlineStr">
        <is>
          <t>https://www.douyin.com/user/MS4wLjABAAAAaNkxnzLGYv4rEIP52cuiWtdlvz11ZjOU6mJ0R4_QWWE</t>
        </is>
      </c>
      <c r="I252" s="18" t="inlineStr">
        <is>
          <t>RRananan.....</t>
        </is>
      </c>
      <c r="J252" s="18" t="inlineStr">
        <is>
          <t>家居</t>
        </is>
      </c>
      <c r="K252" s="18" t="inlineStr">
        <is>
          <t>腰部</t>
        </is>
      </c>
      <c r="L252" s="18" t="n">
        <v>87</v>
      </c>
      <c r="M252" s="18" t="inlineStr">
        <is>
          <t>150-2000</t>
        </is>
      </c>
      <c r="N252" s="18" t="inlineStr">
        <is>
          <t>新锐白领
小镇青年
精致妈妈</t>
        </is>
      </c>
      <c r="O252" s="21" t="n">
        <v>0.67</v>
      </c>
      <c r="P252" s="18" t="n">
        <v>1002000</v>
      </c>
      <c r="Q252" s="18">
        <f>Z252*1.05</f>
        <v/>
      </c>
      <c r="R252" s="20">
        <f>Z252/(AB252+AD252+AC252)</f>
        <v/>
      </c>
      <c r="S252" s="18" t="inlineStr">
        <is>
          <t>视频</t>
        </is>
      </c>
      <c r="T252" s="21" t="n">
        <v>0.6</v>
      </c>
      <c r="U252" s="21" t="n">
        <v>0.42</v>
      </c>
      <c r="V252" s="21" t="n">
        <v>0.32</v>
      </c>
      <c r="W252" s="21" t="n">
        <v>0.14</v>
      </c>
      <c r="X252" s="18" t="n"/>
      <c r="Y252" s="18" t="n"/>
      <c r="Z252" s="18" t="n">
        <v>35000</v>
      </c>
      <c r="AA252" s="20">
        <f>Z252/P252*1000</f>
        <v/>
      </c>
      <c r="AB252" s="22" t="n">
        <v>3195</v>
      </c>
      <c r="AC252" s="18" t="n">
        <v>119</v>
      </c>
      <c r="AD252" s="18" t="n">
        <v>66</v>
      </c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</row>
    <row r="253">
      <c r="A253" s="17" t="n">
        <v>46097</v>
      </c>
      <c r="B253" s="18" t="n"/>
      <c r="C253" s="18" t="n"/>
      <c r="D253" s="18" t="inlineStr">
        <is>
          <t>电商</t>
        </is>
      </c>
      <c r="E253" s="32" t="inlineStr">
        <is>
          <t>创意性手工DIY达人</t>
        </is>
      </c>
      <c r="F253" s="18" t="inlineStr">
        <is>
          <t>🍟薯条</t>
        </is>
      </c>
      <c r="G253" s="18" t="inlineStr">
        <is>
          <t>https://www.xingtu.cn/ad/creator/author-homepage/douyin-video/7079471717306859560?market_track_id=3OS0HM7OVN3SYN0IJITL&amp;search_session_id=7617741635262185510&amp;possessStarId</t>
        </is>
      </c>
      <c r="H253" s="18" t="inlineStr">
        <is>
          <t>https://www.douyin.com/user/MS4wLjABAAAAZWtX6HzX5NTPTBxcoqx0xd48bIzbJbqEibYqhmXToOo</t>
        </is>
      </c>
      <c r="I253" s="18" t="inlineStr">
        <is>
          <t>Mr.ShuTiao</t>
        </is>
      </c>
      <c r="J253" s="18" t="inlineStr">
        <is>
          <t>家居</t>
        </is>
      </c>
      <c r="K253" s="18" t="inlineStr">
        <is>
          <t>尾部</t>
        </is>
      </c>
      <c r="L253" s="18" t="n">
        <v>38</v>
      </c>
      <c r="M253" s="18" t="inlineStr">
        <is>
          <t>2000-20000</t>
        </is>
      </c>
      <c r="N253" s="18" t="inlineStr">
        <is>
          <t>新锐白领
小镇青年
Z世代</t>
        </is>
      </c>
      <c r="O253" s="21" t="n">
        <v>0.4</v>
      </c>
      <c r="P253" s="18" t="n">
        <v>564000</v>
      </c>
      <c r="Q253" s="18">
        <f>Z253*1.05</f>
        <v/>
      </c>
      <c r="R253" s="20">
        <f>Z253/(AB253+AD253+AC253)</f>
        <v/>
      </c>
      <c r="S253" s="18" t="inlineStr">
        <is>
          <t>视频</t>
        </is>
      </c>
      <c r="T253" s="21" t="n">
        <v>0.52</v>
      </c>
      <c r="U253" s="21" t="n">
        <v>0.35</v>
      </c>
      <c r="V253" s="21" t="n">
        <v>0.3</v>
      </c>
      <c r="W253" s="21" t="n">
        <v>0.05</v>
      </c>
      <c r="X253" s="18" t="n"/>
      <c r="Y253" s="18" t="n"/>
      <c r="Z253" s="18" t="n">
        <v>39000</v>
      </c>
      <c r="AA253" s="20">
        <f>Z253/P253*1000</f>
        <v/>
      </c>
      <c r="AB253" s="22" t="n">
        <v>4704</v>
      </c>
      <c r="AC253" s="18" t="n">
        <v>752</v>
      </c>
      <c r="AD253" s="18" t="n">
        <v>966</v>
      </c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</row>
    <row r="254">
      <c r="A254" s="17" t="n">
        <v>46097</v>
      </c>
      <c r="B254" s="18" t="n"/>
      <c r="C254" s="18" t="n"/>
      <c r="D254" s="18" t="inlineStr">
        <is>
          <t>电商</t>
        </is>
      </c>
      <c r="E254" s="32" t="inlineStr">
        <is>
          <t>记录自装VLOG</t>
        </is>
      </c>
      <c r="F254" s="18" t="inlineStr">
        <is>
          <t>东仔的340平装修日记</t>
        </is>
      </c>
      <c r="G254" s="18" t="inlineStr">
        <is>
          <t>https://www.xingtu.cn/ad/creator/author-homepage/douyin-video/6966856536920424461?market_track_id=3OS0HM7OVN3SYN0IJITL&amp;search_session_id=7617742245093507081&amp;possessStarId</t>
        </is>
      </c>
      <c r="H254" s="18" t="inlineStr">
        <is>
          <t>https://www.douyin.com/user/MS4wLjABAAAAra1iK76STi4Qgd7gH5Zwr38SJb41Opbw3ZOlpUU0d90</t>
        </is>
      </c>
      <c r="I254" s="18" t="inlineStr">
        <is>
          <t>00800080F</t>
        </is>
      </c>
      <c r="J254" s="18" t="inlineStr">
        <is>
          <t>家居</t>
        </is>
      </c>
      <c r="K254" s="18" t="inlineStr">
        <is>
          <t>尾部</t>
        </is>
      </c>
      <c r="L254" s="18" t="n">
        <v>21</v>
      </c>
      <c r="M254" s="18" t="inlineStr">
        <is>
          <t>150-2000</t>
        </is>
      </c>
      <c r="N254" s="18" t="inlineStr">
        <is>
          <t>新锐白领
小镇青年
精致妈妈</t>
        </is>
      </c>
      <c r="O254" s="21" t="n">
        <v>0.65</v>
      </c>
      <c r="P254" s="18" t="n">
        <v>759000</v>
      </c>
      <c r="Q254" s="18">
        <f>Z254*1.05</f>
        <v/>
      </c>
      <c r="R254" s="20">
        <f>Z254/(AB254+AD254+AC254)</f>
        <v/>
      </c>
      <c r="S254" s="18" t="inlineStr">
        <is>
          <t>视频</t>
        </is>
      </c>
      <c r="T254" s="21" t="n">
        <v>0.42</v>
      </c>
      <c r="U254" s="21" t="n">
        <v>0.35</v>
      </c>
      <c r="V254" s="21" t="n">
        <v>0.47</v>
      </c>
      <c r="W254" s="21" t="n">
        <v>0.06</v>
      </c>
      <c r="X254" s="18" t="n"/>
      <c r="Y254" s="18" t="n"/>
      <c r="Z254" s="18" t="n">
        <v>20000</v>
      </c>
      <c r="AA254" s="20">
        <f>Z254/P254*1000</f>
        <v/>
      </c>
      <c r="AB254" s="22" t="n">
        <v>2801</v>
      </c>
      <c r="AC254" s="18" t="n">
        <v>119</v>
      </c>
      <c r="AD254" s="18" t="n">
        <v>467</v>
      </c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</row>
    <row r="255" ht="24.75" customHeight="1" s="151">
      <c r="A255" s="17" t="n">
        <v>46097</v>
      </c>
      <c r="B255" s="18" t="n"/>
      <c r="C255" s="18" t="n"/>
      <c r="D255" s="18" t="inlineStr">
        <is>
          <t>电商</t>
        </is>
      </c>
      <c r="E255" s="32" t="inlineStr">
        <is>
          <t xml:space="preserve">别墅室内300平 花园400平 定期分享别墅中的生活日常 </t>
        </is>
      </c>
      <c r="F255" s="18" t="inlineStr">
        <is>
          <t>Tim的快乐生活</t>
        </is>
      </c>
      <c r="G255" s="18" t="inlineStr">
        <is>
          <t>https://www.xingtu.cn/ad/creator/author-homepage/douyin-video/7285762799337209917?market_track_id=3OS0HM7OVN3SYN0IJITL&amp;search_session_id=7617742245093507081&amp;possessStarId</t>
        </is>
      </c>
      <c r="H255" s="18" t="inlineStr">
        <is>
          <t>https://www.douyin.com/user/MS4wLjABAAAA8ew5kbML45thNTQRBofUnhpRIutWPuepUzPtYXqkwI5nefgJDAXFX13p4MKCUeha</t>
        </is>
      </c>
      <c r="I255" s="18" t="inlineStr">
        <is>
          <t>Tim8888888</t>
        </is>
      </c>
      <c r="J255" s="18" t="inlineStr">
        <is>
          <t>家居</t>
        </is>
      </c>
      <c r="K255" s="18" t="inlineStr">
        <is>
          <t>尾部</t>
        </is>
      </c>
      <c r="L255" s="18" t="n">
        <v>37</v>
      </c>
      <c r="M255" s="18" t="inlineStr">
        <is>
          <t>2000-20000</t>
        </is>
      </c>
      <c r="N255" s="18" t="inlineStr">
        <is>
          <t>新锐白领
小镇青年
都市蓝领</t>
        </is>
      </c>
      <c r="O255" s="21" t="n">
        <v>0.52</v>
      </c>
      <c r="P255" s="18" t="n">
        <v>411000</v>
      </c>
      <c r="Q255" s="18">
        <f>Z255*1.05</f>
        <v/>
      </c>
      <c r="R255" s="20">
        <f>Z255/(AB255+AD255+AC255)</f>
        <v/>
      </c>
      <c r="S255" s="18" t="inlineStr">
        <is>
          <t>视频</t>
        </is>
      </c>
      <c r="T255" s="21" t="n">
        <v>0.45</v>
      </c>
      <c r="U255" s="21" t="n">
        <v>0.2</v>
      </c>
      <c r="V255" s="21" t="n">
        <v>0.62</v>
      </c>
      <c r="W255" s="21" t="n">
        <v>0.03</v>
      </c>
      <c r="X255" s="18" t="n"/>
      <c r="Y255" s="18" t="n"/>
      <c r="Z255" s="18" t="n">
        <v>50000</v>
      </c>
      <c r="AA255" s="20">
        <f>Z255/P255*1000</f>
        <v/>
      </c>
      <c r="AB255" s="22" t="n">
        <v>8747</v>
      </c>
      <c r="AC255" s="18" t="n">
        <v>1117</v>
      </c>
      <c r="AD255" s="18" t="n">
        <v>842</v>
      </c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</row>
    <row r="256">
      <c r="A256" s="17" t="n">
        <v>46097</v>
      </c>
      <c r="B256" s="18" t="n"/>
      <c r="C256" s="18" t="n"/>
      <c r="D256" s="18" t="inlineStr">
        <is>
          <t>电商</t>
        </is>
      </c>
      <c r="E256" s="32" t="inlineStr">
        <is>
          <t>手工自装房屋软装</t>
        </is>
      </c>
      <c r="F256" s="18" t="inlineStr">
        <is>
          <t>橙汁小酥</t>
        </is>
      </c>
      <c r="G256" s="18" t="inlineStr">
        <is>
          <t>https://www.xingtu.cn/ad/creator/author-homepage/douyin-video/7457923151943434267?market_track_id=3OS0HM7OVN3SYN0IJITL&amp;search_session_id=7617742853069946890&amp;possessStarId</t>
        </is>
      </c>
      <c r="H256" s="18" t="inlineStr">
        <is>
          <t>https://www.douyin.com/user/MS4wLjABAAAABHg-x5mJj6Kc2i_UlK4sT7_RLcCqqYpuw61Rx4ZCGo86YZUFhI8ULO8GypR_bsqn</t>
        </is>
      </c>
      <c r="I256" s="18" t="n">
        <v>30600544391</v>
      </c>
      <c r="J256" s="18" t="inlineStr">
        <is>
          <t>家居</t>
        </is>
      </c>
      <c r="K256" s="18" t="inlineStr">
        <is>
          <t>尾部</t>
        </is>
      </c>
      <c r="L256" s="18" t="n">
        <v>32</v>
      </c>
      <c r="M256" s="18" t="inlineStr">
        <is>
          <t>2000-20000</t>
        </is>
      </c>
      <c r="N256" s="18" t="inlineStr">
        <is>
          <t>小镇青年
新锐白领
Z世代</t>
        </is>
      </c>
      <c r="O256" s="21" t="n">
        <v>0.4</v>
      </c>
      <c r="P256" s="18" t="n">
        <v>586000</v>
      </c>
      <c r="Q256" s="18">
        <f>Z256*1.05</f>
        <v/>
      </c>
      <c r="R256" s="20">
        <f>Z256/(AB256+AD256+AC256)</f>
        <v/>
      </c>
      <c r="S256" s="18" t="inlineStr">
        <is>
          <t>视频</t>
        </is>
      </c>
      <c r="T256" s="21" t="n">
        <v>0.55</v>
      </c>
      <c r="U256" s="21" t="n">
        <v>0.31</v>
      </c>
      <c r="V256" s="21" t="n">
        <v>0.42</v>
      </c>
      <c r="W256" s="21" t="n">
        <v>0.07000000000000001</v>
      </c>
      <c r="X256" s="18" t="n"/>
      <c r="Y256" s="18" t="n"/>
      <c r="Z256" s="18" t="n">
        <v>32800</v>
      </c>
      <c r="AA256" s="20">
        <f>Z256/P256*1000</f>
        <v/>
      </c>
      <c r="AB256" s="22" t="n">
        <v>5818</v>
      </c>
      <c r="AC256" s="18" t="n">
        <v>552</v>
      </c>
      <c r="AD256" s="18" t="n">
        <v>1502</v>
      </c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</row>
    <row r="257" ht="24.75" customHeight="1" s="151">
      <c r="A257" s="17" t="n">
        <v>46097</v>
      </c>
      <c r="B257" s="18" t="n"/>
      <c r="C257" s="18" t="n"/>
      <c r="D257" s="18" t="inlineStr">
        <is>
          <t>电商</t>
        </is>
      </c>
      <c r="E257" s="32" t="inlineStr">
        <is>
          <t>88年的INTP人格大叔回村造400平小院</t>
        </is>
      </c>
      <c r="F257" s="18" t="inlineStr">
        <is>
          <t>院里的凌叔</t>
        </is>
      </c>
      <c r="G257" s="18" t="inlineStr">
        <is>
          <t>https://www.xingtu.cn/ad/creator/author-homepage/douyin-video/7120255283875545118?market_track_id=3OS0HM7OVN3SYN0IJITL&amp;search_session_id=7617743692560252979&amp;possessStarId</t>
        </is>
      </c>
      <c r="H257" s="18" t="inlineStr">
        <is>
          <t>https://www.douyin.com/user/MS4wLjABAAAA4LaXCt3utG_riGzCCLCdF0nE4x1iqCMwnPw6kIyJew37c25uFtpFI1G_IgPL9ltN</t>
        </is>
      </c>
      <c r="I257" s="18" t="inlineStr">
        <is>
          <t>hunjun1988</t>
        </is>
      </c>
      <c r="J257" s="18" t="inlineStr">
        <is>
          <t>家居</t>
        </is>
      </c>
      <c r="K257" s="18" t="inlineStr">
        <is>
          <t>尾部</t>
        </is>
      </c>
      <c r="L257" s="18" t="n">
        <v>39</v>
      </c>
      <c r="M257" s="18" t="inlineStr">
        <is>
          <t>150-2000</t>
        </is>
      </c>
      <c r="N257" s="18" t="inlineStr">
        <is>
          <t>新锐白领
精致妈妈
小镇青年</t>
        </is>
      </c>
      <c r="O257" s="21" t="n">
        <v>0.62</v>
      </c>
      <c r="P257" s="18" t="n">
        <v>670000</v>
      </c>
      <c r="Q257" s="18">
        <f>Z257*1.05</f>
        <v/>
      </c>
      <c r="R257" s="20">
        <f>Z257/(AB257+AD257+AC257)</f>
        <v/>
      </c>
      <c r="S257" s="18" t="inlineStr">
        <is>
          <t>视频</t>
        </is>
      </c>
      <c r="T257" s="21" t="n">
        <v>0.75</v>
      </c>
      <c r="U257" s="21" t="n">
        <v>0.29</v>
      </c>
      <c r="V257" s="21" t="n">
        <v>0.43</v>
      </c>
      <c r="W257" s="21" t="n">
        <v>0.1</v>
      </c>
      <c r="X257" s="18" t="n"/>
      <c r="Y257" s="18" t="n"/>
      <c r="Z257" s="18" t="n">
        <v>50000</v>
      </c>
      <c r="AA257" s="20">
        <f>Z257/P257*1000</f>
        <v/>
      </c>
      <c r="AB257" s="22" t="n">
        <v>7068</v>
      </c>
      <c r="AC257" s="18" t="n">
        <v>194</v>
      </c>
      <c r="AD257" s="18" t="n">
        <v>927</v>
      </c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</row>
    <row r="258">
      <c r="A258" s="17" t="n">
        <v>46097</v>
      </c>
      <c r="B258" s="18" t="n"/>
      <c r="C258" s="18" t="n"/>
      <c r="D258" s="18" t="inlineStr">
        <is>
          <t>电商</t>
        </is>
      </c>
      <c r="E258" s="32" t="inlineStr">
        <is>
          <t>产夫妻的质感生活样本</t>
        </is>
      </c>
      <c r="F258" s="18" t="inlineStr">
        <is>
          <t>园周率夫妇</t>
        </is>
      </c>
      <c r="G258" s="18" t="inlineStr">
        <is>
          <t>https://www.xingtu.cn/ad/creator/author-homepage/douyin-video/6853263318207954952?market_track_id=3OS0HM7OVN3SYN0IJITL&amp;search_session_id=7617743943477575730&amp;possessStarId</t>
        </is>
      </c>
      <c r="H258" s="18" t="inlineStr">
        <is>
          <t>https://www.douyin.com/user/MS4wLjABAAAAttQnThYYvUttbHudM3Qo80LYIZxA3EmOHZ4xqHMmILbkMZhLh7ZEbw5uJAMQF-my</t>
        </is>
      </c>
      <c r="I258" s="18" t="inlineStr">
        <is>
          <t>shishangaimi</t>
        </is>
      </c>
      <c r="J258" s="18" t="inlineStr">
        <is>
          <t>家庭生活</t>
        </is>
      </c>
      <c r="K258" s="18" t="inlineStr">
        <is>
          <t>腰部</t>
        </is>
      </c>
      <c r="L258" s="18" t="n">
        <v>102</v>
      </c>
      <c r="M258" s="18" t="inlineStr">
        <is>
          <t>2000-20000</t>
        </is>
      </c>
      <c r="N258" s="18" t="inlineStr">
        <is>
          <t>都市蓝领
新锐白领
精致妈妈</t>
        </is>
      </c>
      <c r="O258" s="21" t="n">
        <v>0.38</v>
      </c>
      <c r="P258" s="18" t="n">
        <v>1201000</v>
      </c>
      <c r="Q258" s="18">
        <f>Z258*1.05</f>
        <v/>
      </c>
      <c r="R258" s="20">
        <f>Z258/(AB258+AD258+AC258)</f>
        <v/>
      </c>
      <c r="S258" s="18" t="inlineStr">
        <is>
          <t>视频</t>
        </is>
      </c>
      <c r="T258" s="21" t="n">
        <v>0.72</v>
      </c>
      <c r="U258" s="21" t="n">
        <v>0.27</v>
      </c>
      <c r="V258" s="21" t="n">
        <v>0.41</v>
      </c>
      <c r="W258" s="21" t="n">
        <v>0.1</v>
      </c>
      <c r="X258" s="18" t="n"/>
      <c r="Y258" s="18" t="n"/>
      <c r="Z258" s="18" t="n">
        <v>60000</v>
      </c>
      <c r="AA258" s="20">
        <f>Z258/P258*1000</f>
        <v/>
      </c>
      <c r="AB258" s="18" t="n">
        <v>23000</v>
      </c>
      <c r="AC258" s="18" t="n">
        <v>441</v>
      </c>
      <c r="AD258" s="18" t="n">
        <v>1910</v>
      </c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</row>
    <row r="259" ht="49.5" customHeight="1" s="151">
      <c r="A259" s="71" t="n">
        <v>46097</v>
      </c>
      <c r="B259" s="37" t="n"/>
      <c r="C259" s="37" t="n"/>
      <c r="D259" s="37" t="inlineStr">
        <is>
          <t>品牌</t>
        </is>
      </c>
      <c r="E259" s="38" t="inlineStr">
        <is>
          <t>三套房装修经验 ，记录130平复式改造，90后懒癌小夫妻，分享懒人家电，装修干货｜好物分享｜生活方式，做你的电子装修姐妹。</t>
        </is>
      </c>
      <c r="F259" s="37" t="inlineStr">
        <is>
          <t>禹大小姐（自装设计师）</t>
        </is>
      </c>
      <c r="G259" s="37" t="inlineStr">
        <is>
          <t>https://www.xingtu.cn/ad/creator/author-homepage/douyin-video/6870170595837870087?market_track_id=3OS0HM7OVN3SYN0IJITL&amp;search_session_id=7617744266638721075&amp;possessStarId</t>
        </is>
      </c>
      <c r="H259" s="37" t="inlineStr">
        <is>
          <t>https://www.douyin.com/user/MS4wLjABAAAAgg2ir5yP1-cMGegOYE0mUsYxlTheyIGyiPXCt9ytyc5FhwYOrI23XXjFQ5J5qI2b</t>
        </is>
      </c>
      <c r="I259" s="37" t="inlineStr">
        <is>
          <t>XIAOYANLLZ</t>
        </is>
      </c>
      <c r="J259" s="37" t="inlineStr">
        <is>
          <t>家居</t>
        </is>
      </c>
      <c r="K259" s="37" t="inlineStr">
        <is>
          <t>腰部</t>
        </is>
      </c>
      <c r="L259" s="37" t="n">
        <v>113</v>
      </c>
      <c r="M259" s="37" t="inlineStr">
        <is>
          <t>2000-20000</t>
        </is>
      </c>
      <c r="N259" s="37" t="inlineStr">
        <is>
          <t>新锐白领
Z时代
小镇青年</t>
        </is>
      </c>
      <c r="O259" s="41" t="n">
        <v>0.3</v>
      </c>
      <c r="P259" s="37" t="n">
        <v>2084000</v>
      </c>
      <c r="Q259" s="37">
        <f>Z259*1.05</f>
        <v/>
      </c>
      <c r="R259" s="40">
        <f>Z259/(AB259+AD259+AC259)</f>
        <v/>
      </c>
      <c r="S259" s="37" t="inlineStr">
        <is>
          <t>视频</t>
        </is>
      </c>
      <c r="T259" s="41" t="n">
        <v>0.27</v>
      </c>
      <c r="U259" s="41" t="n">
        <v>0.25</v>
      </c>
      <c r="V259" s="41" t="n">
        <v>0.23</v>
      </c>
      <c r="W259" s="41" t="n">
        <v>0.07000000000000001</v>
      </c>
      <c r="X259" s="37" t="n"/>
      <c r="Y259" s="37" t="n"/>
      <c r="Z259" s="37" t="n">
        <v>62000</v>
      </c>
      <c r="AA259" s="40">
        <f>Z259/P259*1000</f>
        <v/>
      </c>
      <c r="AB259" s="37" t="n">
        <v>23000</v>
      </c>
      <c r="AC259" s="37" t="n">
        <v>445</v>
      </c>
      <c r="AD259" s="37" t="n">
        <v>1653</v>
      </c>
      <c r="AE259" s="37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43" t="n"/>
      <c r="AR259" s="43" t="n"/>
    </row>
    <row r="260" ht="24.75" customHeight="1" s="151">
      <c r="A260" s="17" t="n">
        <v>46097</v>
      </c>
      <c r="B260" s="7" t="n"/>
      <c r="C260" s="7" t="n"/>
      <c r="D260" s="18" t="inlineStr">
        <is>
          <t>品牌</t>
        </is>
      </c>
      <c r="E260" s="18" t="inlineStr">
        <is>
          <t>人生不设限的高能量美妆博主
前央企打工人 辞职体验世间万物 环游世界旅行中
治愈系护肤➕超强分享欲的ESFP
“已婚少女，家有粘人的长毛腊肠崽崽”
内容系列《Shoei的人生清单》 《备婚日记》持续更新</t>
        </is>
      </c>
      <c r="F260" s="32" t="inlineStr">
        <is>
          <t>书仪Shoei（户外版）</t>
        </is>
      </c>
      <c r="G260" s="36" t="inlineStr">
        <is>
          <t>https://www.xingtu.cn/ad/creator/author-homepage/douyin-video/7450492252217933863?market_track_id=7CNF877XNZU7ZPLRMNXT&amp;search_session_id=7496334872174067751&amp;video_type=2&amp;_route_from=from_page%3DMarket%26search_session_id%3D7496334872174067751%26is_for_order%3D1%26market_track_id%3D7CNF877XNZU7ZPLRMNXT%26platform_source%3D1%26key%3D%25E4%25B9%25A6%25E4%25BB%25AAShoei%26order_by%3Dscore%26sort_type%3D2%26search_scene%3D1%26display_scene%3D1%26limit%3D20%26page%3D1%26regular_filter%3D%255Bobject%2BObject%255D%26rel_attribute_filter%3D%255Bobject%2BObject%255D%26attribute_filter%3D%255Bobject%2BObject%255D%26task_category%3D1%26package_id%3Dundefined%26is_filter%3D1%26current_tab%3D2%26displayScene%3Dmarket%26is_limit_time_price%3D0&amp;possessStarId</t>
        </is>
      </c>
      <c r="H260" s="36" t="inlineStr">
        <is>
          <t>https://v.douyin.com/jbQppINgI-w/</t>
        </is>
      </c>
      <c r="I260" s="18" t="n">
        <v>43738226516</v>
      </c>
      <c r="J260" s="18" t="inlineStr">
        <is>
          <t>生活</t>
        </is>
      </c>
      <c r="K260" s="18" t="inlineStr">
        <is>
          <t>腰部</t>
        </is>
      </c>
      <c r="L260" s="18" t="inlineStr">
        <is>
          <t>202.3w</t>
        </is>
      </c>
      <c r="M260" s="18" t="inlineStr">
        <is>
          <t>2,000 - 20,000</t>
        </is>
      </c>
      <c r="N260" s="32" t="inlineStr">
        <is>
          <t>资深中产:18.6%,精致妈妈:17.8%,都市银发:15.0%</t>
        </is>
      </c>
      <c r="O260" s="35" t="n">
        <v>0.267</v>
      </c>
      <c r="P260" s="18" t="n">
        <v>837000</v>
      </c>
      <c r="Q260" s="18">
        <f>Z260*1.05</f>
        <v/>
      </c>
      <c r="R260" s="20">
        <f>Z260/(AB260+AD260+AC260)</f>
        <v/>
      </c>
      <c r="S260" s="18" t="inlineStr">
        <is>
          <t>视频</t>
        </is>
      </c>
      <c r="T260" s="35" t="n">
        <v>0.838</v>
      </c>
      <c r="U260" s="35" t="n">
        <v>0.111</v>
      </c>
      <c r="V260" s="35" t="n">
        <v>0.478</v>
      </c>
      <c r="W260" s="35" t="n">
        <v>0.26</v>
      </c>
      <c r="X260" s="161" t="n"/>
      <c r="Y260" s="18" t="n"/>
      <c r="Z260" s="161" t="n">
        <v>65000</v>
      </c>
      <c r="AA260" s="20">
        <f>Z260/P260*1000</f>
        <v/>
      </c>
      <c r="AB260" s="18" t="n">
        <v>11000</v>
      </c>
      <c r="AC260" s="18" t="n">
        <v>264</v>
      </c>
      <c r="AD260" s="18" t="n">
        <v>550</v>
      </c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18" t="n"/>
      <c r="AP260" s="18" t="n"/>
    </row>
    <row r="261" ht="24.75" customHeight="1" s="151">
      <c r="A261" s="17" t="n">
        <v>46097</v>
      </c>
      <c r="B261" s="7" t="n"/>
      <c r="C261" s="7" t="n"/>
      <c r="D261" s="18" t="inlineStr">
        <is>
          <t>品牌</t>
        </is>
      </c>
      <c r="E261" s="18" t="inlineStr">
        <is>
          <t>ENTJ高能量户外大浓人。 
 马场联合创始人 2020搜狐国名校草第一名🥇
一人两车三猫，做独属于你的户外男友
马术/滑雪/骑行/徒步/冲浪/自驾
不做木讷树，只做自由风🏂</t>
        </is>
      </c>
      <c r="F261" s="32" t="inlineStr">
        <is>
          <t>奎东kaden（运动版）</t>
        </is>
      </c>
      <c r="G261" s="36" t="inlineStr">
        <is>
          <t>https://www.xingtu.cn/ad/creator/author-homepage/douyin-video/6902656411306557452?market_track_id=4M1RHGEZTXLX7N6TEMJK&amp;search_session_id=7530952912325902363&amp;possessStarId</t>
        </is>
      </c>
      <c r="H261" s="36" t="inlineStr">
        <is>
          <t>https://v.douyin.com/kjYz9rv8mrM/</t>
        </is>
      </c>
      <c r="I261" s="18" t="inlineStr">
        <is>
          <t>tiehanhan0010</t>
        </is>
      </c>
      <c r="J261" s="18" t="inlineStr">
        <is>
          <t>生活</t>
        </is>
      </c>
      <c r="K261" s="18" t="inlineStr">
        <is>
          <t>腰部</t>
        </is>
      </c>
      <c r="L261" s="18" t="inlineStr">
        <is>
          <t>244.4w</t>
        </is>
      </c>
      <c r="M261" s="18" t="inlineStr">
        <is>
          <t>2,000 - 20,000</t>
        </is>
      </c>
      <c r="N261" s="32" t="inlineStr">
        <is>
          <t>小镇青年:22.5%,精致妈妈:16.9%,都市蓝领:15.6%</t>
        </is>
      </c>
      <c r="O261" s="35" t="n">
        <v>0.514</v>
      </c>
      <c r="P261" s="18" t="n">
        <v>1095000</v>
      </c>
      <c r="Q261" s="18">
        <f>Z261*1.05</f>
        <v/>
      </c>
      <c r="R261" s="20">
        <f>Z261/(AB261+AD261+AC261)</f>
        <v/>
      </c>
      <c r="S261" s="18" t="inlineStr">
        <is>
          <t>视频</t>
        </is>
      </c>
      <c r="T261" s="35" t="n">
        <v>0.724</v>
      </c>
      <c r="U261" s="35" t="n">
        <v>0.197</v>
      </c>
      <c r="V261" s="35" t="n">
        <v>0.546</v>
      </c>
      <c r="W261" s="35" t="n">
        <v>0.172</v>
      </c>
      <c r="X261" s="161" t="n"/>
      <c r="Y261" s="18" t="n"/>
      <c r="Z261" s="161" t="n">
        <v>58000</v>
      </c>
      <c r="AA261" s="20">
        <f>Z261/P261*1000</f>
        <v/>
      </c>
      <c r="AB261" s="18" t="n">
        <v>17000</v>
      </c>
      <c r="AC261" s="18" t="n">
        <v>247</v>
      </c>
      <c r="AD261" s="18" t="n">
        <v>503</v>
      </c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18" t="n"/>
      <c r="AP261" s="18" t="n"/>
    </row>
    <row r="262" ht="24.75" customHeight="1" s="151">
      <c r="A262" s="17" t="n">
        <v>46097</v>
      </c>
      <c r="B262" s="18" t="n"/>
      <c r="C262" s="18" t="n"/>
      <c r="D262" s="18" t="inlineStr">
        <is>
          <t>品牌</t>
        </is>
      </c>
      <c r="E262" s="18" t="inlineStr">
        <is>
          <t>"等风来不如追风去"
热爱户外运动的38岁高能量辣妈 
（6岁女儿，2岁半儿子）
滑雪/徒步/冲浪/骑行 /跳伞
随时出发，脚下就是远方</t>
        </is>
      </c>
      <c r="F262" s="32" t="inlineStr">
        <is>
          <t>凌熙Lexi</t>
        </is>
      </c>
      <c r="G262" s="36" t="inlineStr">
        <is>
          <t>https://www.xingtu.cn/ad/creator/author-homepage/douyin-video/6629724881506271245?market_track_id=JFAEWQ73CAGNKOX8JMBS&amp;search_session_id=7600979343234039849&amp;possessStarId</t>
        </is>
      </c>
      <c r="H262" s="36" t="inlineStr">
        <is>
          <t>https://v.douyin.com/XeHFUO3D9hE/</t>
        </is>
      </c>
      <c r="I262" s="18" t="inlineStr">
        <is>
          <t>X6858115</t>
        </is>
      </c>
      <c r="J262" s="18" t="inlineStr">
        <is>
          <t>生活</t>
        </is>
      </c>
      <c r="K262" s="18" t="inlineStr">
        <is>
          <t>肩部</t>
        </is>
      </c>
      <c r="L262" s="18" t="inlineStr">
        <is>
          <t>312.8w</t>
        </is>
      </c>
      <c r="M262" s="18" t="inlineStr">
        <is>
          <t>/</t>
        </is>
      </c>
      <c r="N262" s="32" t="inlineStr">
        <is>
          <t>新锐白领:19.1%,资深中产:18.9%,小镇青年:18.5%</t>
        </is>
      </c>
      <c r="O262" s="35" t="n">
        <v>0.889</v>
      </c>
      <c r="P262" s="18" t="n">
        <v>1517000</v>
      </c>
      <c r="Q262" s="18">
        <f>Z262*1.05</f>
        <v/>
      </c>
      <c r="R262" s="20">
        <f>Z262/(AB262+AD262+AC262)</f>
        <v/>
      </c>
      <c r="S262" s="18" t="inlineStr">
        <is>
          <t>视频</t>
        </is>
      </c>
      <c r="T262" s="35" t="n">
        <v>0.659</v>
      </c>
      <c r="U262" s="35" t="n">
        <v>0.153</v>
      </c>
      <c r="V262" s="35" t="n">
        <v>0.515</v>
      </c>
      <c r="W262" s="35" t="n">
        <v>0.186</v>
      </c>
      <c r="X262" s="18" t="n"/>
      <c r="Y262" s="18" t="n"/>
      <c r="Z262" s="161" t="n">
        <v>52000</v>
      </c>
      <c r="AA262" s="20">
        <f>Z262/P262*1000</f>
        <v/>
      </c>
      <c r="AB262" s="18" t="n">
        <v>369</v>
      </c>
      <c r="AC262" s="18" t="n">
        <v>118</v>
      </c>
      <c r="AD262" s="18" t="n">
        <v>66</v>
      </c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</row>
    <row r="263" ht="24.75" customHeight="1" s="151">
      <c r="A263" s="17" t="n">
        <v>46097</v>
      </c>
      <c r="B263" s="18" t="n"/>
      <c r="C263" s="18" t="n"/>
      <c r="D263" s="18" t="inlineStr">
        <is>
          <t>品牌</t>
        </is>
      </c>
      <c r="E263" s="18" t="inlineStr">
        <is>
          <t>1、凭借精准的社会议题和情感共鸣能力，切中年轻群体压力痛点，贴合大众焦虑，轻松打造多个高互动爆款。
2、24-40岁高消费粉丝群体占比67.3%，资深中产、精致妈妈、新锐白领三个黄金人群占比合计47.4%，粉丝画像优质。</t>
        </is>
      </c>
      <c r="F263" s="32" t="inlineStr">
        <is>
          <t>十二事</t>
        </is>
      </c>
      <c r="G263" s="18" t="inlineStr">
        <is>
          <t>https://www.xingtu.cn/ad/creator/author/douyin/7477501140842577961/1?market_track_id=NLVXKQ3P72OW6ZAUW40Y&amp;search_session_id=7485572635062337574&amp;video_type=2&amp;_route_from=from_page%3DMarket%26search_session_id%3D7485572635062337574%26is_for_order%3D1%26market_track_id%3DNLVXKQ3P72OW6ZAUW40Y%26platform_source%3D1%26key%3D%25E5%258D%2581%25E4%25BA%258C%25E4%25BA%258B%26order_by%3Dscore%26sort_type%3D2%26search_scene%3D1%26display_scene%3D1%26limit%3D20%26page%3D1%26regular_filter%3D%255Bobject%2BObject%255D%26rel_attribute_filter%3D%255Bobject%2BObject%255D%26multi_string_attribute_filter%3D%255Bobject%2BObject%255D%26attribute_filter%3D%255Bobject%2BObject%255D%26task_category%3D1%26package_id%3Dundefined%26is_filter%3D1%26current_tab%3D2%26displayScene%3Dmarket%26is_limit_time_price%3D0&amp;possessStarId&amp;btm_ppre=a0.b0.c0.d0&amp;btm_pre=a4738.b16016.c26503.d3332&amp;btm_show_id=46de71be-fb5e-4eab-a089-920e20ed7dd7</t>
        </is>
      </c>
      <c r="H263" s="36" t="inlineStr">
        <is>
          <t>https://v.douyin.com/4pl7ZkIWNag/</t>
        </is>
      </c>
      <c r="I263" s="18" t="inlineStr">
        <is>
          <t>cici611</t>
        </is>
      </c>
      <c r="J263" s="18" t="inlineStr">
        <is>
          <t>生活</t>
        </is>
      </c>
      <c r="K263" s="18" t="inlineStr">
        <is>
          <t>腰部</t>
        </is>
      </c>
      <c r="L263" s="18" t="inlineStr">
        <is>
          <t>118.8w</t>
        </is>
      </c>
      <c r="M263" s="18" t="inlineStr">
        <is>
          <t>20,000 - 100,000</t>
        </is>
      </c>
      <c r="N263" s="32" t="inlineStr">
        <is>
          <t>小镇青年:21.0%,新锐白领:18.9%,精致妈妈:15.3%</t>
        </is>
      </c>
      <c r="O263" s="35" t="n">
        <v>0.225</v>
      </c>
      <c r="P263" s="18" t="n">
        <v>2170000</v>
      </c>
      <c r="Q263" s="18">
        <f>Z263*1.05</f>
        <v/>
      </c>
      <c r="R263" s="20">
        <f>Z263/(AB263+AD263+AC263)</f>
        <v/>
      </c>
      <c r="S263" s="18" t="inlineStr">
        <is>
          <t>视频</t>
        </is>
      </c>
      <c r="T263" s="35" t="n">
        <v>0.6899999999999999</v>
      </c>
      <c r="U263" s="35" t="n">
        <v>0.223</v>
      </c>
      <c r="V263" s="35" t="n">
        <v>0.449</v>
      </c>
      <c r="W263" s="35" t="n">
        <v>0.151</v>
      </c>
      <c r="X263" s="18" t="n"/>
      <c r="Y263" s="18" t="n"/>
      <c r="Z263" s="161" t="n">
        <v>75000</v>
      </c>
      <c r="AA263" s="20">
        <f>Z263/P263*1000</f>
        <v/>
      </c>
      <c r="AB263" s="18" t="n">
        <v>36000</v>
      </c>
      <c r="AC263" s="18" t="n">
        <v>1696</v>
      </c>
      <c r="AD263" s="18" t="n">
        <v>16000</v>
      </c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</row>
    <row r="264" ht="24.75" customHeight="1" s="151">
      <c r="A264" s="17" t="n">
        <v>46097</v>
      </c>
      <c r="B264" s="18" t="n"/>
      <c r="C264" s="18" t="n"/>
      <c r="D264" s="18" t="inlineStr">
        <is>
          <t>品牌</t>
        </is>
      </c>
      <c r="E264" s="18" t="inlineStr">
        <is>
          <t>1、向上生长的独立女性，在家庭、婚姻生活中道出两性情感的人间烟火，多元的场景可植入各类广告
2、女性受众占比高达88%以上，精致妈妈用户居多，粉丝粘性高，变现能力强
3、混干/微敏感痘肌/黄一白/细软发质</t>
        </is>
      </c>
      <c r="F264" s="32" t="inlineStr">
        <is>
          <t>韩紫</t>
        </is>
      </c>
      <c r="G264" s="36" t="inlineStr">
        <is>
          <t>https://www.xingtu.cn/ad/creator/author/douyin/7103851887960227854/1?market_track_id=CSPW44DKAS95WWWGN2KN&amp;search_session_id=7429595619725459482&amp;video_type=2&amp;_route_from=from_page%3DMarket%26search_session_id%3D7429595619725459482%26is_for_order%3D1%26market_track_id%3DCSPW44DKAS95WWWGN2KN%26platform_source%3D1%26key%3D%25E9%259F%25A9%25E7%25B4%25AB%26order_by%3Dscore%26sort_type%3D2%26search_scene%3D1%26display_scene%3D1%26limit%3D20%26page%3D1%26regular_filter%3D%255Bobject%2BObject%255D%26multi_string_attribute_filter%3D%255Bobject%2BObject%255D%26task_category%3D1%26package_id%3Dundefined%26is_filter%3D0%26current_tab%3D2%26displayScene%3Dmarket%26is_limit_time_price%3D0&amp;possessStarId&amp;btm_ppre=a0.b0.c0.d0&amp;btm_pre=a4738.b16016.c26503.d3332&amp;btm_show_id=3c20c20f-c3f4-4034-8906-9e634dd9d7ce</t>
        </is>
      </c>
      <c r="H264" s="36" t="inlineStr">
        <is>
          <t>https://v.douyin.com/iJkwsRPy/</t>
        </is>
      </c>
      <c r="I264" s="18" t="n">
        <v>22182782271</v>
      </c>
      <c r="J264" s="18" t="inlineStr">
        <is>
          <t>生活</t>
        </is>
      </c>
      <c r="K264" s="18" t="inlineStr">
        <is>
          <t>腰部</t>
        </is>
      </c>
      <c r="L264" s="18" t="inlineStr">
        <is>
          <t>127.2w</t>
        </is>
      </c>
      <c r="M264" s="18" t="inlineStr">
        <is>
          <t>20,000 - 100,000</t>
        </is>
      </c>
      <c r="N264" s="32" t="inlineStr">
        <is>
          <t>小镇青年:24.5%,精致妈妈:20.9%,新锐白领:19.9%</t>
        </is>
      </c>
      <c r="O264" s="35" t="n">
        <v>0.516</v>
      </c>
      <c r="P264" s="18" t="n">
        <v>1860000</v>
      </c>
      <c r="Q264" s="18">
        <f>Z264*1.05</f>
        <v/>
      </c>
      <c r="R264" s="20">
        <f>Z264/(AB264+AD264+AC264)</f>
        <v/>
      </c>
      <c r="S264" s="18" t="inlineStr">
        <is>
          <t>视频</t>
        </is>
      </c>
      <c r="T264" s="35" t="n">
        <v>0.8149999999999999</v>
      </c>
      <c r="U264" s="35" t="n">
        <v>0.334</v>
      </c>
      <c r="V264" s="35" t="n">
        <v>0.448</v>
      </c>
      <c r="W264" s="35" t="n">
        <v>0.06900000000000001</v>
      </c>
      <c r="X264" s="18" t="n"/>
      <c r="Y264" s="18" t="n"/>
      <c r="Z264" s="161" t="n">
        <v>65000</v>
      </c>
      <c r="AA264" s="20">
        <f>Z264/P264*1000</f>
        <v/>
      </c>
      <c r="AB264" s="18" t="n">
        <v>11000</v>
      </c>
      <c r="AC264" s="18" t="n">
        <v>405</v>
      </c>
      <c r="AD264" s="18" t="n">
        <v>8744</v>
      </c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</row>
    <row r="265">
      <c r="A265" s="73" t="n"/>
      <c r="B265" s="60" t="n"/>
      <c r="C265" s="60" t="n"/>
      <c r="D265" s="60" t="n"/>
      <c r="E265" s="61" t="n"/>
      <c r="F265" s="60" t="n"/>
      <c r="G265" s="60" t="n"/>
      <c r="H265" s="60" t="n"/>
      <c r="I265" s="60" t="n"/>
      <c r="J265" s="60" t="n"/>
      <c r="K265" s="60" t="n"/>
      <c r="L265" s="60" t="n"/>
      <c r="M265" s="60" t="n"/>
      <c r="N265" s="60" t="n"/>
      <c r="O265" s="60" t="n"/>
      <c r="P265" s="60" t="n"/>
      <c r="Q265" s="60" t="n"/>
      <c r="R265" s="60" t="n"/>
      <c r="S265" s="60" t="n"/>
      <c r="T265" s="60" t="n"/>
      <c r="U265" s="60" t="n"/>
      <c r="V265" s="60" t="n"/>
      <c r="W265" s="60" t="n"/>
      <c r="X265" s="60" t="n"/>
      <c r="Y265" s="60" t="n"/>
      <c r="Z265" s="60" t="n"/>
      <c r="AA265" s="60" t="n"/>
      <c r="AB265" s="60" t="n"/>
      <c r="AC265" s="60" t="n"/>
      <c r="AD265" s="60" t="n"/>
      <c r="AE265" s="60" t="n"/>
      <c r="AF265" s="60" t="n"/>
      <c r="AG265" s="60" t="n"/>
      <c r="AH265" s="60" t="n"/>
      <c r="AI265" s="60" t="n"/>
      <c r="AJ265" s="60" t="n"/>
      <c r="AK265" s="60" t="n"/>
      <c r="AL265" s="60" t="n"/>
      <c r="AM265" s="60" t="n"/>
      <c r="AN265" s="60" t="n"/>
      <c r="AO265" s="60" t="n"/>
      <c r="AP265" s="60" t="n"/>
    </row>
    <row r="266">
      <c r="A266" s="17" t="n">
        <v>46098</v>
      </c>
      <c r="B266" s="18" t="n"/>
      <c r="C266" s="18" t="n"/>
      <c r="D266" s="18" t="inlineStr">
        <is>
          <t>品牌</t>
        </is>
      </c>
      <c r="E266" s="19" t="inlineStr">
        <is>
          <t>95后独居生活，vlog做饭场景多，粉丝画像适配</t>
        </is>
      </c>
      <c r="F266" s="18" t="inlineStr">
        <is>
          <t>孙一玮  Well</t>
        </is>
      </c>
      <c r="G266" s="18" t="inlineStr">
        <is>
          <t>https://www.xingtu.cn/ad/creator/author-homepage/douyin-video/6629724072496332808?market_track_id=SUA9KH7ZBLCVW9Q8I8O3&amp;search_session_id=7611010792837922826&amp;possessStarId</t>
        </is>
      </c>
      <c r="H266" s="18" t="inlineStr">
        <is>
          <t>https://www.douyin.com/user/MS4wLjABAAAAp52iIUIC50X_sKEA9gkGSW3EbhMfkj6rJ5oOiL_tXtw</t>
        </is>
      </c>
      <c r="I266" s="18" t="inlineStr">
        <is>
          <t>sunewell</t>
        </is>
      </c>
      <c r="J266" s="18" t="inlineStr">
        <is>
          <t>智能家居</t>
        </is>
      </c>
      <c r="K266" s="18" t="inlineStr">
        <is>
          <t>腰部</t>
        </is>
      </c>
      <c r="L266" s="18" t="n">
        <v>142</v>
      </c>
      <c r="M266" s="18" t="inlineStr">
        <is>
          <t>2000-20000</t>
        </is>
      </c>
      <c r="N266" s="18" t="inlineStr">
        <is>
          <t>新锐白领
小镇青年
精致妈妈</t>
        </is>
      </c>
      <c r="O266" s="21" t="n">
        <v>0.4</v>
      </c>
      <c r="P266" s="18" t="n">
        <v>1172000</v>
      </c>
      <c r="Q266" s="18">
        <f>SUM(Z266*1.05)</f>
        <v/>
      </c>
      <c r="R266" s="20">
        <f>Z266/(AB266+AD266+AC266)</f>
        <v/>
      </c>
      <c r="S266" s="18" t="inlineStr">
        <is>
          <t>视频</t>
        </is>
      </c>
      <c r="T266" s="21" t="n">
        <v>0.85</v>
      </c>
      <c r="U266" s="21" t="n">
        <v>0.23</v>
      </c>
      <c r="V266" s="21" t="n">
        <v>0.33</v>
      </c>
      <c r="W266" s="21" t="n">
        <v>0.12</v>
      </c>
      <c r="X266" s="21" t="n"/>
      <c r="Y266" s="21" t="n"/>
      <c r="Z266" s="18" t="n">
        <v>55000</v>
      </c>
      <c r="AA266" s="154">
        <f>SUM((Z266/P266)*1000)</f>
        <v/>
      </c>
      <c r="AB266" s="18" t="n">
        <v>12000</v>
      </c>
      <c r="AC266" s="18" t="n">
        <v>170</v>
      </c>
      <c r="AD266" s="18" t="n">
        <v>139</v>
      </c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</row>
    <row r="267">
      <c r="A267" s="17" t="n">
        <v>46098</v>
      </c>
      <c r="B267" s="18" t="n"/>
      <c r="C267" s="18" t="n"/>
      <c r="D267" s="18" t="inlineStr">
        <is>
          <t>品牌</t>
        </is>
      </c>
      <c r="E267" s="19" t="inlineStr">
        <is>
          <t>184方江景大平层 ，装修风格简约大方，场景适配性高</t>
        </is>
      </c>
      <c r="F267" s="18" t="inlineStr">
        <is>
          <t>牧牧的家.</t>
        </is>
      </c>
      <c r="G267" s="18" t="inlineStr">
        <is>
          <t>https://www.xingtu.cn/ad/creator/author-homepage/douyin-video/6690478800708304908?market_track_id=SUA9KH7ZBLCVW9Q8I8O3&amp;search_session_id=7611015321839599625&amp;possessStarId</t>
        </is>
      </c>
      <c r="H267" s="18" t="inlineStr">
        <is>
          <t>https://www.douyin.com/user/MS4wLjABAAAALfr_yeD1TZl2Imjm_V45ptcvrG4DNFWWuqY_26vhXTg</t>
        </is>
      </c>
      <c r="I267" s="18" t="inlineStr">
        <is>
          <t>mumudejia87</t>
        </is>
      </c>
      <c r="J267" s="18" t="inlineStr">
        <is>
          <t>家居</t>
        </is>
      </c>
      <c r="K267" s="18" t="inlineStr">
        <is>
          <t>尾部</t>
        </is>
      </c>
      <c r="L267" s="18" t="n">
        <v>31</v>
      </c>
      <c r="M267" s="18" t="inlineStr">
        <is>
          <t>2000-20000</t>
        </is>
      </c>
      <c r="N267" s="18" t="inlineStr">
        <is>
          <t>新锐白领
精致妈妈
小镇青年</t>
        </is>
      </c>
      <c r="O267" s="35" t="n">
        <v>0.635</v>
      </c>
      <c r="P267" s="18" t="n">
        <v>428000</v>
      </c>
      <c r="Q267" s="18">
        <f>SUM(Z267*1.05)</f>
        <v/>
      </c>
      <c r="R267" s="20">
        <f>Z267/(AB267+AD267+AC267)</f>
        <v/>
      </c>
      <c r="S267" s="18" t="inlineStr">
        <is>
          <t>视频</t>
        </is>
      </c>
      <c r="T267" s="21" t="n">
        <v>0.7</v>
      </c>
      <c r="U267" s="21" t="n">
        <v>0.36</v>
      </c>
      <c r="V267" s="21" t="n">
        <v>0.45</v>
      </c>
      <c r="W267" s="21" t="n">
        <v>0.03</v>
      </c>
      <c r="X267" s="21" t="n"/>
      <c r="Y267" s="21" t="n"/>
      <c r="Z267" s="18" t="n">
        <v>19800</v>
      </c>
      <c r="AA267" s="154">
        <f>SUM((Z267/P267)*1000)</f>
        <v/>
      </c>
      <c r="AB267" s="18" t="n">
        <v>1321</v>
      </c>
      <c r="AC267" s="18" t="n">
        <v>149</v>
      </c>
      <c r="AD267" s="18" t="n">
        <v>202</v>
      </c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</row>
    <row r="268">
      <c r="A268" s="17" t="n">
        <v>46098</v>
      </c>
      <c r="B268" s="18" t="n"/>
      <c r="C268" s="18" t="n"/>
      <c r="D268" s="18" t="inlineStr">
        <is>
          <t>品牌</t>
        </is>
      </c>
      <c r="E268" s="32" t="inlineStr">
        <is>
          <t>A3数据好，粉丝画像契合</t>
        </is>
      </c>
      <c r="F268" s="18" t="inlineStr">
        <is>
          <t>K陈醋.</t>
        </is>
      </c>
      <c r="G268" s="18" t="inlineStr">
        <is>
          <t>https://www.xingtu.cn/ad/creator/author-homepage/douyin-video/7286272063084429369?market_track_id=MZCT008XDQ9LRFKWE2VY&amp;search_session_id=7613243975943913523&amp;possessStarId</t>
        </is>
      </c>
      <c r="H268" s="18" t="inlineStr">
        <is>
          <t>https://www.douyin.com/user/MS4wLjABAAAAZ-xWxEMO6xr9oNSAHhMQrwAKjYmKtkFr0QLWrxmg0-Y</t>
        </is>
      </c>
      <c r="I268" s="18" t="n">
        <v>956975295</v>
      </c>
      <c r="J268" s="18" t="inlineStr">
        <is>
          <t>家居</t>
        </is>
      </c>
      <c r="K268" s="18" t="inlineStr">
        <is>
          <t>尾部</t>
        </is>
      </c>
      <c r="L268" s="18" t="n">
        <v>20</v>
      </c>
      <c r="M268" s="18" t="inlineStr">
        <is>
          <t>20000-100000</t>
        </is>
      </c>
      <c r="N268" s="18" t="inlineStr">
        <is>
          <t>新锐白领
小镇青年
精致妈妈</t>
        </is>
      </c>
      <c r="O268" s="21" t="n">
        <v>0.55</v>
      </c>
      <c r="P268" s="18" t="n">
        <v>1949000</v>
      </c>
      <c r="Q268" s="18">
        <f>Z268*1.05</f>
        <v/>
      </c>
      <c r="R268" s="20">
        <f>Z268/(AB268+AD268+AC268)</f>
        <v/>
      </c>
      <c r="S268" s="18" t="inlineStr">
        <is>
          <t>视频</t>
        </is>
      </c>
      <c r="T268" s="35" t="n">
        <v>0.588</v>
      </c>
      <c r="U268" s="21" t="n">
        <v>0.28</v>
      </c>
      <c r="V268" s="21" t="n">
        <v>0.4</v>
      </c>
      <c r="W268" s="21" t="n">
        <v>0.12</v>
      </c>
      <c r="X268" s="21" t="n"/>
      <c r="Y268" s="21" t="n"/>
      <c r="Z268" s="18" t="n">
        <v>40000</v>
      </c>
      <c r="AA268" s="154">
        <f>SUM((Z268/P268)*1000)</f>
        <v/>
      </c>
      <c r="AB268" s="18" t="n">
        <v>28000</v>
      </c>
      <c r="AC268" s="18" t="n">
        <v>1880</v>
      </c>
      <c r="AD268" s="18" t="n">
        <v>5544</v>
      </c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</row>
    <row r="269">
      <c r="A269" s="17" t="n">
        <v>46098</v>
      </c>
      <c r="B269" s="18" t="n"/>
      <c r="C269" s="18" t="n"/>
      <c r="D269" s="18" t="inlineStr">
        <is>
          <t>品牌</t>
        </is>
      </c>
      <c r="E269" s="32" t="inlineStr">
        <is>
          <t>粉丝画像核心人群占比高</t>
        </is>
      </c>
      <c r="F269" s="18" t="inlineStr">
        <is>
          <t>追同学装修日记.</t>
        </is>
      </c>
      <c r="G269" s="18" t="inlineStr">
        <is>
          <t>https://www.xingtu.cn/ad/creator/author-homepage/douyin-video/6629658460059336711?market_track_id=MZCT008XDQ9LRFKWE2VY&amp;search_session_id=7613242839255744521&amp;possessStarId</t>
        </is>
      </c>
      <c r="H269" s="18" t="inlineStr">
        <is>
          <t>https://www.douyin.com/user/MS4wLjABAAAADuP3bF1OcPUmbyMptWG0cIfrxGNLefaMoyoK71ODLh4</t>
        </is>
      </c>
      <c r="I269" s="18" t="inlineStr">
        <is>
          <t>zhuibuaiwan</t>
        </is>
      </c>
      <c r="J269" s="18" t="inlineStr">
        <is>
          <t>家居</t>
        </is>
      </c>
      <c r="K269" s="18" t="inlineStr">
        <is>
          <t>尾部</t>
        </is>
      </c>
      <c r="L269" s="18" t="n">
        <v>25</v>
      </c>
      <c r="M269" s="18" t="inlineStr">
        <is>
          <t>2000-20000</t>
        </is>
      </c>
      <c r="N269" s="18" t="inlineStr">
        <is>
          <t>新锐白领
小镇青年
精致妈妈</t>
        </is>
      </c>
      <c r="O269" s="21" t="n">
        <v>0.65</v>
      </c>
      <c r="P269" s="18" t="n">
        <v>832000</v>
      </c>
      <c r="Q269" s="18">
        <f>Z269*1.05</f>
        <v/>
      </c>
      <c r="R269" s="20">
        <f>Z269/(AB269+AD269+AC269)</f>
        <v/>
      </c>
      <c r="S269" s="18" t="inlineStr">
        <is>
          <t>视频</t>
        </is>
      </c>
      <c r="T269" s="21" t="n">
        <v>0.54</v>
      </c>
      <c r="U269" s="21" t="n">
        <v>0.34</v>
      </c>
      <c r="V269" s="21" t="n">
        <v>0.49</v>
      </c>
      <c r="W269" s="21" t="n">
        <v>0.05</v>
      </c>
      <c r="X269" s="21" t="n"/>
      <c r="Y269" s="21" t="n"/>
      <c r="Z269" s="18" t="n">
        <v>39800</v>
      </c>
      <c r="AA269" s="154">
        <f>SUM((Z269/P269)*1000)</f>
        <v/>
      </c>
      <c r="AB269" s="18" t="n">
        <v>15000</v>
      </c>
      <c r="AC269" s="18" t="n">
        <v>514</v>
      </c>
      <c r="AD269" s="18" t="n">
        <v>276</v>
      </c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</row>
    <row r="270">
      <c r="A270" s="17" t="n">
        <v>46098</v>
      </c>
      <c r="B270" s="18" t="n"/>
      <c r="C270" s="18" t="n"/>
      <c r="D270" s="18" t="inlineStr">
        <is>
          <t>品牌</t>
        </is>
      </c>
      <c r="E270" s="32" t="inlineStr">
        <is>
          <t>多孩家庭，场景适配</t>
        </is>
      </c>
      <c r="F270" s="18" t="inlineStr">
        <is>
          <t>肖萧潇的日月星.</t>
        </is>
      </c>
      <c r="G270" s="18" t="inlineStr">
        <is>
          <t>https://www.xingtu.cn/ad/creator/author-homepage/douyin-video/7212663785511714874?market_track_id=MZCT008XDQ9LRFKWE2VY&amp;search_session_id=7613236685597949962&amp;possessStarId</t>
        </is>
      </c>
      <c r="H270" s="18" t="inlineStr">
        <is>
          <t>https://www.douyin.com/user/MS4wLjABAAAA8i9Yi9gV4RDqVvKtoXXIebIOnLLtOOJpoP3zQICKudg</t>
        </is>
      </c>
      <c r="I270" s="18" t="n">
        <v>966474</v>
      </c>
      <c r="J270" s="18" t="inlineStr">
        <is>
          <t>母婴</t>
        </is>
      </c>
      <c r="K270" s="18" t="inlineStr">
        <is>
          <t>腰部</t>
        </is>
      </c>
      <c r="L270" s="18" t="n">
        <v>108</v>
      </c>
      <c r="M270" s="18" t="inlineStr">
        <is>
          <t>2000-20000</t>
        </is>
      </c>
      <c r="N270" s="18" t="inlineStr">
        <is>
          <t>小镇青年
新锐白领
精致妈妈</t>
        </is>
      </c>
      <c r="O270" s="21" t="n">
        <v>0.48</v>
      </c>
      <c r="P270" s="18" t="n">
        <v>1136000</v>
      </c>
      <c r="Q270" s="18">
        <f>Z270*1.05</f>
        <v/>
      </c>
      <c r="R270" s="20">
        <f>Z270/(AB270+AD270+AC270)</f>
        <v/>
      </c>
      <c r="S270" s="18" t="inlineStr">
        <is>
          <t>视频</t>
        </is>
      </c>
      <c r="T270" s="21" t="n">
        <v>0.8100000000000001</v>
      </c>
      <c r="U270" s="21" t="n">
        <v>0.27</v>
      </c>
      <c r="V270" s="21" t="n">
        <v>0.37</v>
      </c>
      <c r="W270" s="21" t="n">
        <v>0.1</v>
      </c>
      <c r="X270" s="21" t="n"/>
      <c r="Y270" s="21" t="n"/>
      <c r="Z270" s="18" t="n">
        <v>43000</v>
      </c>
      <c r="AA270" s="154">
        <f>SUM((Z270/P270)*1000)</f>
        <v/>
      </c>
      <c r="AB270" s="18" t="n">
        <v>18000</v>
      </c>
      <c r="AC270" s="18" t="n">
        <v>607</v>
      </c>
      <c r="AD270" s="18" t="n">
        <v>2001</v>
      </c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</row>
    <row r="271">
      <c r="A271" s="17" t="n">
        <v>46098</v>
      </c>
      <c r="B271" s="18" t="n"/>
      <c r="C271" s="18" t="n"/>
      <c r="D271" s="18" t="inlineStr">
        <is>
          <t>品牌</t>
        </is>
      </c>
      <c r="E271" s="32" t="inlineStr">
        <is>
          <t>手工原创博主，创意好，画像匹配</t>
        </is>
      </c>
      <c r="F271" s="18" t="inlineStr">
        <is>
          <t xml:space="preserve">
-雅杰不加班</t>
        </is>
      </c>
      <c r="G271" s="18" t="inlineStr">
        <is>
          <t>https://www.xingtu.cn/ad/creator/author-homepage/douyin-video/7225455728285188157?market_track_id=IHKJ7RCF85I21XAQ009Q&amp;search_session_id=7613295973854871603&amp;possessStarId</t>
        </is>
      </c>
      <c r="H271" s="18" t="inlineStr">
        <is>
          <t>https://www.douyin.com/user/MS4wLjABAAAAuhXbv8NUQf-wNDmUaV5U4D5KCHUigR7QsO4E_6ji5kUabmtzcFYUtrQu3SkYmVSR</t>
        </is>
      </c>
      <c r="I271" s="18" t="inlineStr">
        <is>
          <t>YAJIEBUJIABAN</t>
        </is>
      </c>
      <c r="J271" s="18" t="inlineStr">
        <is>
          <t>家居</t>
        </is>
      </c>
      <c r="K271" s="18" t="inlineStr">
        <is>
          <t>尾部</t>
        </is>
      </c>
      <c r="L271" s="18" t="n">
        <v>24</v>
      </c>
      <c r="M271" s="18" t="inlineStr">
        <is>
          <t>20000-100000</t>
        </is>
      </c>
      <c r="N271" s="18" t="inlineStr">
        <is>
          <t>新锐白领
小镇青年
Z世代</t>
        </is>
      </c>
      <c r="O271" s="35" t="n">
        <v>0.618</v>
      </c>
      <c r="P271" s="18" t="n">
        <v>697000</v>
      </c>
      <c r="Q271" s="18">
        <f>Z271*1.05</f>
        <v/>
      </c>
      <c r="R271" s="20">
        <f>Z271/(AB271+AD271+AC271)</f>
        <v/>
      </c>
      <c r="S271" s="18" t="inlineStr">
        <is>
          <t>视频</t>
        </is>
      </c>
      <c r="T271" s="21" t="n">
        <v>0.5</v>
      </c>
      <c r="U271" s="21" t="n">
        <v>0.34</v>
      </c>
      <c r="V271" s="21" t="n">
        <v>0.4</v>
      </c>
      <c r="W271" s="21" t="n">
        <v>0.06</v>
      </c>
      <c r="X271" s="21" t="n"/>
      <c r="Y271" s="21" t="n"/>
      <c r="Z271" s="18" t="n">
        <v>60000</v>
      </c>
      <c r="AA271" s="154">
        <f>SUM((Z271/P271)*1000)</f>
        <v/>
      </c>
      <c r="AB271" s="18" t="n">
        <v>38000</v>
      </c>
      <c r="AC271" s="18" t="n">
        <v>483</v>
      </c>
      <c r="AD271" s="18" t="n">
        <v>15000</v>
      </c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</row>
    <row r="272">
      <c r="A272" s="17" t="n">
        <v>46098</v>
      </c>
      <c r="B272" s="18" t="n"/>
      <c r="C272" s="18" t="n"/>
      <c r="D272" s="18" t="inlineStr">
        <is>
          <t>品牌</t>
        </is>
      </c>
      <c r="E272" s="32" t="inlineStr">
        <is>
          <t>家居博主垂类画像精准</t>
        </is>
      </c>
      <c r="F272" s="18" t="inlineStr">
        <is>
          <t>-贝勒爷装修日记</t>
        </is>
      </c>
      <c r="G272" s="18" t="inlineStr">
        <is>
          <t>https://www.xingtu.cn/ad/creator/author-homepage/douyin-video/6997128678010273805?market_track_id=T3F09RSZB5J532D966YC&amp;search_session_id=7613301898976575514&amp;possessStarId</t>
        </is>
      </c>
      <c r="H272" s="18" t="inlineStr">
        <is>
          <t>https://www.douyin.com/user/MS4wLjABAAAA5qA_IOOFelSPMHIXHW-NyZNIX55R8yceM5gpFr99Ugend87C0wVRO2g1CSHDY67o</t>
        </is>
      </c>
      <c r="I272" s="18" t="inlineStr">
        <is>
          <t>dybej0siilpo</t>
        </is>
      </c>
      <c r="J272" s="18" t="inlineStr">
        <is>
          <t>家居</t>
        </is>
      </c>
      <c r="K272" s="18" t="inlineStr">
        <is>
          <t>尾部</t>
        </is>
      </c>
      <c r="L272" s="18" t="n">
        <v>43</v>
      </c>
      <c r="M272" s="18" t="inlineStr">
        <is>
          <t>2000-20000</t>
        </is>
      </c>
      <c r="N272" s="18" t="inlineStr">
        <is>
          <t>小镇青年
新锐白领
Z世代</t>
        </is>
      </c>
      <c r="O272" s="21" t="n">
        <v>0.48</v>
      </c>
      <c r="P272" s="18" t="n">
        <v>3575000</v>
      </c>
      <c r="Q272" s="18">
        <f>Z272*1.05</f>
        <v/>
      </c>
      <c r="R272" s="20">
        <f>Z272/(AB272+AD272+AC272)</f>
        <v/>
      </c>
      <c r="S272" s="18" t="inlineStr">
        <is>
          <t>视频</t>
        </is>
      </c>
      <c r="T272" s="21" t="n">
        <v>0.53</v>
      </c>
      <c r="U272" s="21" t="n">
        <v>0.2</v>
      </c>
      <c r="V272" s="21" t="n">
        <v>0.46</v>
      </c>
      <c r="W272" s="21" t="n">
        <v>0.2</v>
      </c>
      <c r="X272" s="21" t="n"/>
      <c r="Y272" s="21" t="n"/>
      <c r="Z272" s="18" t="n">
        <v>17000</v>
      </c>
      <c r="AA272" s="154">
        <f>SUM((Z272/P272)*1000)</f>
        <v/>
      </c>
      <c r="AB272" s="18" t="n">
        <v>18000</v>
      </c>
      <c r="AC272" s="18" t="n">
        <v>852</v>
      </c>
      <c r="AD272" s="18" t="n">
        <v>3463</v>
      </c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</row>
    <row r="273" ht="24.75" customHeight="1" s="151">
      <c r="A273" s="17" t="n">
        <v>46098</v>
      </c>
      <c r="B273" s="18" t="n"/>
      <c r="C273" s="18" t="n"/>
      <c r="D273" s="18" t="inlineStr">
        <is>
          <t>品牌</t>
        </is>
      </c>
      <c r="E273" s="32" t="inlineStr">
        <is>
          <t>女粉占比较稍低，但爆款商单均为高客单价大家电</t>
        </is>
      </c>
      <c r="F273" s="18" t="inlineStr">
        <is>
          <t>我是王小毛吖.</t>
        </is>
      </c>
      <c r="G273" s="18" t="inlineStr">
        <is>
          <t>https://www.xingtu.cn/ad/creator/author-homepage/douyin-video/6926304630271901711?market_track_id=0OYPCAVV8EYK36F21DKG&amp;search_session_id=7613346160124297225&amp;possessStarId</t>
        </is>
      </c>
      <c r="H273" s="18" t="inlineStr">
        <is>
          <t>https://www.douyin.com/user/MS4wLjABAAAAj4jdFLdrSSmm1yQo6MMLOSXaMM0biQjbTVDPT3VRmuY</t>
        </is>
      </c>
      <c r="I273" s="18" t="n">
        <v>2224187723</v>
      </c>
      <c r="J273" s="18" t="inlineStr">
        <is>
          <t>家居</t>
        </is>
      </c>
      <c r="K273" s="18" t="inlineStr">
        <is>
          <t>腰部</t>
        </is>
      </c>
      <c r="L273" s="18" t="n">
        <v>75</v>
      </c>
      <c r="M273" s="18" t="inlineStr">
        <is>
          <t>2000-20000</t>
        </is>
      </c>
      <c r="N273" s="18" t="inlineStr">
        <is>
          <t>新锐白领
小镇青年
精致妈妈</t>
        </is>
      </c>
      <c r="O273" s="21" t="n">
        <v>0.57</v>
      </c>
      <c r="P273" s="18" t="n">
        <v>863000</v>
      </c>
      <c r="Q273" s="18">
        <f>SUM(Z273*1.05)</f>
        <v/>
      </c>
      <c r="R273" s="20">
        <f>SUM(Z273/(AB273+AC273+AD273))</f>
        <v/>
      </c>
      <c r="S273" s="18" t="inlineStr">
        <is>
          <t>视频</t>
        </is>
      </c>
      <c r="T273" s="21" t="n">
        <v>0.44</v>
      </c>
      <c r="U273" s="21" t="n">
        <v>0.31</v>
      </c>
      <c r="V273" s="21" t="n">
        <v>0.49</v>
      </c>
      <c r="W273" s="21" t="n">
        <v>0.1</v>
      </c>
      <c r="X273" s="21" t="n"/>
      <c r="Y273" s="21" t="n"/>
      <c r="Z273" s="18" t="n">
        <v>44800</v>
      </c>
      <c r="AA273" s="154">
        <f>SUM((Z273/P273)*1000)</f>
        <v/>
      </c>
      <c r="AB273" s="18" t="n">
        <v>10000</v>
      </c>
      <c r="AC273" s="18" t="n">
        <v>187</v>
      </c>
      <c r="AD273" s="18" t="n">
        <v>320</v>
      </c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</row>
    <row r="274" ht="24.75" customHeight="1" s="151">
      <c r="A274" s="17" t="n">
        <v>46098</v>
      </c>
      <c r="B274" s="18" t="n"/>
      <c r="C274" s="18" t="n"/>
      <c r="D274" s="18" t="inlineStr">
        <is>
          <t>品牌</t>
        </is>
      </c>
      <c r="E274" s="32" t="inlineStr">
        <is>
          <t>A3数据好，出过卡萨帝油烟机千万播放爆款，内容较日常</t>
        </is>
      </c>
      <c r="F274" s="18" t="inlineStr">
        <is>
          <t>黑子</t>
        </is>
      </c>
      <c r="G274" s="18" t="inlineStr">
        <is>
          <t>https://www.xingtu.cn/ad/creator/author-homepage/douyin-video/6740972275522076676?market_track_id=0OYPCAVV8EYK36F21DKG&amp;search_session_id=7613344002150580262&amp;possessStarId</t>
        </is>
      </c>
      <c r="H274" s="18" t="inlineStr">
        <is>
          <t>https://www.douyin.com/user/MS4wLjABAAAA1L_6xSXNev3kU4eW6bo8Te3S8Ms380R0DtiWqjn0JSE</t>
        </is>
      </c>
      <c r="I274" s="18" t="n">
        <v>116258575</v>
      </c>
      <c r="J274" s="18" t="inlineStr">
        <is>
          <t>家居</t>
        </is>
      </c>
      <c r="K274" s="18" t="inlineStr">
        <is>
          <t>腰部</t>
        </is>
      </c>
      <c r="L274" s="18" t="n">
        <v>70</v>
      </c>
      <c r="M274" s="18" t="inlineStr">
        <is>
          <t>20000-100000</t>
        </is>
      </c>
      <c r="N274" s="18" t="inlineStr">
        <is>
          <t>新锐白领
小镇青年
精致妈妈</t>
        </is>
      </c>
      <c r="O274" s="21" t="n">
        <v>0.6</v>
      </c>
      <c r="P274" s="18" t="n">
        <v>1063000</v>
      </c>
      <c r="Q274" s="18">
        <f>SUM(Z274*1.05)</f>
        <v/>
      </c>
      <c r="R274" s="20">
        <f>SUM(Z274/(AB274+AC274+AD274))</f>
        <v/>
      </c>
      <c r="S274" s="18" t="inlineStr">
        <is>
          <t>视频</t>
        </is>
      </c>
      <c r="T274" s="21" t="n">
        <v>0.7</v>
      </c>
      <c r="U274" s="21" t="n">
        <v>0.31</v>
      </c>
      <c r="V274" s="21" t="n">
        <v>0.43</v>
      </c>
      <c r="W274" s="21" t="n">
        <v>0.12</v>
      </c>
      <c r="X274" s="21" t="n"/>
      <c r="Y274" s="21" t="n"/>
      <c r="Z274" s="18" t="n">
        <v>50000</v>
      </c>
      <c r="AA274" s="154">
        <f>SUM((Z274/P274)*1000)</f>
        <v/>
      </c>
      <c r="AB274" s="18" t="n">
        <v>25000</v>
      </c>
      <c r="AC274" s="18" t="n">
        <v>898</v>
      </c>
      <c r="AD274" s="18" t="n">
        <v>1323</v>
      </c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</row>
    <row r="275" ht="24.75" customHeight="1" s="151">
      <c r="A275" s="17" t="n">
        <v>46098</v>
      </c>
      <c r="B275" s="18" t="n"/>
      <c r="C275" s="18" t="n"/>
      <c r="D275" s="18" t="inlineStr">
        <is>
          <t>品牌</t>
        </is>
      </c>
      <c r="E275" s="32" t="inlineStr">
        <is>
          <t>粉丝画像匹配，爆款上单均为高单价家电</t>
        </is>
      </c>
      <c r="F275" s="18" t="inlineStr">
        <is>
          <t>陈龙颜.</t>
        </is>
      </c>
      <c r="G275" s="18" t="inlineStr">
        <is>
          <t>https://www.xingtu.cn/ad/creator/author-homepage/douyin-video/6870160240763994120?market_track_id=1NN8XWAK1CGIJFNAQBZ8&amp;search_session_id=7613355683773808649&amp;possessStarId</t>
        </is>
      </c>
      <c r="H275" s="18" t="inlineStr">
        <is>
          <t>https://www.douyin.com/user/MS4wLjABAAAAAwdV_ZaHwV7yn4Imf8Q1PqZ7IENSzyyY0u24mWgn-xE</t>
        </is>
      </c>
      <c r="I275" s="18" t="inlineStr">
        <is>
          <t>8062093I</t>
        </is>
      </c>
      <c r="J275" s="18" t="inlineStr">
        <is>
          <t>家居</t>
        </is>
      </c>
      <c r="K275" s="18" t="inlineStr">
        <is>
          <t>尾部</t>
        </is>
      </c>
      <c r="L275" s="18" t="n">
        <v>29</v>
      </c>
      <c r="M275" s="18" t="inlineStr">
        <is>
          <t>20000-100000</t>
        </is>
      </c>
      <c r="N275" s="18" t="inlineStr">
        <is>
          <t>新锐白领
小镇青年
精致妈妈</t>
        </is>
      </c>
      <c r="O275" s="21" t="n">
        <v>0.53</v>
      </c>
      <c r="P275" s="18" t="n">
        <v>4647000</v>
      </c>
      <c r="Q275" s="18">
        <f>SUM(Z275*1.05)</f>
        <v/>
      </c>
      <c r="R275" s="20">
        <f>Z275/(AB275+AD275+AC275)</f>
        <v/>
      </c>
      <c r="S275" s="18" t="inlineStr">
        <is>
          <t>视频</t>
        </is>
      </c>
      <c r="T275" s="21" t="n">
        <v>0.5600000000000001</v>
      </c>
      <c r="U275" s="21" t="n">
        <v>0.35</v>
      </c>
      <c r="V275" s="21" t="n">
        <v>0.37</v>
      </c>
      <c r="W275" s="21" t="n">
        <v>0.1</v>
      </c>
      <c r="X275" s="21" t="n"/>
      <c r="Y275" s="21" t="n"/>
      <c r="Z275" s="18" t="n">
        <v>40000</v>
      </c>
      <c r="AA275" s="154">
        <f>SUM((Z275/P275)*1000)</f>
        <v/>
      </c>
      <c r="AB275" s="18" t="n">
        <v>15000</v>
      </c>
      <c r="AC275" s="18" t="n">
        <v>1051</v>
      </c>
      <c r="AD275" s="18" t="n">
        <v>1547</v>
      </c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</row>
    <row r="276" ht="24.75" customHeight="1" s="151">
      <c r="A276" s="17" t="n">
        <v>46098</v>
      </c>
      <c r="B276" s="18" t="n"/>
      <c r="C276" s="18" t="n"/>
      <c r="D276" s="18" t="inlineStr">
        <is>
          <t>品牌</t>
        </is>
      </c>
      <c r="E276" s="32" t="inlineStr">
        <is>
          <t>软装设计师，专业性强，粉丝画像适配</t>
        </is>
      </c>
      <c r="F276" s="18" t="inlineStr">
        <is>
          <t xml:space="preserve">
帆叔家居真带劲.</t>
        </is>
      </c>
      <c r="G276" s="18" t="inlineStr">
        <is>
          <t>https://www.xingtu.cn/ad/creator/author-homepage/douyin-video/6870160260540137486?market_track_id=YLXB7MTD8TPJAQ2SP4QR&amp;search_session_id=7613679778771779594&amp;possessStarId</t>
        </is>
      </c>
      <c r="H276" s="18" t="inlineStr">
        <is>
          <t>https://www.douyin.com/user/MS4wLjABAAAASz4Fz2ZvwPrjz2p5h5YkRvH7s83R2_VApQX-jqHOtBg</t>
        </is>
      </c>
      <c r="I276" s="18" t="n">
        <v>7313992</v>
      </c>
      <c r="J276" s="18" t="inlineStr">
        <is>
          <t>家居</t>
        </is>
      </c>
      <c r="K276" s="18" t="inlineStr">
        <is>
          <t>腰部</t>
        </is>
      </c>
      <c r="L276" s="18" t="n">
        <v>59</v>
      </c>
      <c r="M276" s="18" t="inlineStr">
        <is>
          <t>2000-20000</t>
        </is>
      </c>
      <c r="N276" s="18" t="inlineStr">
        <is>
          <t>新锐白领
小镇青年
精致妈妈</t>
        </is>
      </c>
      <c r="O276" s="21" t="n">
        <v>0.65</v>
      </c>
      <c r="P276" s="18" t="n">
        <v>346000</v>
      </c>
      <c r="Q276" s="18">
        <f>SUM(Z276*1.05)</f>
        <v/>
      </c>
      <c r="R276" s="20">
        <f>Z276/(AB276+AD276+AC276)</f>
        <v/>
      </c>
      <c r="S276" s="18" t="inlineStr">
        <is>
          <t>视频</t>
        </is>
      </c>
      <c r="T276" s="21" t="n">
        <v>0.46</v>
      </c>
      <c r="U276" s="21" t="n">
        <v>0.41</v>
      </c>
      <c r="V276" s="21" t="n">
        <v>0.43</v>
      </c>
      <c r="W276" s="21" t="n">
        <v>0.03</v>
      </c>
      <c r="X276" s="18" t="n"/>
      <c r="Y276" s="18" t="n"/>
      <c r="Z276" s="18" t="n">
        <v>32000</v>
      </c>
      <c r="AA276" s="154">
        <f>SUM((Z276/P276)*1000)</f>
        <v/>
      </c>
      <c r="AB276" s="22" t="n">
        <v>4691</v>
      </c>
      <c r="AC276" s="18" t="n">
        <v>871</v>
      </c>
      <c r="AD276" s="18" t="n">
        <v>2158</v>
      </c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</row>
    <row r="277" ht="24.75" customHeight="1" s="151">
      <c r="A277" s="17" t="n">
        <v>46098</v>
      </c>
      <c r="B277" s="18" t="n"/>
      <c r="C277" s="18" t="n"/>
      <c r="D277" s="18" t="inlineStr">
        <is>
          <t>品牌</t>
        </is>
      </c>
      <c r="E277" s="32" t="inlineStr">
        <is>
          <t>大家电爆款商单多，粉丝画像适配高</t>
        </is>
      </c>
      <c r="F277" s="18" t="inlineStr">
        <is>
          <t xml:space="preserve">
杰儿美食.</t>
        </is>
      </c>
      <c r="G277" s="18" t="inlineStr">
        <is>
          <t>https://www.xingtu.cn/ad/creator/author-homepage/douyin-video/6629659220260159491?market_track_id=H4ETHBZMFZY3TAGCQ3FA&amp;search_session_id=7613666091105501234&amp;possessStarId</t>
        </is>
      </c>
      <c r="H277" s="18" t="inlineStr">
        <is>
          <t>https://www.douyin.com/user/MS4wLjABAAAAaGPupGXkpAjXZOVH21EVXCRlX-WY4k0pSwspKgpfC9c</t>
        </is>
      </c>
      <c r="I277" s="18" t="inlineStr">
        <is>
          <t>jieermeishi</t>
        </is>
      </c>
      <c r="J277" s="18" t="inlineStr">
        <is>
          <t>家居</t>
        </is>
      </c>
      <c r="K277" s="18" t="inlineStr">
        <is>
          <t>头部</t>
        </is>
      </c>
      <c r="L277" s="18" t="n">
        <v>691</v>
      </c>
      <c r="M277" s="18" t="inlineStr">
        <is>
          <t>20000-100000</t>
        </is>
      </c>
      <c r="N277" s="18" t="inlineStr">
        <is>
          <t>小镇青年
新锐白领
Z世代</t>
        </is>
      </c>
      <c r="O277" s="21" t="n">
        <v>0.37</v>
      </c>
      <c r="P277" s="18" t="n">
        <v>1273000</v>
      </c>
      <c r="Q277" s="18">
        <f>SUM(Z277*1.05)</f>
        <v/>
      </c>
      <c r="R277" s="20">
        <f>Z277/(AB277+AD277+AC277)</f>
        <v/>
      </c>
      <c r="S277" s="18" t="inlineStr">
        <is>
          <t>视频</t>
        </is>
      </c>
      <c r="T277" s="21" t="n">
        <v>0.73</v>
      </c>
      <c r="U277" s="21" t="n">
        <v>0.25</v>
      </c>
      <c r="V277" s="21" t="n">
        <v>0.35</v>
      </c>
      <c r="W277" s="21" t="n">
        <v>0.12</v>
      </c>
      <c r="X277" s="18" t="n"/>
      <c r="Y277" s="18" t="n"/>
      <c r="Z277" s="18" t="n">
        <v>85000</v>
      </c>
      <c r="AA277" s="154">
        <f>SUM((Z277/P277)*1000)</f>
        <v/>
      </c>
      <c r="AB277" s="18" t="n">
        <v>32000</v>
      </c>
      <c r="AC277" s="18" t="n">
        <v>936</v>
      </c>
      <c r="AD277" s="18" t="n">
        <v>2099</v>
      </c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</row>
    <row r="278">
      <c r="A278" s="17" t="n">
        <v>46098</v>
      </c>
      <c r="B278" s="18" t="n"/>
      <c r="C278" s="18" t="n"/>
      <c r="D278" s="18" t="inlineStr">
        <is>
          <t>品牌</t>
        </is>
      </c>
      <c r="E278" s="32" t="inlineStr">
        <is>
          <t>创意博主，粉丝画像OK</t>
        </is>
      </c>
      <c r="F278" s="18" t="inlineStr">
        <is>
          <t>呆猪</t>
        </is>
      </c>
      <c r="G278" s="18" t="inlineStr">
        <is>
          <t>https://www.xingtu.cn/ad/creator/author-homepage/douyin-video/7441551962656636937?market_track_id=9T58FEEOSH7RZ6RU7JP4&amp;search_session_id=7613652077218316339&amp;possessStarId</t>
        </is>
      </c>
      <c r="H278" s="18" t="inlineStr">
        <is>
          <t>https://www.douyin.com/user/MS4wLjABAAAAPawOZPInC7aNMiahiNWqSTvSU73vSPqIAAE7PmkJSZ2bnoyStZpgGe55ibre3Iyg</t>
        </is>
      </c>
      <c r="I278" s="18" t="n">
        <v>86981708342</v>
      </c>
      <c r="J278" s="18" t="inlineStr">
        <is>
          <t>家居</t>
        </is>
      </c>
      <c r="K278" s="18" t="inlineStr">
        <is>
          <t>尾部</t>
        </is>
      </c>
      <c r="L278" s="18" t="n">
        <v>47</v>
      </c>
      <c r="M278" s="18" t="inlineStr">
        <is>
          <t>2000-20000</t>
        </is>
      </c>
      <c r="N278" s="18" t="inlineStr">
        <is>
          <t>小镇青年
新锐白领
精致妈妈</t>
        </is>
      </c>
      <c r="O278" s="21" t="n">
        <v>0.42</v>
      </c>
      <c r="P278" s="18" t="n">
        <v>123000</v>
      </c>
      <c r="Q278" s="18">
        <f>SUM(Z278*1.05)</f>
        <v/>
      </c>
      <c r="R278" s="20">
        <f>Z278/(AB278+AD278+AC278)</f>
        <v/>
      </c>
      <c r="S278" s="18" t="inlineStr">
        <is>
          <t>视频</t>
        </is>
      </c>
      <c r="T278" s="21" t="n">
        <v>0.83</v>
      </c>
      <c r="U278" s="21" t="n">
        <v>0.32</v>
      </c>
      <c r="V278" s="21" t="n">
        <v>0.39</v>
      </c>
      <c r="W278" s="21" t="n">
        <v>0.08</v>
      </c>
      <c r="X278" s="18" t="n"/>
      <c r="Y278" s="18" t="n"/>
      <c r="Z278" s="18" t="n">
        <v>25000</v>
      </c>
      <c r="AA278" s="154">
        <f>SUM((Z278/P278)*1000)</f>
        <v/>
      </c>
      <c r="AB278" s="22" t="n">
        <v>3620</v>
      </c>
      <c r="AC278" s="18" t="n">
        <v>125</v>
      </c>
      <c r="AD278" s="18" t="n">
        <v>507</v>
      </c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</row>
    <row r="279" ht="24.75" customHeight="1" s="151">
      <c r="A279" s="17" t="n">
        <v>46098</v>
      </c>
      <c r="B279" s="18" t="n"/>
      <c r="C279" s="18" t="n"/>
      <c r="D279" s="18" t="inlineStr">
        <is>
          <t>品牌</t>
        </is>
      </c>
      <c r="E279" s="32" t="inlineStr">
        <is>
          <t>人群符合核心要求，创意性高，可结合产品特点定制视频</t>
        </is>
      </c>
      <c r="F279" s="18" t="inlineStr">
        <is>
          <t>熙哥家</t>
        </is>
      </c>
      <c r="G279" s="18" t="inlineStr">
        <is>
          <t>https://www.xingtu.cn/ad/creator/author-homepage/douyin-video/6870161864530067464?market_track_id=SW5R02Z287BG97RJ9TP0&amp;search_session_id=7613707172631248922&amp;possessStarId</t>
        </is>
      </c>
      <c r="H279" s="18" t="inlineStr">
        <is>
          <t>https://www.douyin.com/user/MS4wLjABAAAA9s29W8yTEu9z0lw-htFiNE5EKgb5NFtFxHSJ-3PiV4k</t>
        </is>
      </c>
      <c r="I279" s="18" t="inlineStr">
        <is>
          <t>zzxx999999</t>
        </is>
      </c>
      <c r="J279" s="18" t="inlineStr">
        <is>
          <t>家居</t>
        </is>
      </c>
      <c r="K279" s="18" t="inlineStr">
        <is>
          <t>腰部</t>
        </is>
      </c>
      <c r="L279" s="18" t="n">
        <v>65</v>
      </c>
      <c r="M279" s="18" t="inlineStr">
        <is>
          <t>150-2000</t>
        </is>
      </c>
      <c r="N279" s="18" t="inlineStr">
        <is>
          <t>新锐白领
小镇青年
精致妈妈</t>
        </is>
      </c>
      <c r="O279" s="21" t="n">
        <v>0.4</v>
      </c>
      <c r="P279" s="18" t="n">
        <v>727000</v>
      </c>
      <c r="Q279" s="18">
        <f>SUM(Z279*1.05)</f>
        <v/>
      </c>
      <c r="R279" s="20">
        <f>Z279/(AB279+AD279+AC279)</f>
        <v/>
      </c>
      <c r="S279" s="18" t="inlineStr">
        <is>
          <t>视频</t>
        </is>
      </c>
      <c r="T279" s="21" t="n">
        <v>0.4</v>
      </c>
      <c r="U279" s="21" t="n">
        <v>0.28</v>
      </c>
      <c r="V279" s="21" t="n">
        <v>0.4</v>
      </c>
      <c r="W279" s="21" t="n">
        <v>0.14</v>
      </c>
      <c r="X279" s="18" t="n"/>
      <c r="Y279" s="18" t="n"/>
      <c r="Z279" s="18" t="n">
        <v>26000</v>
      </c>
      <c r="AA279" s="154">
        <f>SUM((Z279/P279)*1000)</f>
        <v/>
      </c>
      <c r="AB279" s="22" t="n">
        <v>3424</v>
      </c>
      <c r="AC279" s="18" t="n">
        <v>165</v>
      </c>
      <c r="AD279" s="18" t="n">
        <v>863</v>
      </c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</row>
    <row r="280">
      <c r="A280" s="71" t="n">
        <v>46098</v>
      </c>
      <c r="B280" s="37" t="n"/>
      <c r="C280" s="37" t="n"/>
      <c r="D280" s="37" t="inlineStr">
        <is>
          <t>品牌</t>
        </is>
      </c>
      <c r="E280" s="38" t="inlineStr">
        <is>
          <t>家居品牌体验达人，专业测评</t>
        </is>
      </c>
      <c r="F280" s="37" t="inlineStr">
        <is>
          <t>小爽的家</t>
        </is>
      </c>
      <c r="G280" s="37" t="inlineStr">
        <is>
          <t>https://www.xingtu.cn/ad/creator/author-homepage/douyin-video/6986059745152991272?market_track_id=L6OVDUJQ4O614ZL9TH2Q&amp;search_session_id=7614028749639303218&amp;possessStarId</t>
        </is>
      </c>
      <c r="H280" s="37" t="inlineStr">
        <is>
          <t>https://www.douyin.com/user/MS4wLjABAAAA0IM_YtJKDo8tVLPsKWnHWVUSQjnHKgZpw0TRsqXB35GlzriFzcns96tjKKRr7WTI</t>
        </is>
      </c>
      <c r="I280" s="37" t="inlineStr">
        <is>
          <t>shuangdejia1</t>
        </is>
      </c>
      <c r="J280" s="37" t="inlineStr">
        <is>
          <t>家居</t>
        </is>
      </c>
      <c r="K280" s="37" t="inlineStr">
        <is>
          <t>尾部</t>
        </is>
      </c>
      <c r="L280" s="37" t="n">
        <v>27</v>
      </c>
      <c r="M280" s="37" t="inlineStr">
        <is>
          <t>150-2000</t>
        </is>
      </c>
      <c r="N280" s="37" t="inlineStr">
        <is>
          <t>精致妈妈
新锐白领
小镇青年</t>
        </is>
      </c>
      <c r="O280" s="41" t="n">
        <v>0.7</v>
      </c>
      <c r="P280" s="37" t="n">
        <v>1072000</v>
      </c>
      <c r="Q280" s="37">
        <f>SUM(Z280*1.05)</f>
        <v/>
      </c>
      <c r="R280" s="40">
        <f>Z280/(AB280+AD280+AC280)</f>
        <v/>
      </c>
      <c r="S280" s="37" t="inlineStr">
        <is>
          <t>视频</t>
        </is>
      </c>
      <c r="T280" s="41" t="n">
        <v>0.86</v>
      </c>
      <c r="U280" s="41" t="n">
        <v>0.3</v>
      </c>
      <c r="V280" s="41" t="n">
        <v>0.55</v>
      </c>
      <c r="W280" s="41" t="n">
        <v>0.09</v>
      </c>
      <c r="X280" s="37" t="n"/>
      <c r="Y280" s="37" t="n"/>
      <c r="Z280" s="37" t="n">
        <v>15800</v>
      </c>
      <c r="AA280" s="157">
        <f>SUM((Z280/P280)*1000)</f>
        <v/>
      </c>
      <c r="AB280" s="37" t="n">
        <v>7966</v>
      </c>
      <c r="AC280" s="37" t="n">
        <v>217</v>
      </c>
      <c r="AD280" s="37" t="n">
        <v>309</v>
      </c>
      <c r="AE280" s="37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43" t="n"/>
      <c r="AR280" s="43" t="n"/>
    </row>
    <row r="281">
      <c r="A281" s="71" t="n">
        <v>46098</v>
      </c>
      <c r="B281" s="37" t="n"/>
      <c r="C281" s="37" t="n"/>
      <c r="D281" s="37" t="inlineStr">
        <is>
          <t>品牌</t>
        </is>
      </c>
      <c r="E281" s="38" t="inlineStr">
        <is>
          <t>垂类博主，人群画像适配</t>
        </is>
      </c>
      <c r="F281" s="37" t="inlineStr">
        <is>
          <t>抠门老爸装修记</t>
        </is>
      </c>
      <c r="G281" s="37" t="inlineStr">
        <is>
          <t>https://www.xingtu.cn/ad/creator/author-homepage/douyin-video/7178384753874173987?market_track_id=WQYDLK95ZIKAMRQ6Y2QU&amp;search_session_id=7614026091378180146&amp;possessStarId</t>
        </is>
      </c>
      <c r="H281" s="37" t="inlineStr">
        <is>
          <t>https://www.douyin.com/user/MS4wLjABAAAAGkPRwD17lxAwIwfU_cS_ZCFQDp3onlv7Vt4oWuF3UhNS0eRgdJMLDUx_2-BynGRj</t>
        </is>
      </c>
      <c r="I281" s="37" t="inlineStr">
        <is>
          <t>koumenlaoba666</t>
        </is>
      </c>
      <c r="J281" s="37" t="inlineStr">
        <is>
          <t>家居</t>
        </is>
      </c>
      <c r="K281" s="37" t="inlineStr">
        <is>
          <t>腰部</t>
        </is>
      </c>
      <c r="L281" s="37" t="n">
        <v>87</v>
      </c>
      <c r="M281" s="37" t="inlineStr">
        <is>
          <t>150-2000</t>
        </is>
      </c>
      <c r="N281" s="37" t="inlineStr">
        <is>
          <t>新锐白领
小镇青年
精致妈妈</t>
        </is>
      </c>
      <c r="O281" s="41" t="n">
        <v>0.8100000000000001</v>
      </c>
      <c r="P281" s="37" t="n">
        <v>1481000</v>
      </c>
      <c r="Q281" s="37">
        <f>SUM(Z281*1.05)</f>
        <v/>
      </c>
      <c r="R281" s="40">
        <f>Z281/(AB281+AD281+AC281)</f>
        <v/>
      </c>
      <c r="S281" s="37" t="inlineStr">
        <is>
          <t>视频</t>
        </is>
      </c>
      <c r="T281" s="41" t="n">
        <v>0.82</v>
      </c>
      <c r="U281" s="41" t="n">
        <v>0.38</v>
      </c>
      <c r="V281" s="41" t="n">
        <v>0.53</v>
      </c>
      <c r="W281" s="41" t="n">
        <v>0.03</v>
      </c>
      <c r="X281" s="37" t="n"/>
      <c r="Y281" s="37" t="n"/>
      <c r="Z281" s="37" t="n">
        <v>28000</v>
      </c>
      <c r="AA281" s="157">
        <f>SUM((Z281/P281)*1000)</f>
        <v/>
      </c>
      <c r="AB281" s="70" t="n">
        <v>1271</v>
      </c>
      <c r="AC281" s="37" t="n">
        <v>321</v>
      </c>
      <c r="AD281" s="37" t="n">
        <v>226</v>
      </c>
      <c r="AE281" s="37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43" t="n"/>
      <c r="AR281" s="43" t="n"/>
    </row>
    <row r="282">
      <c r="A282" s="71" t="n">
        <v>46098</v>
      </c>
      <c r="B282" s="37" t="n"/>
      <c r="C282" s="37" t="n"/>
      <c r="D282" s="37" t="inlineStr">
        <is>
          <t>品牌</t>
        </is>
      </c>
      <c r="E282" s="38" t="inlineStr">
        <is>
          <t>精致妈妈和新锐白领占比匹配度高</t>
        </is>
      </c>
      <c r="F282" s="37" t="inlineStr">
        <is>
          <t>盐妍 Zoey</t>
        </is>
      </c>
      <c r="G282" s="37" t="inlineStr">
        <is>
          <t>https://www.xingtu.cn/ad/creator/author-homepage/douyin-video/6802523335012909069?market_track_id=EYBQHQN99X2O5Q0DSX1Q&amp;search_session_id=7614014387368149030&amp;possessStarId</t>
        </is>
      </c>
      <c r="H282" s="37" t="inlineStr">
        <is>
          <t>https://www.douyin.com/user/MS4wLjABAAAAISjmopPTsqgdmoF2_63yBDkUBB5dl1JxIS4veijKvu8lHpIfoe697n4IHzQiiL1h</t>
        </is>
      </c>
      <c r="I282" s="37" t="inlineStr">
        <is>
          <t>YanYan_099</t>
        </is>
      </c>
      <c r="J282" s="37" t="inlineStr">
        <is>
          <t>家居</t>
        </is>
      </c>
      <c r="K282" s="37" t="inlineStr">
        <is>
          <t>头部</t>
        </is>
      </c>
      <c r="L282" s="37" t="n">
        <v>627</v>
      </c>
      <c r="M282" s="37" t="inlineStr">
        <is>
          <t>2000-20000</t>
        </is>
      </c>
      <c r="N282" s="37" t="inlineStr">
        <is>
          <t>新锐白领
精致妈妈
小镇青年</t>
        </is>
      </c>
      <c r="O282" s="41" t="n">
        <v>0.55</v>
      </c>
      <c r="P282" s="37" t="n">
        <v>1898000</v>
      </c>
      <c r="Q282" s="37">
        <f>SUM(Z282*1.05)</f>
        <v/>
      </c>
      <c r="R282" s="40">
        <f>Z282/(AB282+AD282+AC282)</f>
        <v/>
      </c>
      <c r="S282" s="37" t="inlineStr">
        <is>
          <t>视频</t>
        </is>
      </c>
      <c r="T282" s="41" t="n">
        <v>0.88</v>
      </c>
      <c r="U282" s="41" t="n">
        <v>0.32</v>
      </c>
      <c r="V282" s="41" t="n">
        <v>0.43</v>
      </c>
      <c r="W282" s="41" t="n">
        <v>0.03</v>
      </c>
      <c r="X282" s="37" t="n"/>
      <c r="Y282" s="37" t="n"/>
      <c r="Z282" s="37" t="n">
        <v>105000</v>
      </c>
      <c r="AA282" s="157">
        <f>SUM((Z282/P282)*1000)</f>
        <v/>
      </c>
      <c r="AB282" s="37" t="n">
        <v>49000</v>
      </c>
      <c r="AC282" s="37" t="n">
        <v>695</v>
      </c>
      <c r="AD282" s="37" t="n">
        <v>911</v>
      </c>
      <c r="AE282" s="37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43" t="n"/>
      <c r="AR282" s="43" t="n"/>
    </row>
    <row r="283">
      <c r="A283" s="71" t="n">
        <v>46098</v>
      </c>
      <c r="B283" s="37" t="n"/>
      <c r="C283" s="37" t="n"/>
      <c r="D283" s="37" t="inlineStr">
        <is>
          <t>品牌</t>
        </is>
      </c>
      <c r="E283" s="38" t="inlineStr">
        <is>
          <t xml:space="preserve"> 装修避坑｜家居分享｜好物测评</t>
        </is>
      </c>
      <c r="F283" s="37" t="inlineStr">
        <is>
          <t>小康家装日记</t>
        </is>
      </c>
      <c r="G283" s="37" t="inlineStr">
        <is>
          <t>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</t>
        </is>
      </c>
      <c r="H283" s="37" t="inlineStr">
        <is>
          <t>https://www.douyin.com/user/MS4wLjABAAAAc5kxst574ZOPmOCPOBZeuzPkfjqvCtEGcCL3rqLzrQI</t>
        </is>
      </c>
      <c r="I283" s="37" t="n">
        <v>28933287429</v>
      </c>
      <c r="J283" s="37" t="inlineStr">
        <is>
          <t>家居</t>
        </is>
      </c>
      <c r="K283" s="37" t="inlineStr">
        <is>
          <t>尾部</t>
        </is>
      </c>
      <c r="L283" s="37" t="n">
        <v>14</v>
      </c>
      <c r="M283" s="37" t="inlineStr">
        <is>
          <t>150-2000</t>
        </is>
      </c>
      <c r="N283" s="37" t="inlineStr">
        <is>
          <t>小镇青年
精致妈妈
新锐白领</t>
        </is>
      </c>
      <c r="O283" s="41" t="n">
        <v>0.48</v>
      </c>
      <c r="P283" s="37" t="n">
        <v>194000</v>
      </c>
      <c r="Q283" s="37">
        <f>SUM(Z283*1.05)</f>
        <v/>
      </c>
      <c r="R283" s="40">
        <f>Z283/(AB283+AD283+AC283)</f>
        <v/>
      </c>
      <c r="S283" s="37" t="inlineStr">
        <is>
          <t>视频</t>
        </is>
      </c>
      <c r="T283" s="41" t="n">
        <v>0.64</v>
      </c>
      <c r="U283" s="41" t="n">
        <v>0.32</v>
      </c>
      <c r="V283" s="41" t="n">
        <v>0.41</v>
      </c>
      <c r="W283" s="41" t="n">
        <v>0.11</v>
      </c>
      <c r="X283" s="37" t="n"/>
      <c r="Y283" s="37" t="n"/>
      <c r="Z283" s="37" t="n">
        <v>11000</v>
      </c>
      <c r="AA283" s="157">
        <f>SUM((Z283/P283)*1000)</f>
        <v/>
      </c>
      <c r="AB283" s="70" t="n">
        <v>1691</v>
      </c>
      <c r="AC283" s="37" t="n">
        <v>81</v>
      </c>
      <c r="AD283" s="37" t="n">
        <v>331</v>
      </c>
      <c r="AE283" s="37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43" t="n"/>
      <c r="AR283" s="43" t="n"/>
    </row>
    <row r="284" ht="46" customHeight="1" s="151">
      <c r="A284" s="17" t="n">
        <v>46098</v>
      </c>
      <c r="C284" s="5" t="n"/>
      <c r="D284" s="18" t="inlineStr">
        <is>
          <t>电商</t>
        </is>
      </c>
      <c r="E284" s="32" t="inlineStr">
        <is>
          <t>精致妈妈和资深中产占比高，爆款大家电商单https://www.douyin.com/video/7565465871860174122</t>
        </is>
      </c>
      <c r="F284" s="18" t="inlineStr">
        <is>
          <t>高瘦 Dd</t>
        </is>
      </c>
      <c r="G284" s="18" t="inlineStr">
        <is>
          <t>https://www.xingtu.cn/ad/creator/author-homepage/douyin-video/7298673899103846450?market_track_id=GTKGQL8X2XU0PIMT6UI5&amp;search_session_id=7615897568245776411&amp;possessStarId</t>
        </is>
      </c>
      <c r="H284" s="18" t="inlineStr">
        <is>
          <t>https://www.douyin.com/user/MS4wLjABAAAAvYjqp_tSUvO_b1Y7bzRxfeIFffVjz5gGjz7JP1zXLMXIOd6GoDwRjQSR8focb3LZ</t>
        </is>
      </c>
      <c r="I284" s="18" t="inlineStr">
        <is>
          <t>tdq_1108</t>
        </is>
      </c>
      <c r="J284" s="18" t="inlineStr">
        <is>
          <t>家居</t>
        </is>
      </c>
      <c r="K284" s="18" t="inlineStr">
        <is>
          <t>腰部</t>
        </is>
      </c>
      <c r="L284" s="18" t="n">
        <v>58</v>
      </c>
      <c r="M284" s="21" t="inlineStr">
        <is>
          <t>100000+</t>
        </is>
      </c>
      <c r="N284" s="18" t="inlineStr">
        <is>
          <t>精致妈妈
资深中产
都市银发</t>
        </is>
      </c>
      <c r="O284" s="21" t="n">
        <v>0.5</v>
      </c>
      <c r="P284" s="20" t="n">
        <v>2391000</v>
      </c>
      <c r="Q284" s="18">
        <f>Z284*1.05</f>
        <v/>
      </c>
      <c r="R284" s="20">
        <f>Z284/(AB284+AD284+AC284)</f>
        <v/>
      </c>
      <c r="S284" s="21" t="inlineStr">
        <is>
          <t>视频</t>
        </is>
      </c>
      <c r="T284" s="21" t="n">
        <v>0.76</v>
      </c>
      <c r="U284" s="21" t="n">
        <v>0.16</v>
      </c>
      <c r="V284" s="21" t="n">
        <v>0.35</v>
      </c>
      <c r="W284" s="21" t="n">
        <v>0.25</v>
      </c>
      <c r="X284" s="18" t="n"/>
      <c r="Y284" s="154" t="n"/>
      <c r="Z284" s="18" t="n">
        <v>38000</v>
      </c>
      <c r="AA284" s="154">
        <f>SUM((Z284/P284)*1000)</f>
        <v/>
      </c>
      <c r="AB284" s="18" t="n">
        <v>56000</v>
      </c>
      <c r="AC284" s="18" t="n">
        <v>3470</v>
      </c>
      <c r="AD284" s="18" t="n">
        <v>2371</v>
      </c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</row>
    <row r="285" ht="24.75" customHeight="1" s="151">
      <c r="A285" s="17" t="n">
        <v>46098</v>
      </c>
      <c r="B285" s="18" t="n"/>
      <c r="C285" s="18" t="n"/>
      <c r="D285" s="18" t="inlineStr">
        <is>
          <t>品牌</t>
        </is>
      </c>
      <c r="E285" s="32" t="inlineStr">
        <is>
          <t>情侣博主，家居环境好，精妈占比高</t>
        </is>
      </c>
      <c r="F285" s="18" t="inlineStr">
        <is>
          <t>温温的半宅日记</t>
        </is>
      </c>
      <c r="G285" s="18" t="inlineStr">
        <is>
          <t>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</t>
        </is>
      </c>
      <c r="H285" s="18" t="inlineStr">
        <is>
          <t>https://www.douyin.com/user/MS4wLjABAAAArUV5HctAWlnVc-augz__U2D--90a2UMmw9oiziP91Fw</t>
        </is>
      </c>
      <c r="I285" s="18" t="inlineStr">
        <is>
          <t>RICHWen1231</t>
        </is>
      </c>
      <c r="J285" s="18" t="inlineStr">
        <is>
          <t>家居</t>
        </is>
      </c>
      <c r="K285" s="18" t="inlineStr">
        <is>
          <t>腰部</t>
        </is>
      </c>
      <c r="L285" s="18" t="n">
        <v>141</v>
      </c>
      <c r="M285" s="18" t="inlineStr">
        <is>
          <t>150-2000</t>
        </is>
      </c>
      <c r="N285" s="18" t="inlineStr">
        <is>
          <t>新锐白领
精致妈妈
小镇青年</t>
        </is>
      </c>
      <c r="O285" s="21" t="n">
        <v>0.54</v>
      </c>
      <c r="P285" s="18" t="n">
        <v>826000</v>
      </c>
      <c r="Q285" s="18">
        <f>SUM(Z285*1.05)</f>
        <v/>
      </c>
      <c r="R285" s="20">
        <f>Z285/(AB285+AD285+AC285)</f>
        <v/>
      </c>
      <c r="S285" s="18" t="inlineStr">
        <is>
          <t>视频</t>
        </is>
      </c>
      <c r="T285" s="21" t="n">
        <v>0.76</v>
      </c>
      <c r="U285" s="21" t="n">
        <v>0.27</v>
      </c>
      <c r="V285" s="21" t="n">
        <v>0.36</v>
      </c>
      <c r="W285" s="21" t="n">
        <v>0.11</v>
      </c>
      <c r="X285" s="18" t="n"/>
      <c r="Y285" s="18" t="n"/>
      <c r="Z285" s="18" t="n">
        <v>58000</v>
      </c>
      <c r="AA285" s="154">
        <f>SUM((Z285/P285)*1000)</f>
        <v/>
      </c>
      <c r="AB285" s="18" t="n">
        <v>12000</v>
      </c>
      <c r="AC285" s="18" t="n">
        <v>206</v>
      </c>
      <c r="AD285" s="18" t="n">
        <v>86</v>
      </c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</row>
    <row r="286">
      <c r="A286" s="17" t="n">
        <v>46098</v>
      </c>
      <c r="B286" s="18" t="n"/>
      <c r="C286" s="18" t="n"/>
      <c r="D286" s="18" t="inlineStr">
        <is>
          <t>品牌</t>
        </is>
      </c>
      <c r="E286" s="32" t="inlineStr">
        <is>
          <t>厨房奶油风，白领占比高</t>
        </is>
      </c>
      <c r="F286" s="18" t="inlineStr">
        <is>
          <t xml:space="preserve">
西米 好宅</t>
        </is>
      </c>
      <c r="G286" s="18" t="inlineStr">
        <is>
          <t>https://www.xingtu.cn/ad/creator/author-homepage/douyin-video/6870170334209769479?market_track_id=2HPQ3HRNLPZF3O2NNCPK&amp;search_session_id=7615457725783031846&amp;possessStarId</t>
        </is>
      </c>
      <c r="H286" s="18" t="inlineStr">
        <is>
          <t>https://www.douyin.com/user/MS4wLjABAAAAsvKZAG9tg8xDWUM7kYrWLBjCK9xzFPoY5mHwGl2nd4Na-EHLIOqis9AKbu5RITbY</t>
        </is>
      </c>
      <c r="I286" s="18" t="inlineStr">
        <is>
          <t>ximihaozhai</t>
        </is>
      </c>
      <c r="J286" s="18" t="inlineStr">
        <is>
          <t>家居</t>
        </is>
      </c>
      <c r="K286" s="18" t="inlineStr">
        <is>
          <t>腰部</t>
        </is>
      </c>
      <c r="L286" s="18" t="n">
        <v>98</v>
      </c>
      <c r="M286" s="18" t="inlineStr">
        <is>
          <t>2000-20000</t>
        </is>
      </c>
      <c r="N286" s="18" t="inlineStr">
        <is>
          <t>新锐白领
小镇青年
Z世代</t>
        </is>
      </c>
      <c r="O286" s="21" t="n">
        <v>0.52</v>
      </c>
      <c r="P286" s="18" t="n">
        <v>3730000</v>
      </c>
      <c r="Q286" s="18">
        <f>SUM(Z286*1.05)</f>
        <v/>
      </c>
      <c r="R286" s="20">
        <f>Z286/(AB286+AD286+AC286)</f>
        <v/>
      </c>
      <c r="S286" s="18" t="inlineStr">
        <is>
          <t>视频</t>
        </is>
      </c>
      <c r="T286" s="21" t="n">
        <v>0.53</v>
      </c>
      <c r="U286" s="21" t="n">
        <v>0.34</v>
      </c>
      <c r="V286" s="21" t="n">
        <v>0.44</v>
      </c>
      <c r="W286" s="21" t="n">
        <v>0.02</v>
      </c>
      <c r="X286" s="18" t="n"/>
      <c r="Y286" s="18" t="n"/>
      <c r="Z286" s="18" t="n">
        <v>59800</v>
      </c>
      <c r="AA286" s="154">
        <f>SUM((Z286/P286)*1000)</f>
        <v/>
      </c>
      <c r="AB286" s="18" t="n">
        <v>60000</v>
      </c>
      <c r="AC286" s="18" t="n">
        <v>954</v>
      </c>
      <c r="AD286" s="18" t="n">
        <v>12000</v>
      </c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</row>
    <row r="287">
      <c r="A287" s="17" t="n">
        <v>46098</v>
      </c>
      <c r="B287" s="18" t="n"/>
      <c r="C287" s="18" t="n"/>
      <c r="D287" s="18" t="inlineStr">
        <is>
          <t>品牌</t>
        </is>
      </c>
      <c r="E287" s="32" t="inlineStr">
        <is>
          <t>家居环境好，数据好</t>
        </is>
      </c>
      <c r="F287" s="18" t="inlineStr">
        <is>
          <t>徐志麻手.</t>
        </is>
      </c>
      <c r="G287" s="18" t="inlineStr">
        <is>
          <t>https://www.xingtu.cn/ad/creator/author-homepage/douyin-video/6870163502879735815?market_track_id=7XTIV3268V2E8E5IT2EH&amp;search_session_id=7615463195943927858&amp;possessStarId</t>
        </is>
      </c>
      <c r="H287" s="18" t="inlineStr">
        <is>
          <t>https://www.douyin.com/user/MS4wLjABAAAATWFDIem4wHJK5WvRisrwahjXdK1bD_lsJ6ptOhWcZ24</t>
        </is>
      </c>
      <c r="I287" s="18" t="inlineStr">
        <is>
          <t>xuzhimo891021</t>
        </is>
      </c>
      <c r="J287" s="18" t="inlineStr">
        <is>
          <t>家居</t>
        </is>
      </c>
      <c r="K287" s="18" t="inlineStr">
        <is>
          <t>尾部</t>
        </is>
      </c>
      <c r="L287" s="18" t="n">
        <v>49</v>
      </c>
      <c r="M287" s="18" t="inlineStr">
        <is>
          <t>150-2000</t>
        </is>
      </c>
      <c r="N287" s="18" t="inlineStr">
        <is>
          <t>新锐白领
小镇青年
精致妈妈</t>
        </is>
      </c>
      <c r="O287" s="21" t="n">
        <v>0.42</v>
      </c>
      <c r="P287" s="18" t="n">
        <v>1607000</v>
      </c>
      <c r="Q287" s="18">
        <f>SUM(Z287*1.05)</f>
        <v/>
      </c>
      <c r="R287" s="20">
        <f>Z287/(AB287+AD287+AC287)</f>
        <v/>
      </c>
      <c r="S287" s="18" t="inlineStr">
        <is>
          <t>视频</t>
        </is>
      </c>
      <c r="T287" s="21" t="n">
        <v>0.6899999999999999</v>
      </c>
      <c r="U287" s="21" t="n">
        <v>0.34</v>
      </c>
      <c r="V287" s="21" t="n">
        <v>0.29</v>
      </c>
      <c r="W287" s="21" t="n">
        <v>0.06</v>
      </c>
      <c r="X287" s="18" t="n"/>
      <c r="Y287" s="18" t="n"/>
      <c r="Z287" s="18" t="n">
        <v>35000</v>
      </c>
      <c r="AA287" s="154">
        <f>SUM((Z287/P287)*1000)</f>
        <v/>
      </c>
      <c r="AB287" s="18" t="n">
        <v>18000</v>
      </c>
      <c r="AC287" s="18" t="n">
        <v>1922</v>
      </c>
      <c r="AD287" s="18" t="n">
        <v>29000</v>
      </c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</row>
    <row r="288" ht="24.75" customHeight="1" s="151">
      <c r="A288" s="17" t="n">
        <v>46098</v>
      </c>
      <c r="B288" s="18" t="n"/>
      <c r="C288" s="18" t="n"/>
      <c r="D288" s="18" t="inlineStr">
        <is>
          <t>品牌</t>
        </is>
      </c>
      <c r="E288" s="32" t="inlineStr">
        <is>
          <t>女粉精妈占比高，家庭生活场景适配</t>
        </is>
      </c>
      <c r="F288" s="18" t="inlineStr">
        <is>
          <t>楠总 不难</t>
        </is>
      </c>
      <c r="G288" s="18" t="inlineStr">
        <is>
          <t>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</t>
        </is>
      </c>
      <c r="H288" s="18" t="inlineStr">
        <is>
          <t>https://www.douyin.com/user/MS4wLjABAAAAM4M_uFNMnF9oxKUijqSgLnZwdSfbwLLszK-PJtgkQBRvZR__1-beUO8IJ95OBySo</t>
        </is>
      </c>
      <c r="I288" s="18" t="inlineStr">
        <is>
          <t>Zqn_9623</t>
        </is>
      </c>
      <c r="J288" s="18" t="inlineStr">
        <is>
          <t>家居</t>
        </is>
      </c>
      <c r="K288" s="18" t="inlineStr">
        <is>
          <t>尾部</t>
        </is>
      </c>
      <c r="L288" s="18" t="n">
        <v>43</v>
      </c>
      <c r="M288" s="18" t="inlineStr">
        <is>
          <t>20000-100000</t>
        </is>
      </c>
      <c r="N288" s="18" t="inlineStr">
        <is>
          <t>小镇青年
新锐白领
精致妈妈</t>
        </is>
      </c>
      <c r="O288" s="35" t="n">
        <v>0.485</v>
      </c>
      <c r="P288" s="18" t="n">
        <v>866000</v>
      </c>
      <c r="Q288" s="18">
        <f>SUM(Z288*1.05)</f>
        <v/>
      </c>
      <c r="R288" s="20">
        <f>Z288/(AB288+AD288+AC288)</f>
        <v/>
      </c>
      <c r="S288" s="18" t="inlineStr">
        <is>
          <t>视频</t>
        </is>
      </c>
      <c r="T288" s="21" t="n">
        <v>0.85</v>
      </c>
      <c r="U288" s="21" t="n">
        <v>0.31</v>
      </c>
      <c r="V288" s="21" t="n">
        <v>0.4</v>
      </c>
      <c r="W288" s="21" t="n">
        <v>0.11</v>
      </c>
      <c r="X288" s="18" t="n"/>
      <c r="Y288" s="18" t="n"/>
      <c r="Z288" s="18" t="n">
        <v>26800</v>
      </c>
      <c r="AA288" s="154">
        <f>SUM((Z288/P288)*1000)</f>
        <v/>
      </c>
      <c r="AB288" s="18" t="n">
        <v>10000</v>
      </c>
      <c r="AC288" s="18" t="n">
        <v>240</v>
      </c>
      <c r="AD288" s="18" t="n">
        <v>178</v>
      </c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</row>
    <row r="289">
      <c r="A289" s="17" t="n">
        <v>46098</v>
      </c>
      <c r="B289" s="18" t="n"/>
      <c r="C289" s="18" t="n"/>
      <c r="D289" s="18" t="inlineStr">
        <is>
          <t>品牌</t>
        </is>
      </c>
      <c r="E289" s="32" t="inlineStr">
        <is>
          <t>家庭场景多，家居装修高级</t>
        </is>
      </c>
      <c r="F289" s="18" t="inlineStr">
        <is>
          <t>代子盐妍-</t>
        </is>
      </c>
      <c r="G289" s="18" t="inlineStr">
        <is>
          <t>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</t>
        </is>
      </c>
      <c r="H289" s="18" t="inlineStr">
        <is>
          <t>https://www.douyin.com/user/MS4wLjABAAAA3ZS7aZGPmGiN_PLYTTftyWefff6Dcn2cMd0OPg2JNak</t>
        </is>
      </c>
      <c r="I289" s="18" t="inlineStr">
        <is>
          <t>Yiiauu_0814d</t>
        </is>
      </c>
      <c r="J289" s="18" t="inlineStr">
        <is>
          <t>家居</t>
        </is>
      </c>
      <c r="K289" s="18" t="inlineStr">
        <is>
          <t>尾部</t>
        </is>
      </c>
      <c r="L289" s="18" t="n">
        <v>24</v>
      </c>
      <c r="M289" s="18" t="inlineStr">
        <is>
          <t>20000-100000</t>
        </is>
      </c>
      <c r="N289" s="18" t="inlineStr">
        <is>
          <t>小镇青年
精致妈妈
都市蓝领</t>
        </is>
      </c>
      <c r="O289" s="21" t="n">
        <v>0.41</v>
      </c>
      <c r="P289" s="18" t="n">
        <v>790000</v>
      </c>
      <c r="Q289" s="18">
        <f>SUM(Z289*1.05)</f>
        <v/>
      </c>
      <c r="R289" s="20">
        <f>Z289/(AB289+AD289+AC289)</f>
        <v/>
      </c>
      <c r="S289" s="18" t="inlineStr">
        <is>
          <t>视频</t>
        </is>
      </c>
      <c r="T289" s="21" t="n">
        <v>0.8100000000000001</v>
      </c>
      <c r="U289" s="21" t="n">
        <v>0.28</v>
      </c>
      <c r="V289" s="21" t="n">
        <v>0.49</v>
      </c>
      <c r="W289" s="21" t="n">
        <v>0.08</v>
      </c>
      <c r="X289" s="18" t="n"/>
      <c r="Y289" s="18" t="n"/>
      <c r="Z289" s="18" t="n">
        <v>27000</v>
      </c>
      <c r="AA289" s="154">
        <f>SUM((Z289/P289)*1000)</f>
        <v/>
      </c>
      <c r="AB289" s="18" t="n">
        <v>14000</v>
      </c>
      <c r="AC289" s="18" t="n">
        <v>223</v>
      </c>
      <c r="AD289" s="18" t="n">
        <v>320</v>
      </c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</row>
    <row r="290">
      <c r="A290" s="17" t="n">
        <v>46098</v>
      </c>
      <c r="B290" s="18" t="n"/>
      <c r="C290" s="18" t="n"/>
      <c r="D290" s="18" t="inlineStr">
        <is>
          <t>品牌</t>
        </is>
      </c>
      <c r="E290" s="32" t="inlineStr">
        <is>
          <t xml:space="preserve"> 🏠杭州郊区147平上叠改造ing</t>
        </is>
      </c>
      <c r="F290" s="18" t="inlineStr">
        <is>
          <t>阿福你在干什么 🏠</t>
        </is>
      </c>
      <c r="G290" s="18" t="inlineStr">
        <is>
          <t>https://www.xingtu.cn/ad/creator/author-homepage/douyin-video/7443044824921407538?market_track_id=OTDIBZQ2VDQKJ5MLUFVC&amp;search_session_id=7615830546245566491&amp;possessStarId</t>
        </is>
      </c>
      <c r="H290" s="18" t="inlineStr">
        <is>
          <t>https://www.douyin.com/user/MS4wLjABAAAAU1CIlkZD-ncNht3DJ2gyjpQMbJA8cuxm85PhmuFBlH_Xuege6EKfHP7JJ1ejcU0i</t>
        </is>
      </c>
      <c r="I290" s="18" t="inlineStr">
        <is>
          <t>L1129888888</t>
        </is>
      </c>
      <c r="J290" s="32" t="inlineStr">
        <is>
          <t>家居</t>
        </is>
      </c>
      <c r="K290" s="18" t="inlineStr">
        <is>
          <t>腰部</t>
        </is>
      </c>
      <c r="L290" s="18" t="n">
        <v>117</v>
      </c>
      <c r="M290" s="18" t="inlineStr">
        <is>
          <t>2000-20000</t>
        </is>
      </c>
      <c r="N290" s="18" t="inlineStr">
        <is>
          <t>新锐白领
小镇青年
精致妈妈</t>
        </is>
      </c>
      <c r="O290" s="21" t="n">
        <v>0.54</v>
      </c>
      <c r="P290" s="18" t="n">
        <v>1630000</v>
      </c>
      <c r="Q290" s="18">
        <f>SUM(Z290*1.05)</f>
        <v/>
      </c>
      <c r="R290" s="20">
        <f>Z290/(AB290+AD290+AC290)</f>
        <v/>
      </c>
      <c r="S290" s="18" t="inlineStr">
        <is>
          <t>视频</t>
        </is>
      </c>
      <c r="T290" s="21" t="n">
        <v>0.57</v>
      </c>
      <c r="U290" s="21" t="n">
        <v>0.47</v>
      </c>
      <c r="V290" s="21" t="n">
        <v>0.33</v>
      </c>
      <c r="W290" s="21" t="n">
        <v>0.01</v>
      </c>
      <c r="X290" s="18" t="n"/>
      <c r="Y290" s="18" t="n"/>
      <c r="Z290" s="18" t="n">
        <v>45000</v>
      </c>
      <c r="AA290" s="154">
        <f>SUM((Z290/P290)*1000)</f>
        <v/>
      </c>
      <c r="AB290" s="22" t="n">
        <v>9183</v>
      </c>
      <c r="AC290" s="18" t="n">
        <v>326</v>
      </c>
      <c r="AD290" s="18" t="n">
        <v>323</v>
      </c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</row>
    <row r="291">
      <c r="A291" s="71" t="n">
        <v>46098</v>
      </c>
      <c r="B291" s="37" t="n"/>
      <c r="C291" s="37" t="n"/>
      <c r="D291" s="37" t="inlineStr">
        <is>
          <t>品牌</t>
        </is>
      </c>
      <c r="E291" s="38" t="inlineStr">
        <is>
          <t>A3指数和精致妈妈占比高</t>
        </is>
      </c>
      <c r="F291" s="37" t="inlineStr">
        <is>
          <t>有福的方慧珍</t>
        </is>
      </c>
      <c r="G291" s="37" t="inlineStr">
        <is>
          <t>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</t>
        </is>
      </c>
      <c r="H291" s="37" t="inlineStr">
        <is>
          <t>https://www.douyin.com/user/MS4wLjABAAAAIOpleKo7Lc3cla1Wa0km2Zx-rz5yHAufN_c36E1LY6M</t>
        </is>
      </c>
      <c r="I291" s="37" t="n">
        <v>31570523440</v>
      </c>
      <c r="J291" s="37" t="inlineStr">
        <is>
          <t>美食</t>
        </is>
      </c>
      <c r="K291" s="37" t="inlineStr">
        <is>
          <t>腰部</t>
        </is>
      </c>
      <c r="L291" s="37" t="n">
        <v>68</v>
      </c>
      <c r="M291" s="37" t="inlineStr">
        <is>
          <t>100000+</t>
        </is>
      </c>
      <c r="N291" s="37" t="inlineStr">
        <is>
          <t>新锐白领
精致妈妈
小镇青年</t>
        </is>
      </c>
      <c r="O291" s="41" t="n">
        <v>0.52</v>
      </c>
      <c r="P291" s="37" t="n">
        <v>1169000</v>
      </c>
      <c r="Q291" s="37">
        <f>SUM(Z291*1.05)</f>
        <v/>
      </c>
      <c r="R291" s="40">
        <f>Z291/(AB291+AD291+AC291)</f>
        <v/>
      </c>
      <c r="S291" s="37" t="inlineStr">
        <is>
          <t>视频</t>
        </is>
      </c>
      <c r="T291" s="41" t="n">
        <v>0.78</v>
      </c>
      <c r="U291" s="41" t="n">
        <v>0.4</v>
      </c>
      <c r="V291" s="41" t="n">
        <v>0.38</v>
      </c>
      <c r="W291" s="41" t="n">
        <v>0.06</v>
      </c>
      <c r="X291" s="37" t="n"/>
      <c r="Y291" s="37" t="n"/>
      <c r="Z291" s="37" t="n">
        <v>60000</v>
      </c>
      <c r="AA291" s="157">
        <f>SUM((Z291/P291)*1000)</f>
        <v/>
      </c>
      <c r="AB291" s="37" t="n">
        <v>19000</v>
      </c>
      <c r="AC291" s="37" t="n">
        <v>1073</v>
      </c>
      <c r="AD291" s="37" t="n">
        <v>2754</v>
      </c>
      <c r="AE291" s="37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43" t="n"/>
      <c r="AR291" s="43" t="n"/>
    </row>
    <row r="292">
      <c r="G292" s="7" t="n"/>
      <c r="H292" s="7" t="n"/>
      <c r="Q292" s="18">
        <f>SUM(Z292*1.05)</f>
        <v/>
      </c>
      <c r="R292" s="20">
        <f>Z292/(AB292+AD292+AC292)</f>
        <v/>
      </c>
      <c r="S292" s="18" t="inlineStr">
        <is>
          <t>视频</t>
        </is>
      </c>
      <c r="AA292" s="154">
        <f>SUM((Z292/P292)*1000)</f>
        <v/>
      </c>
    </row>
    <row r="293" ht="24.75" customHeight="1" s="151">
      <c r="A293" s="17" t="n">
        <v>46098</v>
      </c>
      <c r="B293" s="18" t="n"/>
      <c r="C293" s="18" t="n"/>
      <c r="D293" s="18" t="inlineStr">
        <is>
          <t>电商</t>
        </is>
      </c>
      <c r="E293" s="32" t="inlineStr">
        <is>
          <t>拥有150平轻奢大平层，多款家居植入经验丰富</t>
        </is>
      </c>
      <c r="F293" s="18" t="inlineStr">
        <is>
          <t>爱笑露娜</t>
        </is>
      </c>
      <c r="G293" s="18" t="inlineStr">
        <is>
          <t>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</t>
        </is>
      </c>
      <c r="H293" s="18" t="inlineStr">
        <is>
          <t>https://www.douyin.com/user/MS4wLjABAAAAxXgHKJ1FHUF1zt6f9FXSjPzFf_sN29TLoQs8UBWRxHI</t>
        </is>
      </c>
      <c r="I293" s="18" t="inlineStr">
        <is>
          <t>lunar520668</t>
        </is>
      </c>
      <c r="J293" s="18" t="inlineStr">
        <is>
          <t>生活</t>
        </is>
      </c>
      <c r="K293" s="18" t="inlineStr">
        <is>
          <t>腰部</t>
        </is>
      </c>
      <c r="L293" s="18" t="n">
        <v>152</v>
      </c>
      <c r="M293" s="18" t="inlineStr">
        <is>
          <t>2000-20000</t>
        </is>
      </c>
      <c r="N293" s="18" t="inlineStr">
        <is>
          <t>新锐白领
小镇青年
精致妈妈</t>
        </is>
      </c>
      <c r="O293" s="21" t="n">
        <v>0.44</v>
      </c>
      <c r="P293" s="18" t="n">
        <v>662000</v>
      </c>
      <c r="Q293" s="18">
        <f>SUM(Z293*1.05)</f>
        <v/>
      </c>
      <c r="R293" s="20">
        <f>Z293/(AB293+AD293+AC293)</f>
        <v/>
      </c>
      <c r="S293" s="18" t="inlineStr">
        <is>
          <t>视频</t>
        </is>
      </c>
      <c r="T293" s="21" t="n">
        <v>0.76</v>
      </c>
      <c r="U293" s="21" t="n">
        <v>0.29</v>
      </c>
      <c r="V293" s="21" t="n">
        <v>0.34</v>
      </c>
      <c r="W293" s="21" t="n">
        <v>0.1</v>
      </c>
      <c r="X293" s="18" t="n"/>
      <c r="Y293" s="18" t="n"/>
      <c r="Z293" s="18" t="n">
        <v>65000</v>
      </c>
      <c r="AA293" s="154">
        <f>SUM((Z293/P293)*1000)</f>
        <v/>
      </c>
      <c r="AB293" s="18" t="n">
        <v>20000</v>
      </c>
      <c r="AC293" s="18" t="n">
        <v>249</v>
      </c>
      <c r="AD293" s="18" t="n">
        <v>473</v>
      </c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</row>
    <row r="294">
      <c r="A294" s="17" t="n">
        <v>46098</v>
      </c>
      <c r="B294" s="18" t="n"/>
      <c r="C294" s="18" t="n"/>
      <c r="D294" s="18" t="inlineStr">
        <is>
          <t>电商</t>
        </is>
      </c>
      <c r="E294" s="32" t="inlineStr">
        <is>
          <t>奶油风装修，专业家居博主</t>
        </is>
      </c>
      <c r="F294" s="18" t="inlineStr">
        <is>
          <t>mona宅家中-</t>
        </is>
      </c>
      <c r="G294" s="18" t="inlineStr">
        <is>
          <t>https://www.xingtu.cn/ad/creator/author-homepage/douyin-video/6870161635978248200?market_track_id=T3F09RSZB5J532D966YC&amp;search_session_id=7613305670808518694&amp;possessStarId</t>
        </is>
      </c>
      <c r="H294" s="18" t="inlineStr">
        <is>
          <t>https://www.douyin.com/user/MS4wLjABAAAAqvZxAHFLfL78cSnQE4ryO2MVRIV7Js0d30t7HrghwW8</t>
        </is>
      </c>
      <c r="I294" s="18" t="inlineStr">
        <is>
          <t>mona21666</t>
        </is>
      </c>
      <c r="J294" s="18" t="inlineStr">
        <is>
          <t>家居</t>
        </is>
      </c>
      <c r="K294" s="18" t="inlineStr">
        <is>
          <t>尾部</t>
        </is>
      </c>
      <c r="L294" s="18" t="n">
        <v>35</v>
      </c>
      <c r="M294" s="18" t="inlineStr">
        <is>
          <t>近一个月未发布商单</t>
        </is>
      </c>
      <c r="N294" s="18" t="inlineStr">
        <is>
          <t>新锐白领
精致妈妈
小镇青年</t>
        </is>
      </c>
      <c r="O294" s="35" t="n">
        <v>0.835</v>
      </c>
      <c r="P294" s="18" t="n">
        <v>1391000</v>
      </c>
      <c r="Q294" s="18">
        <f>SUM(Z294*1.05)</f>
        <v/>
      </c>
      <c r="R294" s="20">
        <f>Z294/(AB294+AD294+AC294)</f>
        <v/>
      </c>
      <c r="S294" s="18" t="inlineStr">
        <is>
          <t>视频</t>
        </is>
      </c>
      <c r="T294" s="21" t="n">
        <v>0.8100000000000001</v>
      </c>
      <c r="U294" s="18" t="n">
        <v>395</v>
      </c>
      <c r="V294" s="21" t="n">
        <v>0.52</v>
      </c>
      <c r="W294" s="21" t="n">
        <v>0.03</v>
      </c>
      <c r="X294" s="21" t="n"/>
      <c r="Y294" s="21" t="n"/>
      <c r="Z294" s="18" t="n">
        <v>39000</v>
      </c>
      <c r="AA294" s="154">
        <f>SUM((Z294/P294)*1000)</f>
        <v/>
      </c>
      <c r="AB294" s="18" t="n">
        <v>4068</v>
      </c>
      <c r="AC294" s="18" t="n">
        <v>132</v>
      </c>
      <c r="AD294" s="18" t="n">
        <v>185</v>
      </c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</row>
    <row r="295" ht="37.9" customHeight="1" s="151">
      <c r="A295" s="17" t="n">
        <v>46098</v>
      </c>
      <c r="B295" s="18" t="n"/>
      <c r="C295" s="18" t="n"/>
      <c r="D295" s="18" t="inlineStr">
        <is>
          <t>电商</t>
        </is>
      </c>
      <c r="E295" s="32" t="inlineStr">
        <is>
          <t>海尔爆款商单：https://www.douyin.com/video/7600647445030203761</t>
        </is>
      </c>
      <c r="F295" s="18" t="inlineStr">
        <is>
          <t>钿哥来了.</t>
        </is>
      </c>
      <c r="G295" s="18" t="inlineStr">
        <is>
          <t>https://www.xingtu.cn/ad/creator/author-homepage/douyin-video/7182410758330777604?market_track_id=SN20ND2FZ5FPJEXN7S4E&amp;search_session_id=7616674203077050419&amp;possessStarId</t>
        </is>
      </c>
      <c r="H295" s="18" t="inlineStr">
        <is>
          <t>https://www.douyin.com/user/MS4wLjABAAAAaAcfvEDWUh_xE5kJu4lV_8C45iIPdOKMq73eysmfdlE</t>
        </is>
      </c>
      <c r="I295" s="18" t="inlineStr">
        <is>
          <t>tiangelaile</t>
        </is>
      </c>
      <c r="J295" s="18" t="inlineStr">
        <is>
          <t>生活</t>
        </is>
      </c>
      <c r="K295" s="18" t="inlineStr">
        <is>
          <t>腰部</t>
        </is>
      </c>
      <c r="L295" s="18" t="n">
        <v>108</v>
      </c>
      <c r="M295" s="18" t="inlineStr">
        <is>
          <t>100000+</t>
        </is>
      </c>
      <c r="N295" s="18" t="inlineStr">
        <is>
          <t>新锐白领
小镇青年
Z世代</t>
        </is>
      </c>
      <c r="O295" s="21" t="n">
        <v>0.52</v>
      </c>
      <c r="P295" s="18" t="n">
        <v>2739000</v>
      </c>
      <c r="Q295" s="18">
        <f>SUM(Z295*1.05)</f>
        <v/>
      </c>
      <c r="R295" s="20">
        <f>Z295/(AB295+AD295+AC295)</f>
        <v/>
      </c>
      <c r="S295" s="18" t="inlineStr">
        <is>
          <t>视频</t>
        </is>
      </c>
      <c r="T295" s="21" t="n">
        <v>0.32</v>
      </c>
      <c r="U295" s="21" t="n">
        <v>0.35</v>
      </c>
      <c r="V295" s="21" t="n">
        <v>0.37</v>
      </c>
      <c r="W295" s="21" t="n">
        <v>0.04</v>
      </c>
      <c r="X295" s="18" t="n"/>
      <c r="Y295" s="18" t="n"/>
      <c r="Z295" s="18" t="n">
        <v>114800</v>
      </c>
      <c r="AA295" s="154">
        <f>SUM((Z295/P295)*1000)</f>
        <v/>
      </c>
      <c r="AB295" s="18" t="n">
        <v>57000</v>
      </c>
      <c r="AC295" s="18" t="n">
        <v>1485</v>
      </c>
      <c r="AD295" s="18" t="n">
        <v>8613</v>
      </c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</row>
    <row r="296" ht="50.25" customHeight="1" s="151">
      <c r="A296" s="17" t="n">
        <v>46098</v>
      </c>
      <c r="B296" s="18" t="n"/>
      <c r="C296" s="18" t="n"/>
      <c r="D296" s="18" t="inlineStr">
        <is>
          <t>电商</t>
        </is>
      </c>
      <c r="E296" s="32" t="inlineStr">
        <is>
          <t>商单均过千万播放，近期有大家电商单爆款，https://www.douyin.com/video/7598388485124634011</t>
        </is>
      </c>
      <c r="F296" s="18" t="inlineStr">
        <is>
          <t>明 天谁做东</t>
        </is>
      </c>
      <c r="G296" s="18" t="inlineStr">
        <is>
          <t>https://www.xingtu.cn/ad/creator/author-homepage/douyin-video/7063710781757456420?market_track_id=7V09FBZRNDM9257H8QCX&amp;search_session_id=7616651184430776347&amp;possessStarId</t>
        </is>
      </c>
      <c r="H296" s="18" t="inlineStr">
        <is>
          <t>https://www.douyin.com/user/MS4wLjABAAAA_M5dOMrn_OJDEseTF8rBFm1WGT0v25Vg0uvTyJDKlqVgxS5sPN2S6ZZX8LlIquSo</t>
        </is>
      </c>
      <c r="I296" s="18" t="n">
        <v>48575645444</v>
      </c>
      <c r="J296" s="18" t="inlineStr">
        <is>
          <t>美食</t>
        </is>
      </c>
      <c r="K296" s="18" t="inlineStr">
        <is>
          <t>头部</t>
        </is>
      </c>
      <c r="L296" s="18" t="n">
        <v>803</v>
      </c>
      <c r="M296" s="18" t="inlineStr">
        <is>
          <t>100000+</t>
        </is>
      </c>
      <c r="N296" s="18" t="inlineStr">
        <is>
          <t>小镇青年
新锐白领
Z世代</t>
        </is>
      </c>
      <c r="O296" s="21" t="n">
        <v>0.36</v>
      </c>
      <c r="P296" s="18" t="n">
        <v>13925000</v>
      </c>
      <c r="Q296" s="18">
        <f>SUM(Z296*1.05)</f>
        <v/>
      </c>
      <c r="R296" s="20">
        <f>Z296/(AB296+AD296+AC296)</f>
        <v/>
      </c>
      <c r="S296" s="18" t="inlineStr">
        <is>
          <t>视频</t>
        </is>
      </c>
      <c r="T296" s="21" t="n">
        <v>0.49</v>
      </c>
      <c r="U296" s="21" t="n">
        <v>0.3</v>
      </c>
      <c r="V296" s="21" t="n">
        <v>0.35</v>
      </c>
      <c r="W296" s="21" t="n">
        <v>0.09</v>
      </c>
      <c r="X296" s="18" t="n"/>
      <c r="Y296" s="18" t="n"/>
      <c r="Z296" s="18" t="n">
        <v>150000</v>
      </c>
      <c r="AA296" s="154">
        <f>SUM((Z296/P296)*1000)</f>
        <v/>
      </c>
      <c r="AB296" s="18" t="n">
        <v>332000</v>
      </c>
      <c r="AC296" s="18" t="n">
        <v>3920</v>
      </c>
      <c r="AD296" s="18" t="n">
        <v>62000</v>
      </c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</row>
    <row r="297" ht="37.9" customHeight="1" s="151">
      <c r="A297" s="17" t="n">
        <v>46098</v>
      </c>
      <c r="B297" s="18" t="n"/>
      <c r="C297" s="18" t="n"/>
      <c r="D297" s="18" t="inlineStr">
        <is>
          <t>电商</t>
        </is>
      </c>
      <c r="E297" s="32" t="inlineStr">
        <is>
          <t>西门子爆款商单：https://www.douyin.com/video/7599919494719251035</t>
        </is>
      </c>
      <c r="F297" s="18" t="inlineStr">
        <is>
          <t>在逃的许师傅</t>
        </is>
      </c>
      <c r="G297" s="18" t="inlineStr">
        <is>
          <t>https://www.xingtu.cn/ad/creator/author-homepage/douyin-video/7237693402249494560?market_track_id=N4PBRHV2K7PCWJ3T3MBY&amp;search_session_id=7616667428616962086&amp;possessStarId</t>
        </is>
      </c>
      <c r="H297" s="18" t="inlineStr">
        <is>
          <t>https://www.douyin.com/user/MS4wLjABAAAA9YU4u9kZcGzGzr0ca4sT4-aDqkN8Pm4sEaS2jfEZGJU7raTBd3TsTI36FaCmgctp</t>
        </is>
      </c>
      <c r="I297" s="18" t="n">
        <v>45999744020</v>
      </c>
      <c r="J297" s="18" t="inlineStr">
        <is>
          <t>家居</t>
        </is>
      </c>
      <c r="K297" s="18" t="inlineStr">
        <is>
          <t>腰部</t>
        </is>
      </c>
      <c r="L297" s="18" t="n">
        <v>93</v>
      </c>
      <c r="M297" s="18" t="inlineStr">
        <is>
          <t>2000-20000</t>
        </is>
      </c>
      <c r="N297" s="18" t="inlineStr">
        <is>
          <t>都市蓝领
新锐白领
小镇青年</t>
        </is>
      </c>
      <c r="O297" s="21" t="n">
        <v>0.35</v>
      </c>
      <c r="P297" s="18" t="n">
        <v>1975000</v>
      </c>
      <c r="Q297" s="18">
        <f>SUM(Z297*1.05)</f>
        <v/>
      </c>
      <c r="R297" s="20">
        <f>Z297/(AB297+AD297+AC297)</f>
        <v/>
      </c>
      <c r="S297" s="18" t="inlineStr">
        <is>
          <t>视频</t>
        </is>
      </c>
      <c r="T297" s="21" t="n">
        <v>0.7</v>
      </c>
      <c r="U297" s="21" t="n">
        <v>0.32</v>
      </c>
      <c r="V297" s="21" t="n">
        <v>0.43</v>
      </c>
      <c r="W297" s="21" t="n">
        <v>0.03</v>
      </c>
      <c r="X297" s="18" t="n"/>
      <c r="Y297" s="18" t="n"/>
      <c r="Z297" s="18" t="n">
        <v>90000</v>
      </c>
      <c r="AA297" s="154">
        <f>SUM((Z297/P297)*1000)</f>
        <v/>
      </c>
      <c r="AB297" s="18" t="n">
        <v>45000</v>
      </c>
      <c r="AC297" s="22" t="n">
        <v>2249</v>
      </c>
      <c r="AD297" s="18" t="n">
        <v>1028</v>
      </c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</row>
    <row r="298">
      <c r="A298" s="17" t="n">
        <v>46098</v>
      </c>
      <c r="B298" s="18" t="n"/>
      <c r="C298" s="18" t="n"/>
      <c r="D298" s="18" t="inlineStr">
        <is>
          <t>电商</t>
        </is>
      </c>
      <c r="E298" s="32" t="inlineStr">
        <is>
          <t>画像适配，粉丝购买力强</t>
        </is>
      </c>
      <c r="F298" s="18" t="inlineStr">
        <is>
          <t>-华灯初上</t>
        </is>
      </c>
      <c r="G298" s="18" t="inlineStr">
        <is>
          <t>https://www.xingtu.cn/ad/creator/author-homepage/douyin-video/7235217904738926596?market_track_id=2KVOMPJN4QSG01E4YUAX&amp;search_session_id=7613672629345452082&amp;possessStarId</t>
        </is>
      </c>
      <c r="H298" s="18" t="inlineStr">
        <is>
          <t>https://www.douyin.com/user/MS4wLjABAAAAtR50iDXDnqRgvZGtkakkoNhbJvAL145MBUi55rnGd4CooXaFwC5zmcfTfPJctKY9</t>
        </is>
      </c>
      <c r="I298" s="18" t="inlineStr">
        <is>
          <t>Luoxh202006</t>
        </is>
      </c>
      <c r="J298" s="18" t="inlineStr">
        <is>
          <t>家居</t>
        </is>
      </c>
      <c r="K298" s="18" t="inlineStr">
        <is>
          <t>尾部</t>
        </is>
      </c>
      <c r="L298" s="18" t="n">
        <v>18</v>
      </c>
      <c r="M298" s="18" t="inlineStr">
        <is>
          <t>2000-20000</t>
        </is>
      </c>
      <c r="N298" s="18" t="inlineStr">
        <is>
          <t>资深中产
都市银发
精致妈妈</t>
        </is>
      </c>
      <c r="O298" s="21" t="n">
        <v>0.51</v>
      </c>
      <c r="P298" s="18" t="n">
        <v>352000</v>
      </c>
      <c r="Q298" s="18">
        <f>SUM(Z298*1.05)</f>
        <v/>
      </c>
      <c r="R298" s="20">
        <f>Z298/(AB298+AD298+AC298)</f>
        <v/>
      </c>
      <c r="S298" s="18" t="inlineStr">
        <is>
          <t>视频</t>
        </is>
      </c>
      <c r="T298" s="21" t="n">
        <v>0.86</v>
      </c>
      <c r="U298" s="21" t="n">
        <v>0.1</v>
      </c>
      <c r="V298" s="21" t="n">
        <v>0.4</v>
      </c>
      <c r="W298" s="21" t="n">
        <v>0.32</v>
      </c>
      <c r="X298" s="18" t="n"/>
      <c r="Y298" s="18" t="n"/>
      <c r="Z298" s="18" t="n">
        <v>40000</v>
      </c>
      <c r="AA298" s="154">
        <f>SUM((Z298/P298)*1000)</f>
        <v/>
      </c>
      <c r="AB298" s="22" t="n">
        <v>9748</v>
      </c>
      <c r="AC298" s="18" t="n">
        <v>464</v>
      </c>
      <c r="AD298" s="18" t="n">
        <v>2126</v>
      </c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</row>
    <row r="299">
      <c r="A299" s="17" t="n">
        <v>46098</v>
      </c>
      <c r="B299" s="18" t="n"/>
      <c r="C299" s="18" t="n"/>
      <c r="D299" s="18" t="inlineStr">
        <is>
          <t>电商</t>
        </is>
      </c>
      <c r="E299" s="32" t="inlineStr">
        <is>
          <t xml:space="preserve">300平花园大平层 </t>
        </is>
      </c>
      <c r="F299" s="18" t="inlineStr">
        <is>
          <t>曹千语 Anmi</t>
        </is>
      </c>
      <c r="G299" s="18" t="inlineStr">
        <is>
          <t>https://www.xingtu.cn/ad/creator/author-homepage/douyin-video/6985112676447813673?market_track_id=L6OVDUJQ4O614ZL9TH2Q&amp;search_session_id=7614030191970631707&amp;possessStarId</t>
        </is>
      </c>
      <c r="H299" s="18" t="inlineStr">
        <is>
          <t>https://www.douyin.com/user/MS4wLjABAAAAxY1B2wXgRFIM56Dgmq6l5LbbLyZkVzxrwerDc-nkWz8</t>
        </is>
      </c>
      <c r="I299" s="18" t="n">
        <v>3794079</v>
      </c>
      <c r="J299" s="18" t="inlineStr">
        <is>
          <t>家居</t>
        </is>
      </c>
      <c r="K299" s="18" t="inlineStr">
        <is>
          <t>腰部</t>
        </is>
      </c>
      <c r="L299" s="18" t="n">
        <v>68</v>
      </c>
      <c r="M299" s="18" t="inlineStr">
        <is>
          <t>2000-20000</t>
        </is>
      </c>
      <c r="N299" s="18" t="inlineStr">
        <is>
          <t>新锐白领
小镇青年
精致妈妈</t>
        </is>
      </c>
      <c r="O299" s="21" t="n">
        <v>0.49</v>
      </c>
      <c r="P299" s="18" t="n">
        <v>177000</v>
      </c>
      <c r="Q299" s="18">
        <f>SUM(Z299*1.05)</f>
        <v/>
      </c>
      <c r="R299" s="20">
        <f>Z299/(AB299+AD299+AC299)</f>
        <v/>
      </c>
      <c r="S299" s="18" t="inlineStr">
        <is>
          <t>视频</t>
        </is>
      </c>
      <c r="T299" s="21" t="n">
        <v>0.63</v>
      </c>
      <c r="U299" s="21" t="n">
        <v>0.33</v>
      </c>
      <c r="V299" s="21" t="n">
        <v>0.41</v>
      </c>
      <c r="W299" s="21" t="n">
        <v>0.05</v>
      </c>
      <c r="X299" s="21" t="n"/>
      <c r="Y299" s="21" t="n"/>
      <c r="Z299" s="18" t="n">
        <v>25000</v>
      </c>
      <c r="AA299" s="154">
        <f>SUM((Z299/P299)*1000)</f>
        <v/>
      </c>
      <c r="AB299" s="18" t="n">
        <v>1972</v>
      </c>
      <c r="AC299" s="18" t="n">
        <v>264</v>
      </c>
      <c r="AD299" s="18" t="n">
        <v>221</v>
      </c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</row>
    <row r="300">
      <c r="A300" s="17" t="n">
        <v>46098</v>
      </c>
      <c r="B300" s="18" t="n"/>
      <c r="C300" s="18" t="n"/>
      <c r="D300" s="18" t="inlineStr">
        <is>
          <t>电商</t>
        </is>
      </c>
      <c r="E300" s="32" t="inlineStr">
        <is>
          <t>精致妈妈和A3指数高</t>
        </is>
      </c>
      <c r="F300" s="18" t="inlineStr">
        <is>
          <t>Mico 麻麻</t>
        </is>
      </c>
      <c r="G300" s="18" t="inlineStr">
        <is>
          <t>https://www.xingtu.cn/ad/creator/author-homepage/douyin-video/7270897124420616248?market_track_id=7P11BU0QH3JUILEBBP4A&amp;search_session_id=7614054949244190758&amp;possessStarId</t>
        </is>
      </c>
      <c r="H300" s="18" t="inlineStr">
        <is>
          <t>https://www.douyin.com/user/MS4wLjABAAAAg8Mg_d7hgLjyA9uAtaqiTvttWPKZ5yWHuoIODMrmP44HvVKzkPwWZqK19nFJ1WeF</t>
        </is>
      </c>
      <c r="I300" s="18" t="n">
        <v>54155640911</v>
      </c>
      <c r="J300" s="18" t="inlineStr">
        <is>
          <t>家居</t>
        </is>
      </c>
      <c r="K300" s="18" t="inlineStr">
        <is>
          <t>腰部</t>
        </is>
      </c>
      <c r="L300" s="18" t="n">
        <v>67</v>
      </c>
      <c r="M300" s="18" t="inlineStr">
        <is>
          <t>20000-100000</t>
        </is>
      </c>
      <c r="N300" s="18" t="inlineStr">
        <is>
          <t>小镇青年
新锐白领
精致妈妈</t>
        </is>
      </c>
      <c r="O300" s="21" t="n">
        <v>0.45</v>
      </c>
      <c r="P300" s="18" t="n">
        <v>320000</v>
      </c>
      <c r="Q300" s="18">
        <f>SUM(Z300*1.05)</f>
        <v/>
      </c>
      <c r="R300" s="20">
        <f>Z300/(AB300+AD300+AC300)</f>
        <v/>
      </c>
      <c r="S300" s="18" t="inlineStr">
        <is>
          <t>视频</t>
        </is>
      </c>
      <c r="T300" s="21" t="n">
        <v>0.68</v>
      </c>
      <c r="U300" s="21" t="n">
        <v>0.33</v>
      </c>
      <c r="V300" s="21" t="n">
        <v>0.45</v>
      </c>
      <c r="W300" s="21" t="n">
        <v>0.07000000000000001</v>
      </c>
      <c r="X300" s="18" t="n"/>
      <c r="Y300" s="18" t="n"/>
      <c r="Z300" s="18" t="n">
        <v>32000</v>
      </c>
      <c r="AA300" s="154">
        <f>SUM((Z300/P300)*1000)</f>
        <v/>
      </c>
      <c r="AB300" s="22" t="n">
        <v>4747</v>
      </c>
      <c r="AC300" s="18" t="n">
        <v>33</v>
      </c>
      <c r="AD300" s="18" t="n">
        <v>177</v>
      </c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</row>
    <row r="301">
      <c r="A301" s="17" t="n">
        <v>46098</v>
      </c>
      <c r="B301" s="18" t="n"/>
      <c r="C301" s="18" t="n"/>
      <c r="D301" s="18" t="inlineStr">
        <is>
          <t>电商</t>
        </is>
      </c>
      <c r="E301" s="32" t="inlineStr">
        <is>
          <t>精致妈妈占比多</t>
        </is>
      </c>
      <c r="F301" s="18" t="inlineStr">
        <is>
          <t>二柒宝妈</t>
        </is>
      </c>
      <c r="G301" s="18" t="inlineStr">
        <is>
          <t>https://www.xingtu.cn/ad/creator/author-homepage/douyin-video/6904928031547064335?market_track_id=NHDHIZHMWY3LDTI1FTJQ&amp;search_session_id=7614064463817539610&amp;possessStarId</t>
        </is>
      </c>
      <c r="H301" s="18" t="inlineStr">
        <is>
          <t>https://www.douyin.com/user/MS4wLjABAAAA4BllNusuuP22r0wVxSBWvVleCtUAvfEKlWx_vHMFjP8</t>
        </is>
      </c>
      <c r="I301" s="18" t="inlineStr">
        <is>
          <t>Honey3646</t>
        </is>
      </c>
      <c r="J301" s="18" t="inlineStr">
        <is>
          <t>美食</t>
        </is>
      </c>
      <c r="K301" s="18" t="inlineStr">
        <is>
          <t>腰部</t>
        </is>
      </c>
      <c r="L301" s="18" t="n">
        <v>83</v>
      </c>
      <c r="M301" s="18" t="inlineStr">
        <is>
          <t>2000-20000</t>
        </is>
      </c>
      <c r="N301" s="18" t="inlineStr">
        <is>
          <t>小镇青年
精致妈妈
新锐白领</t>
        </is>
      </c>
      <c r="O301" s="21" t="n">
        <v>0.51</v>
      </c>
      <c r="P301" s="18" t="n">
        <v>368000</v>
      </c>
      <c r="Q301" s="18">
        <f>SUM(Z301*1.05)</f>
        <v/>
      </c>
      <c r="R301" s="20">
        <f>Z301/(AB301+AD301+AC301)</f>
        <v/>
      </c>
      <c r="S301" s="18" t="inlineStr">
        <is>
          <t>视频</t>
        </is>
      </c>
      <c r="T301" s="21" t="n">
        <v>0.83</v>
      </c>
      <c r="U301" s="21" t="n">
        <v>0.25</v>
      </c>
      <c r="V301" s="21" t="n">
        <v>0.45</v>
      </c>
      <c r="W301" s="21" t="n">
        <v>0.14</v>
      </c>
      <c r="X301" s="18" t="n"/>
      <c r="Y301" s="18" t="n"/>
      <c r="Z301" s="18" t="n">
        <v>45000</v>
      </c>
      <c r="AA301" s="154">
        <f>SUM((Z301/P301)*1000)</f>
        <v/>
      </c>
      <c r="AB301" s="22" t="n">
        <v>4122</v>
      </c>
      <c r="AC301" s="18" t="n">
        <v>337</v>
      </c>
      <c r="AD301" s="18" t="n">
        <v>2140</v>
      </c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</row>
    <row r="302" ht="37.9" customHeight="1" s="151">
      <c r="A302" s="17" t="n">
        <v>46098</v>
      </c>
      <c r="B302" s="18" t="n"/>
      <c r="C302" s="18" t="n"/>
      <c r="D302" s="18" t="inlineStr">
        <is>
          <t>电商</t>
        </is>
      </c>
      <c r="E302" s="32" t="inlineStr">
        <is>
          <t>精致妈妈占比高，大家电商单https://www.douyin.com/video/7553536649356119359</t>
        </is>
      </c>
      <c r="F302" s="18" t="inlineStr">
        <is>
          <t>范奶奶向前冲</t>
        </is>
      </c>
      <c r="G302" s="18" t="inlineStr">
        <is>
          <t>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</t>
        </is>
      </c>
      <c r="H302" s="18" t="inlineStr">
        <is>
          <t>https://www.douyin.com/user/MS4wLjABAAAAiN15qBuxq9JWH-8-zX4vmzMSSPoRvRUcOQze7Z3ORzs</t>
        </is>
      </c>
      <c r="I302" s="18" t="n">
        <v>73025786001</v>
      </c>
      <c r="J302" s="18" t="inlineStr">
        <is>
          <t>美食</t>
        </is>
      </c>
      <c r="K302" s="18" t="inlineStr">
        <is>
          <t>尾部</t>
        </is>
      </c>
      <c r="L302" s="18" t="n">
        <v>22</v>
      </c>
      <c r="M302" s="18" t="inlineStr">
        <is>
          <t>2000-20000</t>
        </is>
      </c>
      <c r="N302" s="18" t="inlineStr">
        <is>
          <t>小镇青年
精致妈妈
新锐白领</t>
        </is>
      </c>
      <c r="O302" s="21" t="n">
        <v>0.38</v>
      </c>
      <c r="P302" s="18" t="n">
        <v>121000</v>
      </c>
      <c r="Q302" s="18">
        <f>SUM(Z302*1.05)</f>
        <v/>
      </c>
      <c r="R302" s="20">
        <f>Z302/(AB302+AD302+AC302)</f>
        <v/>
      </c>
      <c r="S302" s="18" t="inlineStr">
        <is>
          <t>视频</t>
        </is>
      </c>
      <c r="T302" s="21" t="n">
        <v>0.83</v>
      </c>
      <c r="U302" s="21" t="n">
        <v>0.32</v>
      </c>
      <c r="V302" s="21" t="n">
        <v>0.36</v>
      </c>
      <c r="W302" s="21" t="n">
        <v>0.14</v>
      </c>
      <c r="X302" s="18" t="n"/>
      <c r="Y302" s="18" t="n"/>
      <c r="Z302" s="18" t="n">
        <v>12000</v>
      </c>
      <c r="AA302" s="154">
        <f>SUM((Z302/P302)*1000)</f>
        <v/>
      </c>
      <c r="AB302" s="22" t="n">
        <v>2251</v>
      </c>
      <c r="AC302" s="18" t="n">
        <v>159</v>
      </c>
      <c r="AD302" s="18" t="n">
        <v>751</v>
      </c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</row>
    <row r="303" ht="37.9" customHeight="1" s="151">
      <c r="A303" s="17" t="n">
        <v>46098</v>
      </c>
      <c r="B303" s="18" t="n"/>
      <c r="C303" s="18" t="n"/>
      <c r="D303" s="18" t="inlineStr">
        <is>
          <t>电商</t>
        </is>
      </c>
      <c r="E303" s="32" t="inlineStr">
        <is>
          <t>大家电商单https://www.douyin.com/video/7599622349101647537</t>
        </is>
      </c>
      <c r="F303" s="18" t="inlineStr">
        <is>
          <t>是大宝的家</t>
        </is>
      </c>
      <c r="G303" s="18" t="inlineStr">
        <is>
          <t>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</t>
        </is>
      </c>
      <c r="H303" s="18" t="inlineStr">
        <is>
          <t>https://www.douyin.com/user/MS4wLjABAAAACtgEdFXImTysoKNBtymQvAFIpFUR1girZ-l6HWP7_JaZeR8_4AoYkHtonTFqCcYx</t>
        </is>
      </c>
      <c r="I303" s="18" t="inlineStr">
        <is>
          <t>bao033261</t>
        </is>
      </c>
      <c r="J303" s="18" t="inlineStr">
        <is>
          <t>家居</t>
        </is>
      </c>
      <c r="K303" s="18" t="inlineStr">
        <is>
          <t>尾部</t>
        </is>
      </c>
      <c r="L303" s="18" t="n">
        <v>26</v>
      </c>
      <c r="M303" s="18" t="inlineStr">
        <is>
          <t>150-2000</t>
        </is>
      </c>
      <c r="N303" s="18" t="inlineStr">
        <is>
          <t>新锐白领
小镇青年
精致妈妈</t>
        </is>
      </c>
      <c r="O303" s="21" t="n">
        <v>0.47</v>
      </c>
      <c r="P303" s="18" t="n">
        <v>347000</v>
      </c>
      <c r="Q303" s="18">
        <f>SUM(Z303*1.05)</f>
        <v/>
      </c>
      <c r="R303" s="20">
        <f>Z303/(AB303+AD303+AC303)</f>
        <v/>
      </c>
      <c r="S303" s="18" t="inlineStr">
        <is>
          <t>视频</t>
        </is>
      </c>
      <c r="T303" s="21" t="n">
        <v>0.5600000000000001</v>
      </c>
      <c r="U303" s="21" t="n">
        <v>0.3</v>
      </c>
      <c r="V303" s="21" t="n">
        <v>0.46</v>
      </c>
      <c r="W303" s="21" t="n">
        <v>0.09</v>
      </c>
      <c r="X303" s="18" t="n"/>
      <c r="Y303" s="18" t="n"/>
      <c r="Z303" s="18" t="n">
        <v>23800</v>
      </c>
      <c r="AA303" s="154">
        <f>SUM((Z303/P303)*1000)</f>
        <v/>
      </c>
      <c r="AB303" s="22" t="n">
        <v>3237</v>
      </c>
      <c r="AC303" s="18" t="n">
        <v>456</v>
      </c>
      <c r="AD303" s="18" t="n">
        <v>228</v>
      </c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</row>
    <row r="304" ht="37.9" customHeight="1" s="151">
      <c r="A304" s="17" t="n">
        <v>46098</v>
      </c>
      <c r="B304" s="18" t="n"/>
      <c r="C304" s="18" t="n"/>
      <c r="D304" s="18" t="inlineStr">
        <is>
          <t>电商</t>
        </is>
      </c>
      <c r="E304" s="32" t="inlineStr">
        <is>
          <t>女粉精致妈妈占比高，https://www.douyin.com/video/7502782095450869019</t>
        </is>
      </c>
      <c r="F304" s="18" t="inlineStr">
        <is>
          <t>小么随记-</t>
        </is>
      </c>
      <c r="G304" s="18" t="inlineStr">
        <is>
          <t>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</t>
        </is>
      </c>
      <c r="H304" s="18" t="inlineStr">
        <is>
          <t>https://www.douyin.com/user/MS4wLjABAAAAhmWBGlEtnFXYP_l2mPtSVcAIWU7XFHRkw1uhSXKHmwo</t>
        </is>
      </c>
      <c r="I304" s="18" t="inlineStr">
        <is>
          <t>Forest_0815</t>
        </is>
      </c>
      <c r="J304" s="18" t="inlineStr">
        <is>
          <t>家居</t>
        </is>
      </c>
      <c r="K304" s="18" t="inlineStr">
        <is>
          <t>尾部</t>
        </is>
      </c>
      <c r="L304" s="18" t="n">
        <v>22</v>
      </c>
      <c r="M304" s="18" t="inlineStr">
        <is>
          <t>2000-20000</t>
        </is>
      </c>
      <c r="N304" s="18" t="inlineStr">
        <is>
          <t>精致妈妈
新锐白领
小镇青年</t>
        </is>
      </c>
      <c r="O304" s="21" t="n">
        <v>0.6</v>
      </c>
      <c r="P304" s="18" t="n">
        <v>164000</v>
      </c>
      <c r="Q304" s="18">
        <f>SUM(Z304*1.05)</f>
        <v/>
      </c>
      <c r="R304" s="20">
        <f>Z304/(AB304+AD304+AC304)</f>
        <v/>
      </c>
      <c r="S304" s="18" t="inlineStr">
        <is>
          <t>视频</t>
        </is>
      </c>
      <c r="T304" s="21" t="n">
        <v>0.85</v>
      </c>
      <c r="U304" s="21" t="n">
        <v>0.28</v>
      </c>
      <c r="V304" s="21" t="n">
        <v>0.38</v>
      </c>
      <c r="W304" s="21" t="n">
        <v>0.15</v>
      </c>
      <c r="X304" s="18" t="n"/>
      <c r="Y304" s="18" t="n"/>
      <c r="Z304" s="18" t="n">
        <v>14500</v>
      </c>
      <c r="AA304" s="154">
        <f>SUM((Z304/P304)*1000)</f>
        <v/>
      </c>
      <c r="AB304" s="22" t="n">
        <v>1972</v>
      </c>
      <c r="AC304" s="18" t="n">
        <v>75</v>
      </c>
      <c r="AD304" s="18" t="n">
        <v>525</v>
      </c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</row>
    <row r="305" ht="63" customHeight="1" s="151">
      <c r="A305" s="17" t="n">
        <v>46098</v>
      </c>
      <c r="B305" s="18" t="n"/>
      <c r="C305" s="18" t="n"/>
      <c r="D305" s="18" t="inlineStr">
        <is>
          <t>电商</t>
        </is>
      </c>
      <c r="E305" s="32" t="inlineStr">
        <is>
          <t>情侣博主，活人感强千万大家电爆款商单https://www.douyin.com/video/7559897109244316985?previous_page=app_code_link</t>
        </is>
      </c>
      <c r="F305" s="18" t="inlineStr">
        <is>
          <t>川阅-日记</t>
        </is>
      </c>
      <c r="G305" s="18" t="inlineStr">
        <is>
          <t>https://www.xingtu.cn/ad/creator/author-homepage/douyin-video/6920165577600270344?market_track_id=SYU2O2J77PRZD6HSWFO4&amp;search_session_id=7611491430255001609&amp;possessStarId</t>
        </is>
      </c>
      <c r="H305" s="18" t="inlineStr">
        <is>
          <t>https://www.douyin.com/user/MS4wLjABAAAAEvnSjkvkAzbDpQ0caF50IYBkgWOAyJwd-CNfev5tkxAj7GiO0lFBkO07G1LayvKm</t>
        </is>
      </c>
      <c r="I305" s="18" t="inlineStr">
        <is>
          <t xml:space="preserve">dymes2j4tsav
 </t>
        </is>
      </c>
      <c r="J305" s="18" t="inlineStr">
        <is>
          <t>情侣</t>
        </is>
      </c>
      <c r="K305" s="18" t="inlineStr">
        <is>
          <t>腰部</t>
        </is>
      </c>
      <c r="L305" s="18" t="n">
        <v>129</v>
      </c>
      <c r="M305" s="18" t="inlineStr">
        <is>
          <t>20000-100000</t>
        </is>
      </c>
      <c r="N305" s="18" t="inlineStr">
        <is>
          <t>小镇青年
都市蓝领
精致妈妈</t>
        </is>
      </c>
      <c r="O305" s="21" t="n">
        <v>0.32</v>
      </c>
      <c r="P305" s="18" t="n">
        <v>3625000</v>
      </c>
      <c r="Q305" s="18">
        <f>SUM(Z305*1.05)</f>
        <v/>
      </c>
      <c r="R305" s="20">
        <f>Z305/(AB305+AD305+AC305)</f>
        <v/>
      </c>
      <c r="S305" s="18" t="inlineStr">
        <is>
          <t>视频</t>
        </is>
      </c>
      <c r="T305" s="21" t="n">
        <v>0.67</v>
      </c>
      <c r="U305" s="21" t="n">
        <v>0.17</v>
      </c>
      <c r="V305" s="21" t="n">
        <v>0.43</v>
      </c>
      <c r="W305" s="21" t="n">
        <v>0.08</v>
      </c>
      <c r="X305" s="18" t="n"/>
      <c r="Y305" s="18" t="n"/>
      <c r="Z305" s="18" t="n">
        <v>30000</v>
      </c>
      <c r="AA305" s="154">
        <f>SUM((Z305/P305)*1000)</f>
        <v/>
      </c>
      <c r="AB305" s="18" t="n">
        <v>23000</v>
      </c>
      <c r="AC305" s="18" t="n">
        <v>396</v>
      </c>
      <c r="AD305" s="18" t="n">
        <v>1046</v>
      </c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</row>
    <row r="306" ht="37.9" customHeight="1" s="151">
      <c r="A306" s="17" t="n">
        <v>46098</v>
      </c>
      <c r="B306" s="18" t="n"/>
      <c r="C306" s="18" t="n"/>
      <c r="D306" s="18" t="inlineStr">
        <is>
          <t>电商</t>
        </is>
      </c>
      <c r="E306" s="32" t="inlineStr">
        <is>
          <t>设计师身份，大家电爆单https://www.douyin.com/video/7566976520397688102</t>
        </is>
      </c>
      <c r="F306" s="18" t="inlineStr">
        <is>
          <t>上海设计Rigo睿哥</t>
        </is>
      </c>
      <c r="G306" s="18" t="inlineStr">
        <is>
          <t>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</t>
        </is>
      </c>
      <c r="H306" s="18" t="inlineStr">
        <is>
          <t>https://www.douyin.com/user/MS4wLjABAAAAy_cE03ybdZUEslPjZeSfVh_3ZMsCX1Q0pyD4EscLA3zNkiCrxP6-ueEhdldhn4OT</t>
        </is>
      </c>
      <c r="I306" s="18" t="inlineStr">
        <is>
          <t>rigodesign</t>
        </is>
      </c>
      <c r="J306" s="18" t="inlineStr">
        <is>
          <t>家居</t>
        </is>
      </c>
      <c r="K306" s="18" t="inlineStr">
        <is>
          <t>尾部</t>
        </is>
      </c>
      <c r="L306" s="18" t="n">
        <v>24</v>
      </c>
      <c r="M306" s="18" t="inlineStr">
        <is>
          <t>150-2000</t>
        </is>
      </c>
      <c r="N306" s="18" t="inlineStr">
        <is>
          <t>新锐白领
小镇青年
资深中产</t>
        </is>
      </c>
      <c r="O306" s="21" t="n">
        <v>0.63</v>
      </c>
      <c r="P306" s="18" t="n">
        <v>841000</v>
      </c>
      <c r="Q306" s="18">
        <f>Z306*1.05</f>
        <v/>
      </c>
      <c r="R306" s="20">
        <f>Z306/(AB306+AD306+AC306)</f>
        <v/>
      </c>
      <c r="S306" s="18" t="inlineStr">
        <is>
          <t>视频</t>
        </is>
      </c>
      <c r="T306" s="21" t="n">
        <v>0.4</v>
      </c>
      <c r="U306" s="21" t="n">
        <v>0.33</v>
      </c>
      <c r="V306" s="21" t="n">
        <v>0.33</v>
      </c>
      <c r="W306" s="21" t="n">
        <v>0.1</v>
      </c>
      <c r="X306" s="18" t="n"/>
      <c r="Y306" s="18" t="n"/>
      <c r="Z306" s="18" t="n">
        <v>20000</v>
      </c>
      <c r="AA306" s="154">
        <f>SUM((Z306/P306)*1000)</f>
        <v/>
      </c>
      <c r="AB306" s="22" t="n">
        <v>4846</v>
      </c>
      <c r="AC306" s="18" t="n">
        <v>176</v>
      </c>
      <c r="AD306" s="18" t="n">
        <v>563</v>
      </c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</row>
    <row r="307" ht="46" customHeight="1" s="151">
      <c r="A307" s="60" t="n"/>
      <c r="B307" s="60" t="n"/>
      <c r="C307" s="60" t="n"/>
      <c r="D307" s="60" t="n"/>
      <c r="E307" s="76" t="n"/>
      <c r="F307" s="60" t="n"/>
      <c r="G307" s="77" t="n"/>
      <c r="H307" s="77" t="n"/>
      <c r="I307" s="60" t="n"/>
      <c r="J307" s="60" t="n"/>
      <c r="K307" s="60" t="n"/>
      <c r="L307" s="60" t="n"/>
      <c r="M307" s="60" t="n"/>
      <c r="N307" s="60" t="n"/>
      <c r="O307" s="63" t="n"/>
      <c r="P307" s="60" t="n"/>
      <c r="Q307" s="60" t="n"/>
      <c r="R307" s="62" t="n"/>
      <c r="S307" s="60" t="n"/>
      <c r="T307" s="63" t="n"/>
      <c r="U307" s="63" t="n"/>
      <c r="V307" s="63" t="n"/>
      <c r="W307" s="63" t="n"/>
      <c r="X307" s="60" t="n"/>
      <c r="Y307" s="60" t="n"/>
      <c r="Z307" s="60" t="n"/>
      <c r="AA307" s="159" t="n"/>
      <c r="AB307" s="60" t="n"/>
      <c r="AC307" s="60" t="n"/>
      <c r="AD307" s="60" t="n"/>
      <c r="AE307" s="60" t="n"/>
      <c r="AF307" s="60" t="n"/>
      <c r="AG307" s="60" t="n"/>
      <c r="AH307" s="60" t="n"/>
      <c r="AI307" s="60" t="n"/>
      <c r="AJ307" s="60" t="n"/>
      <c r="AK307" s="60" t="n"/>
      <c r="AL307" s="60" t="n"/>
      <c r="AM307" s="60" t="n"/>
      <c r="AN307" s="60" t="n"/>
      <c r="AO307" s="60" t="n"/>
      <c r="AP307" s="60" t="n"/>
      <c r="AQ307" s="76" t="n"/>
      <c r="AR307" s="76" t="n"/>
    </row>
    <row r="308">
      <c r="A308" s="17" t="n">
        <v>46099</v>
      </c>
      <c r="B308" s="18" t="n"/>
      <c r="C308" s="18" t="n"/>
      <c r="D308" s="18" t="inlineStr">
        <is>
          <t>电商</t>
        </is>
      </c>
      <c r="E308" s="7" t="inlineStr">
        <is>
          <t>大家电商单：https://www.douyin.com/video/7599576992983429233</t>
        </is>
      </c>
      <c r="F308" s="18" t="inlineStr">
        <is>
          <t>欢姐探别墅</t>
        </is>
      </c>
      <c r="G308" s="19" t="inlineStr">
        <is>
          <t>https://www.xingtu.cn/ad/creator/author-homepage/douyin-video/7081264713178284063?market_track_id=F8Q29YWLZQEHIVGTDSSH&amp;search_session_id=7618472828354199598&amp;possessStarId</t>
        </is>
      </c>
      <c r="H308" s="19" t="inlineStr">
        <is>
          <t>https://www.douyin.com/user/MS4wLjABAAAAMw7LMNLouqzKre1Sg_ffEWLKLla6hItb42IOQw50rhUiSjiQAn2wCj6SLl6Rragz</t>
        </is>
      </c>
      <c r="I308" s="18" t="n">
        <v>67854253532</v>
      </c>
      <c r="J308" s="18" t="inlineStr">
        <is>
          <t>家居</t>
        </is>
      </c>
      <c r="K308" s="18" t="inlineStr">
        <is>
          <t>肩部</t>
        </is>
      </c>
      <c r="L308" s="18" t="n">
        <v>382</v>
      </c>
      <c r="M308" s="18" t="inlineStr">
        <is>
          <t>100000+</t>
        </is>
      </c>
      <c r="N308" s="18" t="inlineStr">
        <is>
          <t>新锐白领
小镇青年
都市蓝领</t>
        </is>
      </c>
      <c r="O308" s="21" t="n">
        <v>0.5</v>
      </c>
      <c r="P308" s="18" t="n">
        <v>3762000</v>
      </c>
      <c r="Q308" s="18">
        <f>Z308*1.05</f>
        <v/>
      </c>
      <c r="R308" s="20">
        <f>Z308/(AB308+AD308+AC308)</f>
        <v/>
      </c>
      <c r="S308" s="18" t="inlineStr">
        <is>
          <t>视频</t>
        </is>
      </c>
      <c r="T308" s="21" t="n">
        <v>0.4</v>
      </c>
      <c r="U308" s="21" t="n">
        <v>0.22</v>
      </c>
      <c r="V308" s="21" t="n">
        <v>0.47</v>
      </c>
      <c r="W308" s="21" t="n">
        <v>0.19</v>
      </c>
      <c r="X308" s="18" t="n"/>
      <c r="Y308" s="18" t="n"/>
      <c r="Z308" s="18" t="n">
        <v>120000</v>
      </c>
      <c r="AA308" s="154">
        <f>SUM((Z308/P308)*1000)</f>
        <v/>
      </c>
      <c r="AB308" s="18" t="n">
        <v>66000</v>
      </c>
      <c r="AC308" s="18" t="n">
        <v>4393</v>
      </c>
      <c r="AD308" s="18" t="n">
        <v>41000</v>
      </c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</row>
    <row r="309" ht="37.9" customHeight="1" s="151">
      <c r="A309" s="17" t="n">
        <v>46099</v>
      </c>
      <c r="B309" s="18" t="n"/>
      <c r="C309" s="18" t="n"/>
      <c r="D309" s="18" t="inlineStr">
        <is>
          <t>电商</t>
        </is>
      </c>
      <c r="E309" s="32" t="inlineStr">
        <is>
          <t>大家电商单：https://www.douyin.com/video/7594739089980836090</t>
        </is>
      </c>
      <c r="F309" s="18" t="inlineStr">
        <is>
          <t>刘大美和张公子</t>
        </is>
      </c>
      <c r="G309" s="18" t="inlineStr">
        <is>
          <t>https://www.xingtu.cn/ad/creator/author-homepage/douyin-video/6870162918952927239?market_track_id=JYVAWVUHQWU03IDGK6EV&amp;search_session_id=7618474418007883785&amp;possessStarId</t>
        </is>
      </c>
      <c r="H309" s="18" t="inlineStr">
        <is>
          <t>https://www.douyin.com/user/MS4wLjABAAAA7-xOl-vEQBfy_VAj9rT__8vjwlROoMeKX3AmbQsyVV0</t>
        </is>
      </c>
      <c r="I309" s="18" t="inlineStr">
        <is>
          <t>GMJ8888</t>
        </is>
      </c>
      <c r="J309" s="18" t="inlineStr">
        <is>
          <t>生活</t>
        </is>
      </c>
      <c r="K309" s="18" t="inlineStr">
        <is>
          <t>腰部</t>
        </is>
      </c>
      <c r="L309" s="18" t="n">
        <v>137</v>
      </c>
      <c r="M309" s="18" t="inlineStr">
        <is>
          <t>100000+</t>
        </is>
      </c>
      <c r="N309" s="18" t="inlineStr">
        <is>
          <t>新锐白领
小镇青年
都市蓝领</t>
        </is>
      </c>
      <c r="O309" s="21" t="n">
        <v>0.57</v>
      </c>
      <c r="P309" s="18" t="n">
        <v>3099000</v>
      </c>
      <c r="Q309" s="18" t="n"/>
      <c r="R309" s="18" t="n"/>
      <c r="S309" s="18" t="n"/>
      <c r="T309" s="21" t="n">
        <v>0.28</v>
      </c>
      <c r="U309" s="21" t="n">
        <v>0.32</v>
      </c>
      <c r="V309" s="21" t="n">
        <v>0.4</v>
      </c>
      <c r="W309" s="21" t="n">
        <v>0.09</v>
      </c>
      <c r="X309" s="18" t="n"/>
      <c r="Y309" s="18" t="n"/>
      <c r="Z309" s="18" t="n">
        <v>80000</v>
      </c>
      <c r="AA309" s="154">
        <f>SUM((Z309/P309)*1000)</f>
        <v/>
      </c>
      <c r="AB309" s="18" t="n">
        <v>96000</v>
      </c>
      <c r="AC309" s="18" t="n">
        <v>2566</v>
      </c>
      <c r="AD309" s="18" t="n">
        <v>6182</v>
      </c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</row>
    <row r="310" ht="37.9" customHeight="1" s="151">
      <c r="A310" s="17" t="n">
        <v>46099</v>
      </c>
      <c r="B310" s="18" t="n"/>
      <c r="C310" s="18" t="n"/>
      <c r="D310" s="18" t="inlineStr">
        <is>
          <t>电商</t>
        </is>
      </c>
      <c r="E310" s="32" t="inlineStr">
        <is>
          <t>大家电爆单：https://www.douyin.com/video/7615151604291380982</t>
        </is>
      </c>
      <c r="F310" s="18" t="inlineStr">
        <is>
          <t>小夕生活日记</t>
        </is>
      </c>
      <c r="G310" s="18" t="inlineStr">
        <is>
          <t>https://www.xingtu.cn/ad/creator/author-homepage/douyin-video/6856051463051804676?market_track_id=4QBEWON6YT27FK0V9X4F&amp;search_session_id=7618475779613802505&amp;possessStarId</t>
        </is>
      </c>
      <c r="H310" s="18" t="inlineStr">
        <is>
          <t>https://www.douyin.com/user/MS4wLjABAAAAE_BT-vg4yyaNP_uGMMWJVt_4mHilTKUg4A8-iOk-UaQ</t>
        </is>
      </c>
      <c r="I310" s="18" t="inlineStr">
        <is>
          <t>xiaoxi3344i</t>
        </is>
      </c>
      <c r="J310" s="18" t="inlineStr">
        <is>
          <t>生活</t>
        </is>
      </c>
      <c r="K310" s="18" t="inlineStr">
        <is>
          <t>肩部</t>
        </is>
      </c>
      <c r="L310" s="18" t="n">
        <v>350</v>
      </c>
      <c r="M310" s="18" t="inlineStr">
        <is>
          <t>100000+</t>
        </is>
      </c>
      <c r="N310" s="18" t="inlineStr">
        <is>
          <t>精致妈妈
都市蓝领
小镇青年</t>
        </is>
      </c>
      <c r="O310" s="21" t="n">
        <v>0.44</v>
      </c>
      <c r="P310" s="18" t="n">
        <v>2862000</v>
      </c>
      <c r="Q310" s="18" t="n"/>
      <c r="R310" s="18" t="n"/>
      <c r="S310" s="18" t="n"/>
      <c r="T310" s="21" t="n">
        <v>0.8</v>
      </c>
      <c r="U310" s="21" t="n">
        <v>0.27</v>
      </c>
      <c r="V310" s="21" t="n">
        <v>0.48</v>
      </c>
      <c r="W310" s="21" t="n">
        <v>0.13</v>
      </c>
      <c r="X310" s="18" t="n"/>
      <c r="Y310" s="18" t="n"/>
      <c r="Z310" s="18" t="n">
        <v>138800</v>
      </c>
      <c r="AA310" s="154">
        <f>SUM((Z310/P310)*1000)</f>
        <v/>
      </c>
      <c r="AB310" s="18" t="n">
        <v>53000</v>
      </c>
      <c r="AC310" s="18" t="n">
        <v>1430</v>
      </c>
      <c r="AD310" s="18" t="n">
        <v>1047</v>
      </c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</row>
    <row r="311" ht="37.9" customHeight="1" s="151">
      <c r="A311" s="17" t="n">
        <v>46099</v>
      </c>
      <c r="B311" s="18" t="n"/>
      <c r="C311" s="18" t="n"/>
      <c r="D311" s="18" t="inlineStr">
        <is>
          <t>电商</t>
        </is>
      </c>
      <c r="E311" s="32" t="inlineStr">
        <is>
          <t>方太油烟机https://www.douyin.com/video/7588804990945250606</t>
        </is>
      </c>
      <c r="F311" s="18" t="inlineStr">
        <is>
          <t>小小小海星</t>
        </is>
      </c>
      <c r="G311" s="18" t="inlineStr">
        <is>
          <t>https://www.xingtu.cn/ad/creator/author-homepage/douyin-video/6853653028172464135?market_track_id=EDINYK3XXSDWXZSTZJI2&amp;search_session_id=7618477134667448370&amp;possessStarId</t>
        </is>
      </c>
      <c r="H311" s="18" t="inlineStr">
        <is>
          <t>https://www.douyin.com/user/MS4wLjABAAAAXGcTeW3IhXxNACnaMukODG4pPMQnPP5Vq1Vs91uEb8M</t>
        </is>
      </c>
      <c r="I311" s="18" t="n">
        <v>20856666</v>
      </c>
      <c r="J311" s="18" t="inlineStr">
        <is>
          <t>美食</t>
        </is>
      </c>
      <c r="K311" s="18" t="inlineStr">
        <is>
          <t>头部</t>
        </is>
      </c>
      <c r="L311" s="18" t="n">
        <v>906</v>
      </c>
      <c r="M311" s="18" t="inlineStr">
        <is>
          <t>20000-100000</t>
        </is>
      </c>
      <c r="N311" s="18" t="inlineStr">
        <is>
          <t>Z世代
小镇青年
新锐白领</t>
        </is>
      </c>
      <c r="O311" s="21" t="n">
        <v>0.41</v>
      </c>
      <c r="P311" s="18" t="n">
        <v>6477000</v>
      </c>
      <c r="Q311" s="18" t="n"/>
      <c r="R311" s="18" t="n"/>
      <c r="S311" s="18" t="n"/>
      <c r="T311" s="21" t="n">
        <v>0.7</v>
      </c>
      <c r="U311" s="21" t="n">
        <v>0.28</v>
      </c>
      <c r="V311" s="21" t="n">
        <v>0.32</v>
      </c>
      <c r="W311" s="21" t="n">
        <v>0.08</v>
      </c>
      <c r="X311" s="18" t="n"/>
      <c r="Y311" s="18" t="n"/>
      <c r="Z311" s="18" t="n">
        <v>180000</v>
      </c>
      <c r="AA311" s="154">
        <f>SUM((Z311/P311)*1000)</f>
        <v/>
      </c>
      <c r="AB311" s="18" t="n">
        <v>112000</v>
      </c>
      <c r="AC311" s="18" t="n">
        <v>4248</v>
      </c>
      <c r="AD311" s="18" t="n">
        <v>21000</v>
      </c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</row>
    <row r="312" ht="37.9" customHeight="1" s="151">
      <c r="A312" s="17" t="n">
        <v>46099</v>
      </c>
      <c r="B312" s="18" t="n"/>
      <c r="C312" s="18" t="n"/>
      <c r="D312" s="18" t="inlineStr">
        <is>
          <t>电商</t>
        </is>
      </c>
      <c r="E312" s="32" t="inlineStr">
        <is>
          <t>方太油烟机https://www.douyin.com/video/7589118830769627557</t>
        </is>
      </c>
      <c r="F312" s="18" t="inlineStr">
        <is>
          <t>塔塔可可</t>
        </is>
      </c>
      <c r="G312" s="18" t="inlineStr">
        <is>
          <t>https://www.xingtu.cn/ad/creator/author-homepage/douyin-video/6865559999012159502?market_track_id=O1NTGH9R0TXFGKQNGQ0J&amp;search_session_id=7618478159851929646&amp;possessStarId</t>
        </is>
      </c>
      <c r="H312" s="18" t="inlineStr">
        <is>
          <t>https://www.douyin.com/user/MS4wLjABAAAAvhGB5m_PPLryRDuEzF_dUQUMX0L6eTWXW1Lrl1MjneM</t>
        </is>
      </c>
      <c r="I312" s="18" t="inlineStr">
        <is>
          <t>taco920825</t>
        </is>
      </c>
      <c r="J312" s="18" t="inlineStr">
        <is>
          <t>情侣</t>
        </is>
      </c>
      <c r="K312" s="18" t="inlineStr">
        <is>
          <t>肩部</t>
        </is>
      </c>
      <c r="L312" s="18" t="n">
        <v>280</v>
      </c>
      <c r="M312" s="18" t="inlineStr">
        <is>
          <t>20000-100000</t>
        </is>
      </c>
      <c r="N312" s="18" t="inlineStr">
        <is>
          <t>小镇青年
新锐白领
都市蓝领</t>
        </is>
      </c>
      <c r="O312" s="21" t="n">
        <v>0.35</v>
      </c>
      <c r="P312" s="18" t="n">
        <v>5647000</v>
      </c>
      <c r="Q312" s="18" t="n"/>
      <c r="R312" s="18" t="n"/>
      <c r="S312" s="18" t="n"/>
      <c r="T312" s="21" t="n">
        <v>0.3</v>
      </c>
      <c r="U312" s="21" t="n">
        <v>0.35</v>
      </c>
      <c r="V312" s="21" t="n">
        <v>0.3</v>
      </c>
      <c r="W312" s="21" t="n">
        <v>0.06</v>
      </c>
      <c r="X312" s="18" t="n"/>
      <c r="Y312" s="18" t="n"/>
      <c r="Z312" s="18" t="n">
        <v>120000</v>
      </c>
      <c r="AA312" s="154">
        <f>SUM((Z312/P312)*1000)</f>
        <v/>
      </c>
      <c r="AB312" s="18" t="n">
        <v>70000</v>
      </c>
      <c r="AC312" s="18" t="n">
        <v>1168</v>
      </c>
      <c r="AD312" s="18" t="n">
        <v>14000</v>
      </c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</row>
    <row r="313" ht="37.9" customHeight="1" s="151">
      <c r="A313" s="17" t="n">
        <v>46099</v>
      </c>
      <c r="B313" s="18" t="n"/>
      <c r="C313" s="18" t="n"/>
      <c r="D313" s="18" t="inlineStr">
        <is>
          <t>电商</t>
        </is>
      </c>
      <c r="E313" s="32" t="inlineStr">
        <is>
          <t>方太油烟机https://www.douyin.com/video/7602940303423657882</t>
        </is>
      </c>
      <c r="F313" s="18" t="inlineStr">
        <is>
          <t>闲人祝幸福</t>
        </is>
      </c>
      <c r="G313" s="18" t="inlineStr">
        <is>
          <t>https://www.xingtu.cn/ad/creator/author-homepage/douyin-video/7129709466089422861?market_track_id=RZE14O01DKC2XW0OIBC9&amp;search_session_id=7618479423495241737&amp;possessStarId</t>
        </is>
      </c>
      <c r="H313" s="18" t="inlineStr">
        <is>
          <t>https://www.douyin.com/user/MS4wLjABAAAA64mbuDhjtfY2WtQcBgqhyXfuRE6af-WSHWKz-CkeGSg</t>
        </is>
      </c>
      <c r="I313" s="18" t="inlineStr">
        <is>
          <t>Zxf201200</t>
        </is>
      </c>
      <c r="J313" s="18" t="inlineStr">
        <is>
          <t>家居</t>
        </is>
      </c>
      <c r="K313" s="18" t="inlineStr">
        <is>
          <t>肩部</t>
        </is>
      </c>
      <c r="L313" s="18" t="n">
        <v>244</v>
      </c>
      <c r="M313" s="18" t="inlineStr">
        <is>
          <t>20000-100000</t>
        </is>
      </c>
      <c r="N313" s="18" t="inlineStr">
        <is>
          <t>小镇青年
新锐白领
Z世代</t>
        </is>
      </c>
      <c r="O313" s="21" t="n">
        <v>0.35</v>
      </c>
      <c r="P313" s="18" t="n">
        <v>1727000</v>
      </c>
      <c r="Q313" s="18" t="n"/>
      <c r="R313" s="18" t="n"/>
      <c r="S313" s="18" t="n"/>
      <c r="T313" s="21" t="n">
        <v>0.78</v>
      </c>
      <c r="U313" s="21" t="n">
        <v>0.36</v>
      </c>
      <c r="V313" s="21" t="n">
        <v>0.29</v>
      </c>
      <c r="W313" s="21" t="n">
        <v>0.04</v>
      </c>
      <c r="X313" s="18" t="n"/>
      <c r="Y313" s="18" t="n"/>
      <c r="Z313" s="18" t="n">
        <v>140000</v>
      </c>
      <c r="AA313" s="154">
        <f>SUM((Z313/P313)*1000)</f>
        <v/>
      </c>
      <c r="AB313" s="18" t="n">
        <v>49000</v>
      </c>
      <c r="AC313" s="18" t="n">
        <v>1323</v>
      </c>
      <c r="AD313" s="18" t="n">
        <v>30000</v>
      </c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</row>
    <row r="314" ht="37.9" customHeight="1" s="151">
      <c r="A314" s="17" t="n">
        <v>46099</v>
      </c>
      <c r="B314" s="18" t="n"/>
      <c r="C314" s="18" t="n"/>
      <c r="D314" s="18" t="inlineStr">
        <is>
          <t>电商</t>
        </is>
      </c>
      <c r="E314" s="32" t="inlineStr">
        <is>
          <t>大家电商单https://www.douyin.com/video/7598506892470914149</t>
        </is>
      </c>
      <c r="F314" s="18" t="inlineStr">
        <is>
          <t>装修喵</t>
        </is>
      </c>
      <c r="G314" s="18" t="inlineStr">
        <is>
          <t>https://www.xingtu.cn/ad/creator/author-homepage/douyin-video/7076447505478746148?market_track_id=HL1IR2XCACQL1BFKMNV7&amp;search_session_id=7618480657383292979&amp;possessStarId</t>
        </is>
      </c>
      <c r="H314" s="18" t="inlineStr">
        <is>
          <t>https://www.douyin.com/user/MS4wLjABAAAAMQDJp7zeof_F20koNVYXvtIsrslQNYAEDwQVve62zz6LjkLkXVbbgv43dNcKvmvk</t>
        </is>
      </c>
      <c r="I314" s="18" t="n">
        <v>75820688401</v>
      </c>
      <c r="J314" s="18" t="inlineStr">
        <is>
          <t>手工家居</t>
        </is>
      </c>
      <c r="K314" s="18" t="inlineStr">
        <is>
          <t>腰部</t>
        </is>
      </c>
      <c r="L314" s="18" t="n">
        <v>101</v>
      </c>
      <c r="M314" s="18" t="inlineStr">
        <is>
          <t>2000-20000</t>
        </is>
      </c>
      <c r="N314" s="18" t="inlineStr">
        <is>
          <t>新锐白领
小镇青年
资深中产</t>
        </is>
      </c>
      <c r="O314" s="21" t="n">
        <v>0.5600000000000001</v>
      </c>
      <c r="P314" s="18" t="n">
        <v>594000</v>
      </c>
      <c r="Q314" s="18" t="n"/>
      <c r="R314" s="18" t="n"/>
      <c r="S314" s="18" t="n"/>
      <c r="T314" s="21" t="n">
        <v>0.5600000000000001</v>
      </c>
      <c r="U314" s="21" t="n">
        <v>0.16</v>
      </c>
      <c r="V314" s="21" t="n">
        <v>0.44</v>
      </c>
      <c r="W314" s="21" t="n">
        <v>0.13</v>
      </c>
      <c r="X314" s="18" t="n"/>
      <c r="Y314" s="18" t="n"/>
      <c r="Z314" s="18" t="n">
        <v>65000</v>
      </c>
      <c r="AA314" s="154">
        <f>SUM((Z314/P314)*1000)</f>
        <v/>
      </c>
      <c r="AB314" s="18" t="n">
        <v>12000</v>
      </c>
      <c r="AC314" s="18" t="n">
        <v>238</v>
      </c>
      <c r="AD314" s="18" t="n">
        <v>546</v>
      </c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</row>
    <row r="315" ht="37.9" customHeight="1" s="151">
      <c r="A315" s="17" t="n">
        <v>46099</v>
      </c>
      <c r="B315" s="18" t="n"/>
      <c r="C315" s="18" t="n"/>
      <c r="D315" s="18" t="inlineStr">
        <is>
          <t>电商</t>
        </is>
      </c>
      <c r="E315" s="32" t="inlineStr">
        <is>
          <t>海尔洗碗机https://www.douyin.com/video/7611814908149140777</t>
        </is>
      </c>
      <c r="F315" s="18" t="inlineStr">
        <is>
          <t>周八</t>
        </is>
      </c>
      <c r="G315" s="18" t="inlineStr">
        <is>
          <t>https://www.xingtu.cn/ad/creator/author-homepage/douyin-video/7415130308804083763?market_track_id=4UV1ZZY2S04J4L4I7JK9&amp;search_session_id=7618481893562613798&amp;possessStarId</t>
        </is>
      </c>
      <c r="H315" s="18" t="inlineStr">
        <is>
          <t>https://www.douyin.com/user/MS4wLjABAAAAz4Pevk3Phkau4fFecFeUuxm6pSeAO9lwzblAGKMUEGNCavn5FqSoJcCAGi0v7cIm</t>
        </is>
      </c>
      <c r="I315" s="18" t="n">
        <v>50506783328</v>
      </c>
      <c r="J315" s="18" t="inlineStr">
        <is>
          <t>手工家居</t>
        </is>
      </c>
      <c r="K315" s="18" t="inlineStr">
        <is>
          <t>腰部</t>
        </is>
      </c>
      <c r="L315" s="18" t="n">
        <v>120</v>
      </c>
      <c r="M315" s="18" t="inlineStr">
        <is>
          <t>100000+</t>
        </is>
      </c>
      <c r="N315" s="18" t="inlineStr">
        <is>
          <t>小镇青年
新锐白领
都市蓝领</t>
        </is>
      </c>
      <c r="O315" s="21" t="n">
        <v>0.3</v>
      </c>
      <c r="P315" s="18" t="n">
        <v>8613000</v>
      </c>
      <c r="Q315" s="18" t="n"/>
      <c r="R315" s="18" t="n"/>
      <c r="S315" s="18" t="n"/>
      <c r="T315" s="21" t="n">
        <v>0.47</v>
      </c>
      <c r="U315" s="21" t="n">
        <v>0.21</v>
      </c>
      <c r="V315" s="21" t="n">
        <v>0.42</v>
      </c>
      <c r="W315" s="21" t="n">
        <v>0.1</v>
      </c>
      <c r="X315" s="18" t="n"/>
      <c r="Y315" s="18" t="n"/>
      <c r="Z315" s="18" t="n">
        <v>158000</v>
      </c>
      <c r="AA315" s="154">
        <f>SUM((Z315/P315)*1000)</f>
        <v/>
      </c>
      <c r="AB315" s="18" t="n">
        <v>273000</v>
      </c>
      <c r="AC315" s="18" t="n">
        <v>6434</v>
      </c>
      <c r="AD315" s="18" t="n">
        <v>89000</v>
      </c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</row>
    <row r="316" ht="37.9" customHeight="1" s="151">
      <c r="A316" s="17" t="n">
        <v>46099</v>
      </c>
      <c r="B316" s="18" t="n"/>
      <c r="C316" s="18" t="n"/>
      <c r="D316" s="18" t="inlineStr">
        <is>
          <t>电商</t>
        </is>
      </c>
      <c r="E316" s="32" t="inlineStr">
        <is>
          <t>大家电商单https://www.douyin.com/video/7595779745992805642</t>
        </is>
      </c>
      <c r="F316" s="18" t="inlineStr">
        <is>
          <t>面包霸霸</t>
        </is>
      </c>
      <c r="G316" s="18" t="inlineStr">
        <is>
          <t>https://www.xingtu.cn/ad/creator/author-homepage/douyin-video/7539845094233341962?market_track_id=V5XWHU9J99SB7MYAGUYB&amp;search_session_id=7618482750848254003&amp;possessStarId</t>
        </is>
      </c>
      <c r="H316" s="18" t="inlineStr">
        <is>
          <t>https://www.douyin.com/user/MS4wLjABAAAAF_Oq7_bc5BDKDu41djtgeAQdaAiDne9htZ0_pTNNxTpE9deWVjwup8GNgKRuyzYP</t>
        </is>
      </c>
      <c r="I316" s="18" t="n">
        <v>29004643377</v>
      </c>
      <c r="J316" s="18" t="inlineStr">
        <is>
          <t>母婴</t>
        </is>
      </c>
      <c r="K316" s="18" t="inlineStr">
        <is>
          <t>肩部</t>
        </is>
      </c>
      <c r="L316" s="18" t="n">
        <v>280</v>
      </c>
      <c r="M316" s="18" t="inlineStr">
        <is>
          <t>20000-100000</t>
        </is>
      </c>
      <c r="N316" s="18" t="inlineStr">
        <is>
          <t>小镇青年
都市蓝领
新锐白领</t>
        </is>
      </c>
      <c r="O316" s="21" t="n">
        <v>0.3</v>
      </c>
      <c r="P316" s="18" t="n">
        <v>3411000</v>
      </c>
      <c r="Q316" s="18" t="n"/>
      <c r="R316" s="18" t="n"/>
      <c r="S316" s="18" t="n"/>
      <c r="T316" s="21" t="n">
        <v>0.68</v>
      </c>
      <c r="U316" s="21" t="n">
        <v>0.25</v>
      </c>
      <c r="V316" s="21" t="n">
        <v>0.43</v>
      </c>
      <c r="W316" s="21" t="n">
        <v>0.11</v>
      </c>
      <c r="X316" s="18" t="n"/>
      <c r="Y316" s="18" t="n"/>
      <c r="Z316" s="18" t="n">
        <v>85000</v>
      </c>
      <c r="AA316" s="154">
        <f>SUM((Z316/P316)*1000)</f>
        <v/>
      </c>
      <c r="AB316" s="18" t="n">
        <v>101000</v>
      </c>
      <c r="AC316" s="18" t="n">
        <v>1361</v>
      </c>
      <c r="AD316" s="18" t="n">
        <v>8542</v>
      </c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</row>
    <row r="317" ht="37.9" customHeight="1" s="151">
      <c r="A317" s="17" t="n">
        <v>46099</v>
      </c>
      <c r="B317" s="18" t="n"/>
      <c r="C317" s="18" t="n"/>
      <c r="D317" s="18" t="inlineStr">
        <is>
          <t>电商</t>
        </is>
      </c>
      <c r="E317" s="32" t="inlineStr">
        <is>
          <t>海尔洗碗机https://www.douyin.com/video/7598762047287174131</t>
        </is>
      </c>
      <c r="F317" s="18" t="inlineStr">
        <is>
          <t>白小黑不黑</t>
        </is>
      </c>
      <c r="G317" s="18" t="inlineStr">
        <is>
          <t>https://www.xingtu.cn/ad/creator/author-homepage/douyin-video/7083772815534456846?market_track_id=O3D48WIVRV98OBV3ZC5D&amp;search_session_id=7618483759381692467&amp;possessStarId</t>
        </is>
      </c>
      <c r="H317" s="18" t="inlineStr">
        <is>
          <t>https://www.douyin.com/user/MS4wLjABAAAAcgqSghTF-dj0kpNGFf0aT_2w75vsSygv8M0GE2byCE5QKRjb6FHRMTqwWYRdvB7u</t>
        </is>
      </c>
      <c r="I317" s="18" t="inlineStr">
        <is>
          <t>baixiaohei0711</t>
        </is>
      </c>
      <c r="J317" s="18" t="inlineStr">
        <is>
          <t>情侣</t>
        </is>
      </c>
      <c r="K317" s="18" t="inlineStr">
        <is>
          <t>腰部</t>
        </is>
      </c>
      <c r="L317" s="18" t="n">
        <v>89</v>
      </c>
      <c r="M317" s="18" t="inlineStr">
        <is>
          <t>2000-20000</t>
        </is>
      </c>
      <c r="N317" s="18" t="inlineStr">
        <is>
          <t>小镇青年
Z世代
新锐白领</t>
        </is>
      </c>
      <c r="O317" s="21" t="n">
        <v>0.25</v>
      </c>
      <c r="P317" s="18" t="n">
        <v>1753000</v>
      </c>
      <c r="Q317" s="18" t="n"/>
      <c r="R317" s="18" t="n"/>
      <c r="S317" s="18" t="n"/>
      <c r="T317" s="21" t="n">
        <v>0.3</v>
      </c>
      <c r="U317" s="21" t="n">
        <v>0.26</v>
      </c>
      <c r="V317" s="21" t="n">
        <v>0.27</v>
      </c>
      <c r="W317" s="21" t="n">
        <v>0.08</v>
      </c>
      <c r="X317" s="18" t="n"/>
      <c r="Y317" s="18" t="n"/>
      <c r="Z317" s="18" t="n">
        <v>50000</v>
      </c>
      <c r="AA317" s="154">
        <f>SUM((Z317/P317)*1000)</f>
        <v/>
      </c>
      <c r="AB317" s="18" t="n">
        <v>64000</v>
      </c>
      <c r="AC317" s="18" t="n">
        <v>1507</v>
      </c>
      <c r="AD317" s="18" t="n">
        <v>33000</v>
      </c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</row>
    <row r="318" ht="24.75" customHeight="1" s="151">
      <c r="A318" s="17" t="n">
        <v>46099</v>
      </c>
      <c r="B318" s="18" t="n"/>
      <c r="C318" s="18" t="n"/>
      <c r="D318" s="18" t="inlineStr">
        <is>
          <t>电商</t>
        </is>
      </c>
      <c r="E318" s="32" t="inlineStr">
        <is>
          <t>家电垂直帐号，开门见山讲产品，种草能力更强</t>
        </is>
      </c>
      <c r="F318" s="18" t="inlineStr">
        <is>
          <t>猜礼物.</t>
        </is>
      </c>
      <c r="G318" s="18" t="inlineStr">
        <is>
          <t>https://www.xingtu.cn/ad/creator/author-homepage/douyin-video/6834368834065924104?market_track_id=EVK545173R6DJQ919O2U&amp;search_session_id=7615827593002287113&amp;possessStarId</t>
        </is>
      </c>
      <c r="H318" s="18" t="inlineStr">
        <is>
          <t>https://www.douyin.com/user/MS4wLjABAAAA-F9dWILzcODO8ptMC_wYoEMaqlWxDlkMc3pcG4Fv6ok</t>
        </is>
      </c>
      <c r="I318" s="18" t="inlineStr">
        <is>
          <t>cailiwu</t>
        </is>
      </c>
      <c r="J318" s="32" t="inlineStr">
        <is>
          <t>家居</t>
        </is>
      </c>
      <c r="K318" s="18" t="inlineStr">
        <is>
          <t>腰部</t>
        </is>
      </c>
      <c r="L318" s="18" t="n">
        <v>74</v>
      </c>
      <c r="M318" s="18" t="inlineStr">
        <is>
          <t>150-2000</t>
        </is>
      </c>
      <c r="N318" s="18" t="inlineStr">
        <is>
          <t>新锐白领
小镇青年
精致妈妈</t>
        </is>
      </c>
      <c r="O318" s="21" t="n">
        <v>0.57</v>
      </c>
      <c r="P318" s="18" t="n">
        <v>1037000</v>
      </c>
      <c r="Q318" s="18">
        <f>SUM(Z318*1.05)</f>
        <v/>
      </c>
      <c r="R318" s="20">
        <f>Z318/(AB318+AD318+AC318)</f>
        <v/>
      </c>
      <c r="S318" s="18" t="inlineStr">
        <is>
          <t>视频</t>
        </is>
      </c>
      <c r="T318" s="21" t="n">
        <v>0.42</v>
      </c>
      <c r="U318" s="21" t="n">
        <v>0.32</v>
      </c>
      <c r="V318" s="21" t="n">
        <v>0.46</v>
      </c>
      <c r="W318" s="21" t="n">
        <v>0.09</v>
      </c>
      <c r="X318" s="18" t="n"/>
      <c r="Y318" s="18" t="n"/>
      <c r="Z318" s="18" t="n">
        <v>50000</v>
      </c>
      <c r="AA318" s="154">
        <f>SUM((Z318/P318)*1000)</f>
        <v/>
      </c>
      <c r="AB318" s="18" t="n">
        <v>24000</v>
      </c>
      <c r="AC318" s="18" t="n">
        <v>414</v>
      </c>
      <c r="AD318" s="18" t="n">
        <v>2532</v>
      </c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</row>
    <row r="319">
      <c r="A319" s="17" t="n">
        <v>46099</v>
      </c>
      <c r="B319" s="18" t="n"/>
      <c r="C319" s="18" t="n"/>
      <c r="D319" s="18" t="inlineStr">
        <is>
          <t>电商</t>
        </is>
      </c>
      <c r="E319" s="32" t="inlineStr">
        <is>
          <t>精致妈妈占比多</t>
        </is>
      </c>
      <c r="F319" s="18" t="inlineStr">
        <is>
          <t>然然理想家Yiran</t>
        </is>
      </c>
      <c r="G319" s="18" t="inlineStr">
        <is>
          <t>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</t>
        </is>
      </c>
      <c r="H319" s="18" t="inlineStr">
        <is>
          <t>https://www.douyin.com/user/MS4wLjABAAAAqKockBn2sLlJTihnGBvV706p95ACOWq5a8RoXBHe4dY</t>
        </is>
      </c>
      <c r="I319" s="18" t="n">
        <v>1129598342</v>
      </c>
      <c r="J319" s="18" t="inlineStr">
        <is>
          <t>家居</t>
        </is>
      </c>
      <c r="K319" s="18" t="inlineStr">
        <is>
          <t>肩部</t>
        </is>
      </c>
      <c r="L319" s="18" t="n">
        <v>427</v>
      </c>
      <c r="M319" s="18" t="inlineStr">
        <is>
          <t>2000-20000</t>
        </is>
      </c>
      <c r="N319" s="18" t="inlineStr">
        <is>
          <t>新锐白领
小镇青年
精致妈妈</t>
        </is>
      </c>
      <c r="O319" s="21" t="n">
        <v>0.44</v>
      </c>
      <c r="P319" s="18" t="n">
        <v>1683000</v>
      </c>
      <c r="Q319" s="18">
        <f>SUM(Z319*1.05)</f>
        <v/>
      </c>
      <c r="R319" s="20">
        <f>Z319/(AB319+AD319+AC319)</f>
        <v/>
      </c>
      <c r="S319" s="18" t="inlineStr">
        <is>
          <t>视频</t>
        </is>
      </c>
      <c r="T319" s="21" t="n">
        <v>0.61</v>
      </c>
      <c r="U319" s="21" t="n">
        <v>0.23</v>
      </c>
      <c r="V319" s="21" t="n">
        <v>0.49</v>
      </c>
      <c r="W319" s="21" t="n">
        <v>0.16</v>
      </c>
      <c r="X319" s="18" t="n"/>
      <c r="Y319" s="18" t="n"/>
      <c r="Z319" s="18" t="n">
        <v>65000</v>
      </c>
      <c r="AA319" s="154">
        <f>SUM((Z319/P319)*1000)</f>
        <v/>
      </c>
      <c r="AB319" s="18" t="n">
        <v>28000</v>
      </c>
      <c r="AC319" s="18" t="n">
        <v>501</v>
      </c>
      <c r="AD319" s="18" t="n">
        <v>902</v>
      </c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</row>
    <row r="320">
      <c r="A320" s="17" t="n">
        <v>46099</v>
      </c>
      <c r="B320" s="18" t="n"/>
      <c r="C320" s="18" t="n"/>
      <c r="D320" s="18" t="inlineStr">
        <is>
          <t>电商</t>
        </is>
      </c>
      <c r="E320" s="32" t="inlineStr">
        <is>
          <t>新婚夫妇，380平意式平层</t>
        </is>
      </c>
      <c r="F320" s="18" t="inlineStr">
        <is>
          <t>Ceci的生活日记.</t>
        </is>
      </c>
      <c r="G320" s="18" t="inlineStr">
        <is>
          <t>https://www.xingtu.cn/ad/creator/author-homepage/douyin-video/6724813695026724872?market_track_id=JKO9S71X89B2JTGHM2WK&amp;search_session_id=7614017373054173230&amp;possessStarId</t>
        </is>
      </c>
      <c r="H320" s="18" t="inlineStr">
        <is>
          <t>https://www.douyin.com/user/MS4wLjABAAAAOGUuJYH1ZGSzKalWWD7o9jvgV2MEJAL-KrZxEHEbtRKBkaFMI7fw1UIGZC98-3c8</t>
        </is>
      </c>
      <c r="I320" s="18" t="n">
        <v>2214300128</v>
      </c>
      <c r="J320" s="18" t="inlineStr">
        <is>
          <t>家居</t>
        </is>
      </c>
      <c r="K320" s="18" t="inlineStr">
        <is>
          <t>腰部</t>
        </is>
      </c>
      <c r="L320" s="18" t="n">
        <v>253</v>
      </c>
      <c r="M320" s="18" t="inlineStr">
        <is>
          <t>2000-20000</t>
        </is>
      </c>
      <c r="N320" s="18" t="inlineStr">
        <is>
          <t>新锐白领
小镇青年
精致妈妈</t>
        </is>
      </c>
      <c r="O320" s="21" t="n">
        <v>0.49</v>
      </c>
      <c r="P320" s="18" t="n">
        <v>962000</v>
      </c>
      <c r="Q320" s="18">
        <f>SUM(Z320*1.05)</f>
        <v/>
      </c>
      <c r="R320" s="20">
        <f>Z320/(AB320+AD320+AC320)</f>
        <v/>
      </c>
      <c r="S320" s="18" t="inlineStr">
        <is>
          <t>视频</t>
        </is>
      </c>
      <c r="T320" s="21" t="n">
        <v>0.71</v>
      </c>
      <c r="U320" s="21" t="n">
        <v>0.32</v>
      </c>
      <c r="V320" s="21" t="n">
        <v>0.36</v>
      </c>
      <c r="W320" s="21" t="n">
        <v>0.05</v>
      </c>
      <c r="X320" s="18" t="n"/>
      <c r="Y320" s="18" t="n"/>
      <c r="Z320" s="18" t="n">
        <v>63000</v>
      </c>
      <c r="AA320" s="154">
        <f>SUM((Z320/P320)*1000)</f>
        <v/>
      </c>
      <c r="AB320" s="18" t="n">
        <v>21000</v>
      </c>
      <c r="AC320" s="18" t="n">
        <v>290</v>
      </c>
      <c r="AD320" s="18" t="n">
        <v>381</v>
      </c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</row>
    <row r="321" ht="37.9" customHeight="1" s="151">
      <c r="A321" s="17" t="n">
        <v>46099</v>
      </c>
      <c r="B321" s="18" t="n"/>
      <c r="C321" s="18" t="n"/>
      <c r="D321" s="18" t="inlineStr">
        <is>
          <t>电商</t>
        </is>
      </c>
      <c r="E321" s="32" t="inlineStr">
        <is>
          <t>大家电商单https://www.douyin.com/video/7589540707669553807</t>
        </is>
      </c>
      <c r="F321" s="18" t="inlineStr">
        <is>
          <t>茄猫的罐头</t>
        </is>
      </c>
      <c r="G321" s="18" t="inlineStr">
        <is>
          <t>https://www.xingtu.cn/ad/creator/author-homepage/douyin-video/7271817838690566185?market_track_id=LY4LB3QSF89L1C2C56RX&amp;search_session_id=7618486054959775782&amp;possessStarId</t>
        </is>
      </c>
      <c r="H321" s="18" t="inlineStr">
        <is>
          <t>https://www.douyin.com/user/MS4wLjABAAAAw1QvuOw7w71clws2_HxQwvLVW-LV2md50UiJ-xChwr8</t>
        </is>
      </c>
      <c r="I321" s="18" t="n">
        <v>36151375099</v>
      </c>
      <c r="J321" s="18" t="inlineStr">
        <is>
          <t>家居</t>
        </is>
      </c>
      <c r="K321" s="18" t="inlineStr">
        <is>
          <t>腰部</t>
        </is>
      </c>
      <c r="L321" s="18" t="n">
        <v>75</v>
      </c>
      <c r="M321" s="18" t="inlineStr">
        <is>
          <t>20000-100000</t>
        </is>
      </c>
      <c r="N321" s="18" t="inlineStr">
        <is>
          <t>小镇青年
新锐白领
Z世代</t>
        </is>
      </c>
      <c r="O321" s="21" t="n">
        <v>0.32</v>
      </c>
      <c r="P321" s="18" t="n">
        <v>664000</v>
      </c>
      <c r="Q321" s="18" t="n"/>
      <c r="R321" s="18" t="n"/>
      <c r="S321" s="18" t="n"/>
      <c r="T321" s="21" t="n">
        <v>0.53</v>
      </c>
      <c r="U321" s="21" t="n">
        <v>0.25</v>
      </c>
      <c r="V321" s="21" t="n">
        <v>0.35</v>
      </c>
      <c r="W321" s="21" t="n">
        <v>0.08</v>
      </c>
      <c r="X321" s="18" t="n"/>
      <c r="Y321" s="18" t="n"/>
      <c r="Z321" s="18" t="n">
        <v>54000</v>
      </c>
      <c r="AA321" s="154">
        <f>SUM((Z321/P321)*1000)</f>
        <v/>
      </c>
      <c r="AB321" s="18" t="n">
        <v>29000</v>
      </c>
      <c r="AC321" s="18" t="n">
        <v>242</v>
      </c>
      <c r="AD321" s="18" t="n">
        <v>11000</v>
      </c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</row>
    <row r="322">
      <c r="A322" s="17" t="n">
        <v>46099</v>
      </c>
      <c r="B322" s="18" t="n"/>
      <c r="C322" s="18" t="n"/>
      <c r="D322" s="18" t="inlineStr">
        <is>
          <t>电商</t>
        </is>
      </c>
      <c r="E322" s="32" t="inlineStr">
        <is>
          <t>手工原创博主，创意好，画像匹配</t>
        </is>
      </c>
      <c r="F322" s="18" t="inlineStr">
        <is>
          <t xml:space="preserve">
雅杰不加班-</t>
        </is>
      </c>
      <c r="G322" s="18" t="inlineStr">
        <is>
          <t>https://www.xingtu.cn/ad/creator/author-homepage/douyin-video/7225455728285188157?market_track_id=IHKJ7RCF85I21XAQ009Q&amp;search_session_id=7613295973854871603&amp;possessStarId</t>
        </is>
      </c>
      <c r="H322" s="18" t="inlineStr">
        <is>
          <t>https://www.douyin.com/user/MS4wLjABAAAAuhXbv8NUQf-wNDmUaV5U4D5KCHUigR7QsO4E_6ji5kUabmtzcFYUtrQu3SkYmVSR</t>
        </is>
      </c>
      <c r="I322" s="18" t="inlineStr">
        <is>
          <t>YAJIEBUJIABAN</t>
        </is>
      </c>
      <c r="J322" s="18" t="inlineStr">
        <is>
          <t>家居</t>
        </is>
      </c>
      <c r="K322" s="18" t="inlineStr">
        <is>
          <t>尾部</t>
        </is>
      </c>
      <c r="L322" s="18" t="n">
        <v>24</v>
      </c>
      <c r="M322" s="18" t="inlineStr">
        <is>
          <t>20000-100000</t>
        </is>
      </c>
      <c r="N322" s="18" t="inlineStr">
        <is>
          <t>新锐白领
小镇青年
Z世代</t>
        </is>
      </c>
      <c r="O322" s="35" t="n">
        <v>0.618</v>
      </c>
      <c r="P322" s="18" t="n">
        <v>697000</v>
      </c>
      <c r="Q322" s="18">
        <f>Z322*1.05</f>
        <v/>
      </c>
      <c r="R322" s="20">
        <f>Z322/(AB322+AD322+AC322)</f>
        <v/>
      </c>
      <c r="S322" s="18" t="inlineStr">
        <is>
          <t>视频</t>
        </is>
      </c>
      <c r="T322" s="21" t="n">
        <v>0.5</v>
      </c>
      <c r="U322" s="21" t="n">
        <v>0.34</v>
      </c>
      <c r="V322" s="21" t="n">
        <v>0.4</v>
      </c>
      <c r="W322" s="21" t="n">
        <v>0.06</v>
      </c>
      <c r="X322" s="21" t="n"/>
      <c r="Y322" s="21" t="n"/>
      <c r="Z322" s="18" t="n">
        <v>60000</v>
      </c>
      <c r="AA322" s="154">
        <f>SUM((Z322/P322)*1000)</f>
        <v/>
      </c>
      <c r="AB322" s="18" t="n">
        <v>38000</v>
      </c>
      <c r="AC322" s="18" t="n">
        <v>483</v>
      </c>
      <c r="AD322" s="18" t="n">
        <v>15000</v>
      </c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</row>
    <row r="323">
      <c r="A323" s="17" t="n">
        <v>46099</v>
      </c>
      <c r="B323" s="18" t="n"/>
      <c r="C323" s="18" t="n"/>
      <c r="D323" s="18" t="inlineStr">
        <is>
          <t>电商</t>
        </is>
      </c>
      <c r="E323" s="32" t="inlineStr">
        <is>
          <t>家居博主垂类画像精准</t>
        </is>
      </c>
      <c r="F323" s="18" t="inlineStr">
        <is>
          <t>贝勒爷 装修日记</t>
        </is>
      </c>
      <c r="G323" s="18" t="inlineStr">
        <is>
          <t>https://www.xingtu.cn/ad/creator/author-homepage/douyin-video/6997128678010273805?market_track_id=T3F09RSZB5J532D966YC&amp;search_session_id=7613301898976575514&amp;possessStarId</t>
        </is>
      </c>
      <c r="H323" s="18" t="inlineStr">
        <is>
          <t>https://www.douyin.com/user/MS4wLjABAAAA5qA_IOOFelSPMHIXHW-NyZNIX55R8yceM5gpFr99Ugend87C0wVRO2g1CSHDY67o</t>
        </is>
      </c>
      <c r="I323" s="18" t="inlineStr">
        <is>
          <t>dybej0siilpo</t>
        </is>
      </c>
      <c r="J323" s="18" t="inlineStr">
        <is>
          <t>家居</t>
        </is>
      </c>
      <c r="K323" s="18" t="inlineStr">
        <is>
          <t>尾部</t>
        </is>
      </c>
      <c r="L323" s="18" t="n">
        <v>43</v>
      </c>
      <c r="M323" s="18" t="inlineStr">
        <is>
          <t>2000-20000</t>
        </is>
      </c>
      <c r="N323" s="18" t="inlineStr">
        <is>
          <t>小镇青年
新锐白领
Z世代</t>
        </is>
      </c>
      <c r="O323" s="21" t="n">
        <v>0.48</v>
      </c>
      <c r="P323" s="18" t="n">
        <v>3575000</v>
      </c>
      <c r="Q323" s="18">
        <f>Z323*1.05</f>
        <v/>
      </c>
      <c r="R323" s="20">
        <f>Z323/(AB323+AD323+AC323)</f>
        <v/>
      </c>
      <c r="S323" s="18" t="inlineStr">
        <is>
          <t>视频</t>
        </is>
      </c>
      <c r="T323" s="21" t="n">
        <v>0.53</v>
      </c>
      <c r="U323" s="21" t="n">
        <v>0.2</v>
      </c>
      <c r="V323" s="21" t="n">
        <v>0.46</v>
      </c>
      <c r="W323" s="21" t="n">
        <v>0.2</v>
      </c>
      <c r="X323" s="21" t="n"/>
      <c r="Y323" s="21" t="n"/>
      <c r="Z323" s="18" t="n">
        <v>17000</v>
      </c>
      <c r="AA323" s="154">
        <f>SUM((Z323/P323)*1000)</f>
        <v/>
      </c>
      <c r="AB323" s="18" t="n">
        <v>18000</v>
      </c>
      <c r="AC323" s="18" t="n">
        <v>852</v>
      </c>
      <c r="AD323" s="18" t="n">
        <v>3463</v>
      </c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</row>
    <row r="324" ht="24.75" customHeight="1" s="151">
      <c r="A324" s="17" t="n">
        <v>46099</v>
      </c>
      <c r="B324" s="18" t="n"/>
      <c r="C324" s="18" t="n"/>
      <c r="D324" s="18" t="inlineStr">
        <is>
          <t>电商</t>
        </is>
      </c>
      <c r="E324" s="32" t="inlineStr">
        <is>
          <t>女粉占比较稍低，但爆款商单均为高客单价大家电</t>
        </is>
      </c>
      <c r="F324" s="18" t="inlineStr">
        <is>
          <t>我是王小毛</t>
        </is>
      </c>
      <c r="G324" s="18" t="inlineStr">
        <is>
          <t>https://www.xingtu.cn/ad/creator/author-homepage/douyin-video/6926304630271901711?market_track_id=0OYPCAVV8EYK36F21DKG&amp;search_session_id=7613346160124297225&amp;possessStarId</t>
        </is>
      </c>
      <c r="H324" s="18" t="inlineStr">
        <is>
          <t>https://www.douyin.com/user/MS4wLjABAAAAj4jdFLdrSSmm1yQo6MMLOSXaMM0biQjbTVDPT3VRmuY</t>
        </is>
      </c>
      <c r="I324" s="18" t="n">
        <v>2224187723</v>
      </c>
      <c r="J324" s="18" t="inlineStr">
        <is>
          <t>家居</t>
        </is>
      </c>
      <c r="K324" s="18" t="inlineStr">
        <is>
          <t>腰部</t>
        </is>
      </c>
      <c r="L324" s="18" t="n">
        <v>75</v>
      </c>
      <c r="M324" s="18" t="inlineStr">
        <is>
          <t>2000-20000</t>
        </is>
      </c>
      <c r="N324" s="18" t="inlineStr">
        <is>
          <t>新锐白领
小镇青年
精致妈妈</t>
        </is>
      </c>
      <c r="O324" s="21" t="n">
        <v>0.57</v>
      </c>
      <c r="P324" s="18" t="n">
        <v>863000</v>
      </c>
      <c r="Q324" s="18">
        <f>SUM(Z324*1.05)</f>
        <v/>
      </c>
      <c r="R324" s="20">
        <f>SUM(Z324/(AB324+AC324+AD324))</f>
        <v/>
      </c>
      <c r="S324" s="18" t="inlineStr">
        <is>
          <t>视频</t>
        </is>
      </c>
      <c r="T324" s="21" t="n">
        <v>0.44</v>
      </c>
      <c r="U324" s="21" t="n">
        <v>0.31</v>
      </c>
      <c r="V324" s="21" t="n">
        <v>0.49</v>
      </c>
      <c r="W324" s="21" t="n">
        <v>0.1</v>
      </c>
      <c r="X324" s="21" t="n"/>
      <c r="Y324" s="21" t="n"/>
      <c r="Z324" s="18" t="n">
        <v>44800</v>
      </c>
      <c r="AA324" s="154">
        <f>SUM((Z324/P324)*1000)</f>
        <v/>
      </c>
      <c r="AB324" s="18" t="n">
        <v>10000</v>
      </c>
      <c r="AC324" s="18" t="n">
        <v>187</v>
      </c>
      <c r="AD324" s="18" t="n">
        <v>320</v>
      </c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</row>
    <row r="325">
      <c r="A325" s="17" t="n">
        <v>46099</v>
      </c>
      <c r="B325" s="18" t="n"/>
      <c r="C325" s="18" t="n"/>
      <c r="D325" s="18" t="inlineStr">
        <is>
          <t>电商</t>
        </is>
      </c>
      <c r="E325" s="32" t="inlineStr">
        <is>
          <t>创意博主，粉丝画像OK</t>
        </is>
      </c>
      <c r="F325" s="18" t="inlineStr">
        <is>
          <t xml:space="preserve">呆猪 </t>
        </is>
      </c>
      <c r="G325" s="18" t="inlineStr">
        <is>
          <t>https://www.xingtu.cn/ad/creator/author-homepage/douyin-video/7441551962656636937?market_track_id=9T58FEEOSH7RZ6RU7JP4&amp;search_session_id=7613652077218316339&amp;possessStarId</t>
        </is>
      </c>
      <c r="H325" s="18" t="inlineStr">
        <is>
          <t>https://www.douyin.com/user/MS4wLjABAAAAPawOZPInC7aNMiahiNWqSTvSU73vSPqIAAE7PmkJSZ2bnoyStZpgGe55ibre3Iyg</t>
        </is>
      </c>
      <c r="I325" s="18" t="n">
        <v>86981708342</v>
      </c>
      <c r="J325" s="18" t="inlineStr">
        <is>
          <t>家居</t>
        </is>
      </c>
      <c r="K325" s="18" t="inlineStr">
        <is>
          <t>尾部</t>
        </is>
      </c>
      <c r="L325" s="18" t="n">
        <v>47</v>
      </c>
      <c r="M325" s="18" t="inlineStr">
        <is>
          <t>2000-20000</t>
        </is>
      </c>
      <c r="N325" s="18" t="inlineStr">
        <is>
          <t>小镇青年
新锐白领
精致妈妈</t>
        </is>
      </c>
      <c r="O325" s="21" t="n">
        <v>0.42</v>
      </c>
      <c r="P325" s="18" t="n">
        <v>123000</v>
      </c>
      <c r="Q325" s="18">
        <f>SUM(Z325*1.05)</f>
        <v/>
      </c>
      <c r="R325" s="20">
        <f>Z325/(AB325+AD325+AC325)</f>
        <v/>
      </c>
      <c r="S325" s="18" t="inlineStr">
        <is>
          <t>视频</t>
        </is>
      </c>
      <c r="T325" s="21" t="n">
        <v>0.83</v>
      </c>
      <c r="U325" s="21" t="n">
        <v>0.32</v>
      </c>
      <c r="V325" s="21" t="n">
        <v>0.39</v>
      </c>
      <c r="W325" s="21" t="n">
        <v>0.08</v>
      </c>
      <c r="X325" s="18" t="n"/>
      <c r="Y325" s="18" t="n"/>
      <c r="Z325" s="18" t="n">
        <v>25000</v>
      </c>
      <c r="AA325" s="154">
        <f>SUM((Z325/P325)*1000)</f>
        <v/>
      </c>
      <c r="AB325" s="22" t="n">
        <v>3620</v>
      </c>
      <c r="AC325" s="18" t="n">
        <v>125</v>
      </c>
      <c r="AD325" s="18" t="n">
        <v>507</v>
      </c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</row>
    <row r="326" ht="24.75" customHeight="1" s="151">
      <c r="A326" s="17" t="n">
        <v>46099</v>
      </c>
      <c r="B326" s="18" t="n"/>
      <c r="C326" s="18" t="n"/>
      <c r="D326" s="18" t="inlineStr">
        <is>
          <t>电商</t>
        </is>
      </c>
      <c r="E326" s="32" t="inlineStr">
        <is>
          <t>人群符合核心要求，创意性高，可结合产品特点定制视频</t>
        </is>
      </c>
      <c r="F326" s="18" t="inlineStr">
        <is>
          <t xml:space="preserve">熙哥家 </t>
        </is>
      </c>
      <c r="G326" s="18" t="inlineStr">
        <is>
          <t>https://www.xingtu.cn/ad/creator/author-homepage/douyin-video/6870161864530067464?market_track_id=SW5R02Z287BG97RJ9TP0&amp;search_session_id=7613707172631248922&amp;possessStarId</t>
        </is>
      </c>
      <c r="H326" s="18" t="inlineStr">
        <is>
          <t>https://www.douyin.com/user/MS4wLjABAAAA9s29W8yTEu9z0lw-htFiNE5EKgb5NFtFxHSJ-3PiV4k</t>
        </is>
      </c>
      <c r="I326" s="18" t="inlineStr">
        <is>
          <t>zzxx999999</t>
        </is>
      </c>
      <c r="J326" s="18" t="inlineStr">
        <is>
          <t>家居</t>
        </is>
      </c>
      <c r="K326" s="18" t="inlineStr">
        <is>
          <t>腰部</t>
        </is>
      </c>
      <c r="L326" s="18" t="n">
        <v>65</v>
      </c>
      <c r="M326" s="18" t="inlineStr">
        <is>
          <t>150-2000</t>
        </is>
      </c>
      <c r="N326" s="18" t="inlineStr">
        <is>
          <t>新锐白领
小镇青年
精致妈妈</t>
        </is>
      </c>
      <c r="O326" s="21" t="n">
        <v>0.4</v>
      </c>
      <c r="P326" s="18" t="n">
        <v>727000</v>
      </c>
      <c r="Q326" s="18">
        <f>SUM(Z326*1.05)</f>
        <v/>
      </c>
      <c r="R326" s="20">
        <f>Z326/(AB326+AD326+AC326)</f>
        <v/>
      </c>
      <c r="S326" s="18" t="inlineStr">
        <is>
          <t>视频</t>
        </is>
      </c>
      <c r="T326" s="21" t="n">
        <v>0.4</v>
      </c>
      <c r="U326" s="21" t="n">
        <v>0.28</v>
      </c>
      <c r="V326" s="21" t="n">
        <v>0.4</v>
      </c>
      <c r="W326" s="21" t="n">
        <v>0.14</v>
      </c>
      <c r="X326" s="18" t="n"/>
      <c r="Y326" s="18" t="n"/>
      <c r="Z326" s="18" t="n">
        <v>26000</v>
      </c>
      <c r="AA326" s="154">
        <f>SUM((Z326/P326)*1000)</f>
        <v/>
      </c>
      <c r="AB326" s="22" t="n">
        <v>3424</v>
      </c>
      <c r="AC326" s="18" t="n">
        <v>165</v>
      </c>
      <c r="AD326" s="18" t="n">
        <v>863</v>
      </c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</row>
    <row r="327">
      <c r="A327" s="17" t="n">
        <v>46099</v>
      </c>
      <c r="B327" s="18" t="n"/>
      <c r="C327" s="18" t="n"/>
      <c r="D327" s="18" t="inlineStr">
        <is>
          <t>电商</t>
        </is>
      </c>
      <c r="E327" s="32" t="inlineStr">
        <is>
          <t>精致妈妈占比第一</t>
        </is>
      </c>
      <c r="F327" s="18" t="inlineStr">
        <is>
          <t>夏天 妈妈</t>
        </is>
      </c>
      <c r="G327" s="18" t="inlineStr">
        <is>
          <t>https://www.xingtu.cn/ad/creator/author-homepage/douyin-video/6994640370961219591?market_track_id=BQFZGFBK6WAOAUFUKUFF&amp;search_session_id=7615925446161121326&amp;possessStarId</t>
        </is>
      </c>
      <c r="H327" s="18" t="inlineStr">
        <is>
          <t>https://www.douyin.com/user/MS4wLjABAAAAKFrzR-Lh8AvbUdXHxl0eiTdwcit_JiqOh6UBH4dAVI0</t>
        </is>
      </c>
      <c r="I327" s="18" t="inlineStr">
        <is>
          <t>YMF1994</t>
        </is>
      </c>
      <c r="J327" s="18" t="inlineStr">
        <is>
          <t>母婴</t>
        </is>
      </c>
      <c r="K327" s="18" t="inlineStr">
        <is>
          <t>尾部</t>
        </is>
      </c>
      <c r="L327" s="18" t="n">
        <v>44</v>
      </c>
      <c r="M327" s="18" t="inlineStr">
        <is>
          <t>2000-20000</t>
        </is>
      </c>
      <c r="N327" s="18" t="inlineStr">
        <is>
          <t>精致妈妈
新锐白领
小镇青年</t>
        </is>
      </c>
      <c r="O327" s="21" t="n">
        <v>0.76</v>
      </c>
      <c r="P327" s="18" t="n">
        <v>233000</v>
      </c>
      <c r="Q327" s="18">
        <f>Z327*1.05</f>
        <v/>
      </c>
      <c r="R327" s="20">
        <f>Z327/(AB327+AD327+AC327)</f>
        <v/>
      </c>
      <c r="S327" s="18" t="inlineStr">
        <is>
          <t>视频</t>
        </is>
      </c>
      <c r="T327" s="21" t="n">
        <v>0.89</v>
      </c>
      <c r="U327" s="21" t="n">
        <v>0.35</v>
      </c>
      <c r="V327" s="21" t="n">
        <v>0.48</v>
      </c>
      <c r="W327" s="21" t="n">
        <v>0.1</v>
      </c>
      <c r="X327" s="18" t="n"/>
      <c r="Y327" s="18" t="n"/>
      <c r="Z327" s="18" t="n">
        <v>29000</v>
      </c>
      <c r="AA327" s="154">
        <f>SUM((Z327/P327)*1000)</f>
        <v/>
      </c>
      <c r="AB327" s="22" t="n">
        <v>2661</v>
      </c>
      <c r="AC327" s="18" t="n">
        <v>261</v>
      </c>
      <c r="AD327" s="18" t="n">
        <v>161</v>
      </c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</row>
    <row r="328">
      <c r="A328" s="17" t="n">
        <v>46099</v>
      </c>
      <c r="B328" s="18" t="n"/>
      <c r="C328" s="18" t="n"/>
      <c r="D328" s="18" t="inlineStr">
        <is>
          <t>电商</t>
        </is>
      </c>
      <c r="E328" s="32" t="inlineStr">
        <is>
          <t>女粉和精致妈妈占比多</t>
        </is>
      </c>
      <c r="F328" s="18" t="inlineStr">
        <is>
          <t>多多妈小厨房</t>
        </is>
      </c>
      <c r="G328" s="18" t="inlineStr">
        <is>
          <t>https://www.xingtu.cn/ad/creator/author-homepage/douyin-video/7072745980210184223?market_track_id=BQFZGFBK6WAOAUFUKUFF&amp;search_session_id=7615927107147513866&amp;possessStarId</t>
        </is>
      </c>
      <c r="H328" s="18" t="inlineStr">
        <is>
          <t>https://www.douyin.com/user/MS4wLjABAAAA_HxonAavr589mpQxQuiYeJM_UbmAFJze0ivECvL-BMo</t>
        </is>
      </c>
      <c r="I328" s="18" t="inlineStr">
        <is>
          <t>juping27965</t>
        </is>
      </c>
      <c r="J328" s="18" t="inlineStr">
        <is>
          <t>美食</t>
        </is>
      </c>
      <c r="K328" s="18" t="inlineStr">
        <is>
          <t>腰部</t>
        </is>
      </c>
      <c r="L328" s="18" t="n">
        <v>127</v>
      </c>
      <c r="M328" s="18" t="inlineStr">
        <is>
          <t>2000-20000</t>
        </is>
      </c>
      <c r="N328" s="18" t="inlineStr">
        <is>
          <t>精致妈妈
小镇青年
新锐白领</t>
        </is>
      </c>
      <c r="O328" s="21" t="n">
        <v>0.45</v>
      </c>
      <c r="P328" s="18" t="n">
        <v>577000</v>
      </c>
      <c r="Q328" s="18">
        <f>Z328*1.05</f>
        <v/>
      </c>
      <c r="R328" s="20">
        <f>Z328/(AB328+AD328+AC328)</f>
        <v/>
      </c>
      <c r="S328" s="18" t="inlineStr">
        <is>
          <t>视频</t>
        </is>
      </c>
      <c r="T328" s="21" t="n">
        <v>0.83</v>
      </c>
      <c r="U328" s="21" t="n">
        <v>0.27</v>
      </c>
      <c r="V328" s="21" t="n">
        <v>0.46</v>
      </c>
      <c r="W328" s="21" t="n">
        <v>0.08</v>
      </c>
      <c r="X328" s="18" t="n"/>
      <c r="Y328" s="18" t="n"/>
      <c r="Z328" s="18" t="n">
        <v>80000</v>
      </c>
      <c r="AA328" s="154">
        <f>SUM((Z328/P328)*1000)</f>
        <v/>
      </c>
      <c r="AB328" s="18" t="n">
        <v>11000</v>
      </c>
      <c r="AC328" s="18" t="n">
        <v>423</v>
      </c>
      <c r="AD328" s="18" t="n">
        <v>1329</v>
      </c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</row>
    <row r="329">
      <c r="A329" s="17" t="n">
        <v>46099</v>
      </c>
      <c r="B329" s="18" t="n"/>
      <c r="C329" s="18" t="n"/>
      <c r="D329" s="18" t="inlineStr">
        <is>
          <t>电商</t>
        </is>
      </c>
      <c r="E329" s="32" t="inlineStr">
        <is>
          <t>女粉和精致妈妈占比多</t>
        </is>
      </c>
      <c r="F329" s="18" t="inlineStr">
        <is>
          <t>路嫂赵逸.</t>
        </is>
      </c>
      <c r="G329" s="18" t="inlineStr">
        <is>
          <t>https://www.xingtu.cn/ad/creator/author-homepage/douyin-video/6870161519338848269?market_track_id=BQFZGFBK6WAOAUFUKUFF&amp;search_session_id=7615927107147513866&amp;possessStarId</t>
        </is>
      </c>
      <c r="H329" s="18" t="inlineStr">
        <is>
          <t>https://www.douyin.com/user/MS4wLjABAAAAueFF0PaDfazgIovWP3zpwfyQSw2rDa14gI2g2aEDfY4</t>
        </is>
      </c>
      <c r="I329" s="18" t="inlineStr">
        <is>
          <t>zy15399667773</t>
        </is>
      </c>
      <c r="J329" s="18" t="inlineStr">
        <is>
          <t>生活</t>
        </is>
      </c>
      <c r="K329" s="18" t="inlineStr">
        <is>
          <t>腰部</t>
        </is>
      </c>
      <c r="L329" s="18" t="n">
        <v>57</v>
      </c>
      <c r="M329" s="18" t="inlineStr">
        <is>
          <t>20000-100000</t>
        </is>
      </c>
      <c r="N329" s="18" t="inlineStr">
        <is>
          <t>小镇青年
精致妈妈
新锐白领</t>
        </is>
      </c>
      <c r="O329" s="21" t="n">
        <v>0.42</v>
      </c>
      <c r="P329" s="18" t="n">
        <v>611000</v>
      </c>
      <c r="Q329" s="18">
        <f>Z329*1.05</f>
        <v/>
      </c>
      <c r="R329" s="20">
        <f>Z329/(AB329+AD329+AC329)</f>
        <v/>
      </c>
      <c r="S329" s="18" t="inlineStr">
        <is>
          <t>视频</t>
        </is>
      </c>
      <c r="T329" s="21" t="n">
        <v>0.73</v>
      </c>
      <c r="U329" s="21" t="n">
        <v>0.23</v>
      </c>
      <c r="V329" s="21" t="n">
        <v>0.45</v>
      </c>
      <c r="W329" s="21" t="n">
        <v>0.15</v>
      </c>
      <c r="X329" s="18" t="n"/>
      <c r="Y329" s="18" t="n"/>
      <c r="Z329" s="18" t="n">
        <v>40000</v>
      </c>
      <c r="AA329" s="154">
        <f>SUM((Z329/P329)*1000)</f>
        <v/>
      </c>
      <c r="AB329" s="18" t="n">
        <v>13000</v>
      </c>
      <c r="AC329" s="18" t="n">
        <v>349</v>
      </c>
      <c r="AD329" s="18" t="n">
        <v>191</v>
      </c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</row>
    <row r="330" ht="24.75" customHeight="1" s="151">
      <c r="A330" s="17" t="n">
        <v>46099</v>
      </c>
      <c r="B330" s="18" t="n"/>
      <c r="C330" s="18" t="n"/>
      <c r="D330" s="18" t="inlineStr">
        <is>
          <t>电商</t>
        </is>
      </c>
      <c r="E330" s="32" t="inlineStr">
        <is>
          <t>女粉和精致妈妈占比多，创意型博主</t>
        </is>
      </c>
      <c r="F330" s="18" t="inlineStr">
        <is>
          <t xml:space="preserve">云胡不喜 </t>
        </is>
      </c>
      <c r="G330" s="18" t="inlineStr">
        <is>
          <t>https://www.xingtu.cn/ad/creator/author-homepage/douyin-video/7167716894055596046?market_track_id=BQFZGFBK6WAOAUFUKUFF&amp;search_session_id=7615927755905859622&amp;possessStarId</t>
        </is>
      </c>
      <c r="H330" s="18" t="inlineStr">
        <is>
          <t>https://www.douyin.com/user/MS4wLjABAAAAgcZTYFu4DUkOcFwZ3LasykSoKvRcfJjOH-PUuH9zAaV9gdHmcdWTW3_WWD379E8R</t>
        </is>
      </c>
      <c r="I330" s="18" t="inlineStr">
        <is>
          <t>yunhubuxi999</t>
        </is>
      </c>
      <c r="J330" s="18" t="inlineStr">
        <is>
          <t>生活</t>
        </is>
      </c>
      <c r="K330" s="18" t="inlineStr">
        <is>
          <t>腰部</t>
        </is>
      </c>
      <c r="L330" s="18" t="n">
        <v>50</v>
      </c>
      <c r="M330" s="18" t="inlineStr">
        <is>
          <t>2000-20000</t>
        </is>
      </c>
      <c r="N330" s="18" t="inlineStr">
        <is>
          <t>小镇青年
精致妈妈
新锐白领</t>
        </is>
      </c>
      <c r="O330" s="21" t="n">
        <v>0.45</v>
      </c>
      <c r="P330" s="18" t="n">
        <v>1433000</v>
      </c>
      <c r="Q330" s="18">
        <f>Z330*1.05</f>
        <v/>
      </c>
      <c r="R330" s="20">
        <f>Z330/(AB330+AD330+AC330)</f>
        <v/>
      </c>
      <c r="S330" s="18" t="inlineStr">
        <is>
          <t>视频</t>
        </is>
      </c>
      <c r="T330" s="21" t="n">
        <v>0.93</v>
      </c>
      <c r="U330" s="21" t="n">
        <v>0.3</v>
      </c>
      <c r="V330" s="21" t="n">
        <v>0.4</v>
      </c>
      <c r="W330" s="21" t="n">
        <v>0.09</v>
      </c>
      <c r="X330" s="18" t="n"/>
      <c r="Y330" s="18" t="n"/>
      <c r="Z330" s="18" t="n">
        <v>38000</v>
      </c>
      <c r="AA330" s="154">
        <f>SUM((Z330/P330)*1000)</f>
        <v/>
      </c>
      <c r="AB330" s="18" t="n">
        <v>15000</v>
      </c>
      <c r="AC330" s="18" t="n">
        <v>438</v>
      </c>
      <c r="AD330" s="18" t="n">
        <v>2291</v>
      </c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</row>
    <row r="331">
      <c r="A331" s="17" t="n">
        <v>46099</v>
      </c>
      <c r="B331" s="18" t="n"/>
      <c r="C331" s="18" t="n"/>
      <c r="D331" s="18" t="inlineStr">
        <is>
          <t>电商</t>
        </is>
      </c>
      <c r="E331" s="32" t="inlineStr">
        <is>
          <t>资深中产占比高</t>
        </is>
      </c>
      <c r="F331" s="18" t="inlineStr">
        <is>
          <t xml:space="preserve">王夫人 </t>
        </is>
      </c>
      <c r="G331" s="18" t="inlineStr">
        <is>
          <t>https://www.xingtu.cn/ad/creator/author-homepage/douyin-video/7252161259804557367?market_track_id=BQFZGFBK6WAOAUFUKUFF&amp;search_session_id=7615929518088044571&amp;possessStarId</t>
        </is>
      </c>
      <c r="H331" s="18" t="inlineStr">
        <is>
          <t>https://www.douyin.com/user/MS4wLjABAAAAxgugwnC751HE4ncElhQ77PeD_qDoHL_zQtXpq5MRC9A</t>
        </is>
      </c>
      <c r="I331" s="18" t="inlineStr">
        <is>
          <t>Q500Q500</t>
        </is>
      </c>
      <c r="J331" s="18" t="inlineStr">
        <is>
          <t>家居</t>
        </is>
      </c>
      <c r="K331" s="18" t="inlineStr">
        <is>
          <t>腰部</t>
        </is>
      </c>
      <c r="L331" s="18" t="n">
        <v>63</v>
      </c>
      <c r="M331" s="18" t="inlineStr">
        <is>
          <t>150-2000</t>
        </is>
      </c>
      <c r="N331" s="18" t="inlineStr">
        <is>
          <t>资深中产
小镇青年
新锐白领</t>
        </is>
      </c>
      <c r="O331" s="21" t="n">
        <v>0.63</v>
      </c>
      <c r="P331" s="18" t="n">
        <v>1250000</v>
      </c>
      <c r="Q331" s="18">
        <f>Z331*1.05</f>
        <v/>
      </c>
      <c r="R331" s="20">
        <f>Z331/(AB331+AD331+AC331)</f>
        <v/>
      </c>
      <c r="S331" s="18" t="inlineStr">
        <is>
          <t>视频</t>
        </is>
      </c>
      <c r="T331" s="21" t="n">
        <v>0.7</v>
      </c>
      <c r="U331" s="21" t="n">
        <v>0.18</v>
      </c>
      <c r="V331" s="21" t="n">
        <v>0.38</v>
      </c>
      <c r="W331" s="21" t="n">
        <v>0.33</v>
      </c>
      <c r="X331" s="18" t="n"/>
      <c r="Y331" s="18" t="n"/>
      <c r="Z331" s="18" t="n">
        <v>35000</v>
      </c>
      <c r="AA331" s="154">
        <f>SUM((Z331/P331)*1000)</f>
        <v/>
      </c>
      <c r="AB331" s="18" t="n">
        <v>14000</v>
      </c>
      <c r="AC331" s="18" t="n">
        <v>249</v>
      </c>
      <c r="AD331" s="18" t="n">
        <v>648</v>
      </c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</row>
    <row r="332" ht="37.9" customHeight="1" s="151">
      <c r="A332" s="17" t="n">
        <v>46099</v>
      </c>
      <c r="B332" s="18" t="n"/>
      <c r="C332" s="18" t="n"/>
      <c r="D332" s="18" t="inlineStr">
        <is>
          <t>电商</t>
        </is>
      </c>
      <c r="E332" s="32" t="inlineStr">
        <is>
          <t>创意博主，有过大家电商单卡萨帝https://www.douyin.com/video/7561712934305516827</t>
        </is>
      </c>
      <c r="F332" s="18" t="inlineStr">
        <is>
          <t xml:space="preserve">薇薇学姐（非遗版） </t>
        </is>
      </c>
      <c r="G332" s="18" t="inlineStr">
        <is>
          <t>https://www.xingtu.cn/ad/creator/author-homepage/douyin-video/6907118949305942024?market_track_id=RM1Q0W77NOJCAD9UKAIF&amp;search_session_id=7616291070897094694&amp;possessStarId</t>
        </is>
      </c>
      <c r="H332" s="18" t="inlineStr">
        <is>
          <t>https://www.douyin.com/user/MS4wLjABAAAAHdGznQ6dwSu3m2vRS9mdFgCbKhJQOyHlU-RG1xu79409A3YSM74GdTzK39rj3DML</t>
        </is>
      </c>
      <c r="I332" s="18" t="inlineStr">
        <is>
          <t>kuzi988</t>
        </is>
      </c>
      <c r="J332" s="18" t="inlineStr">
        <is>
          <t>非遗</t>
        </is>
      </c>
      <c r="K332" s="18" t="inlineStr">
        <is>
          <t>腰部</t>
        </is>
      </c>
      <c r="L332" s="18" t="n">
        <v>87</v>
      </c>
      <c r="M332" s="18" t="inlineStr">
        <is>
          <t>2000-20000</t>
        </is>
      </c>
      <c r="N332" s="18" t="inlineStr">
        <is>
          <t>新锐白领
精致妈妈
小镇青年</t>
        </is>
      </c>
      <c r="O332" s="21" t="n">
        <v>0.6</v>
      </c>
      <c r="P332" s="18" t="n">
        <v>1408000</v>
      </c>
      <c r="Q332" s="18">
        <f>Z332*1.05</f>
        <v/>
      </c>
      <c r="R332" s="20">
        <f>Z332/(AB332+AD332+AC332)</f>
        <v/>
      </c>
      <c r="S332" s="18" t="inlineStr">
        <is>
          <t>视频</t>
        </is>
      </c>
      <c r="T332" s="21" t="n">
        <v>0.79</v>
      </c>
      <c r="U332" s="21" t="n">
        <v>0.32</v>
      </c>
      <c r="V332" s="21" t="n">
        <v>0.34</v>
      </c>
      <c r="W332" s="21" t="n">
        <v>0.07000000000000001</v>
      </c>
      <c r="X332" s="18" t="n"/>
      <c r="Y332" s="18" t="n"/>
      <c r="Z332" s="18" t="n">
        <v>31000</v>
      </c>
      <c r="AA332" s="154">
        <f>SUM((Z332/P332)*1000)</f>
        <v/>
      </c>
      <c r="AB332" s="18" t="n">
        <v>31000</v>
      </c>
      <c r="AC332" s="18" t="n">
        <v>242</v>
      </c>
      <c r="AD332" s="18" t="n">
        <v>1260</v>
      </c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</row>
    <row r="333">
      <c r="A333" s="17" t="n">
        <v>46099</v>
      </c>
      <c r="B333" s="18" t="n"/>
      <c r="C333" s="18" t="n"/>
      <c r="D333" s="18" t="inlineStr">
        <is>
          <t>电商</t>
        </is>
      </c>
      <c r="E333" s="32" t="inlineStr">
        <is>
          <t>精致妈妈占比高</t>
        </is>
      </c>
      <c r="F333" s="18" t="inlineStr">
        <is>
          <t xml:space="preserve">Baby周 </t>
        </is>
      </c>
      <c r="G333" s="18" t="inlineStr">
        <is>
          <t>https://www.xingtu.cn/ad/creator/author-homepage/douyin-video/6927143235483598861?market_track_id=FXDDTU1X5IKRL2PIYGIK&amp;search_session_id=7616293184859914267&amp;possessStarId</t>
        </is>
      </c>
      <c r="H333" s="18" t="inlineStr">
        <is>
          <t>https://www.douyin.com/user/MS4wLjABAAAAepqHKo1626yCN95H8kRjLV-y2dzunICZaFcj6oufbfM</t>
        </is>
      </c>
      <c r="I333" s="18" t="n">
        <v>80936907</v>
      </c>
      <c r="J333" s="18" t="inlineStr">
        <is>
          <t>母婴</t>
        </is>
      </c>
      <c r="K333" s="18" t="inlineStr">
        <is>
          <t>尾部</t>
        </is>
      </c>
      <c r="L333" s="18" t="n">
        <v>37</v>
      </c>
      <c r="M333" s="18" t="inlineStr">
        <is>
          <t>2000-20000</t>
        </is>
      </c>
      <c r="N333" s="18" t="inlineStr">
        <is>
          <t>精致妈妈
小镇青年
新锐白领</t>
        </is>
      </c>
      <c r="O333" s="21" t="n">
        <v>0.5600000000000001</v>
      </c>
      <c r="P333" s="18" t="n">
        <v>587000</v>
      </c>
      <c r="Q333" s="18">
        <f>Z333*1.05</f>
        <v/>
      </c>
      <c r="R333" s="20">
        <f>Z333/(AB333+AD333+AC333)</f>
        <v/>
      </c>
      <c r="S333" s="18" t="inlineStr">
        <is>
          <t>视频</t>
        </is>
      </c>
      <c r="T333" s="21" t="n">
        <v>0.96</v>
      </c>
      <c r="U333" s="21" t="n">
        <v>0.45</v>
      </c>
      <c r="V333" s="21" t="n">
        <v>0.43</v>
      </c>
      <c r="W333" s="21" t="n">
        <v>0.02</v>
      </c>
      <c r="X333" s="18" t="n"/>
      <c r="Y333" s="18" t="n"/>
      <c r="Z333" s="18" t="n">
        <v>28800</v>
      </c>
      <c r="AA333" s="154">
        <f>SUM((Z333/P333)*1000)</f>
        <v/>
      </c>
      <c r="AB333" s="18" t="n">
        <v>3165</v>
      </c>
      <c r="AC333" s="18" t="n">
        <v>210</v>
      </c>
      <c r="AD333" s="18" t="n">
        <v>150</v>
      </c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</row>
    <row r="334">
      <c r="A334" s="17" t="n">
        <v>46099</v>
      </c>
      <c r="B334" s="18" t="n"/>
      <c r="C334" s="18" t="n"/>
      <c r="D334" s="18" t="inlineStr">
        <is>
          <t>电商</t>
        </is>
      </c>
      <c r="E334" s="32" t="inlineStr">
        <is>
          <t>精致妈妈占比高</t>
        </is>
      </c>
      <c r="F334" s="18" t="inlineStr">
        <is>
          <t xml:space="preserve">KK不卷卷 </t>
        </is>
      </c>
      <c r="G334" s="18" t="inlineStr">
        <is>
          <t>https://www.xingtu.cn/ad/creator/author-homepage/douyin-video/7024416887282860066?market_track_id=FXDDTU1X5IKRL2PIYGIK&amp;search_session_id=7616293184859914267&amp;possessStarId</t>
        </is>
      </c>
      <c r="H334" s="18" t="inlineStr">
        <is>
          <t>https://www.douyin.com/user/MS4wLjABAAAAcOEi4yfhGtK947Ilzze-4vvu_OdRnwZZJQhVcPGwMD4</t>
        </is>
      </c>
      <c r="I334" s="18" t="inlineStr">
        <is>
          <t>KKbujuanjuan</t>
        </is>
      </c>
      <c r="J334" s="18" t="inlineStr">
        <is>
          <t>生活</t>
        </is>
      </c>
      <c r="K334" s="18" t="inlineStr">
        <is>
          <t>尾部</t>
        </is>
      </c>
      <c r="L334" s="18" t="n">
        <v>24</v>
      </c>
      <c r="M334" s="18" t="inlineStr">
        <is>
          <t>20000-100000</t>
        </is>
      </c>
      <c r="N334" s="18" t="inlineStr">
        <is>
          <t>新锐白领
小镇青年
精致妈妈</t>
        </is>
      </c>
      <c r="O334" s="21" t="n">
        <v>0.46</v>
      </c>
      <c r="P334" s="18" t="n">
        <v>1891000</v>
      </c>
      <c r="Q334" s="18">
        <f>Z334*1.05</f>
        <v/>
      </c>
      <c r="R334" s="20">
        <f>Z334/(AB334+AD334+AC334)</f>
        <v/>
      </c>
      <c r="S334" s="18" t="inlineStr">
        <is>
          <t>视频</t>
        </is>
      </c>
      <c r="T334" s="21" t="n">
        <v>0.65</v>
      </c>
      <c r="U334" s="21" t="n">
        <v>0.24</v>
      </c>
      <c r="V334" s="21" t="n">
        <v>0.37</v>
      </c>
      <c r="W334" s="21" t="n">
        <v>0.1</v>
      </c>
      <c r="X334" s="18" t="n"/>
      <c r="Y334" s="18" t="n"/>
      <c r="Z334" s="18" t="n">
        <v>39210</v>
      </c>
      <c r="AA334" s="154">
        <f>SUM((Z334/P334)*1000)</f>
        <v/>
      </c>
      <c r="AB334" s="18" t="n">
        <v>55000</v>
      </c>
      <c r="AC334" s="18" t="n">
        <v>1438</v>
      </c>
      <c r="AD334" s="18" t="n">
        <v>329</v>
      </c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</row>
    <row r="335">
      <c r="A335" s="17" t="n">
        <v>46099</v>
      </c>
      <c r="B335" s="18" t="n"/>
      <c r="C335" s="18" t="n"/>
      <c r="D335" s="18" t="inlineStr">
        <is>
          <t>电商</t>
        </is>
      </c>
      <c r="E335" s="32" t="inlineStr">
        <is>
          <t>精致妈妈占比高，家庭场景多</t>
        </is>
      </c>
      <c r="F335" s="18" t="inlineStr">
        <is>
          <t xml:space="preserve">丫丫日记 </t>
        </is>
      </c>
      <c r="G335" s="18" t="inlineStr">
        <is>
          <t>https://www.xingtu.cn/ad/creator/author-homepage/douyin-video/6759441649018863624?market_track_id=FXDDTU1X5IKRL2PIYGIK&amp;search_session_id=7616297123428106291&amp;possessStarId</t>
        </is>
      </c>
      <c r="H335" s="18" t="inlineStr">
        <is>
          <t>https://www.douyin.com/user/MS4wLjABAAAAtDsELJJ0L5as3kW5jbWy0gjGjWc4JqpehiHsl2eiIqpAtjCPoU75Btno11edndqN</t>
        </is>
      </c>
      <c r="I335" s="18" t="inlineStr">
        <is>
          <t>lvyazheng</t>
        </is>
      </c>
      <c r="J335" s="18" t="inlineStr">
        <is>
          <t>生活</t>
        </is>
      </c>
      <c r="K335" s="18" t="inlineStr">
        <is>
          <t>腰部</t>
        </is>
      </c>
      <c r="L335" s="18" t="n">
        <v>107</v>
      </c>
      <c r="M335" s="18" t="inlineStr">
        <is>
          <t>2000-20000</t>
        </is>
      </c>
      <c r="N335" s="18" t="inlineStr">
        <is>
          <t>小镇青年
精致妈妈
新锐白领</t>
        </is>
      </c>
      <c r="O335" s="21" t="n">
        <v>0.43</v>
      </c>
      <c r="P335" s="18" t="n">
        <v>1292000</v>
      </c>
      <c r="Q335" s="18">
        <f>Z335*1.05</f>
        <v/>
      </c>
      <c r="R335" s="20">
        <f>Z335/(AB335+AD335+AC335)</f>
        <v/>
      </c>
      <c r="S335" s="18" t="inlineStr">
        <is>
          <t>视频</t>
        </is>
      </c>
      <c r="T335" s="21" t="n">
        <v>0.83</v>
      </c>
      <c r="U335" s="21" t="n">
        <v>0.35</v>
      </c>
      <c r="V335" s="21" t="n">
        <v>0.27</v>
      </c>
      <c r="W335" s="21" t="n">
        <v>0.07000000000000001</v>
      </c>
      <c r="X335" s="18" t="n"/>
      <c r="Y335" s="18" t="n"/>
      <c r="Z335" s="18" t="n">
        <v>50000</v>
      </c>
      <c r="AA335" s="154">
        <f>SUM((Z335/P335)*1000)</f>
        <v/>
      </c>
      <c r="AB335" s="18" t="n">
        <v>9004</v>
      </c>
      <c r="AC335" s="18" t="n">
        <v>97</v>
      </c>
      <c r="AD335" s="18" t="n">
        <v>102</v>
      </c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</row>
    <row r="336">
      <c r="A336" s="17" t="n">
        <v>46099</v>
      </c>
      <c r="B336" s="18" t="n"/>
      <c r="C336" s="18" t="n"/>
      <c r="D336" s="18" t="inlineStr">
        <is>
          <t>电商</t>
        </is>
      </c>
      <c r="E336" s="32" t="inlineStr">
        <is>
          <t>中产家庭，精致妈妈占比高</t>
        </is>
      </c>
      <c r="F336" s="18" t="inlineStr">
        <is>
          <t xml:space="preserve">梦洁有六个葫芦娃 </t>
        </is>
      </c>
      <c r="G336" s="18" t="inlineStr">
        <is>
          <t>https://www.xingtu.cn/ad/creator/author-homepage/douyin-video/7161065043155484685?market_track_id=6MJHWHZ9IVSELA36P36G&amp;search_session_id=7616321513118760998&amp;possessStarId</t>
        </is>
      </c>
      <c r="H336" s="18" t="inlineStr">
        <is>
          <t>https://www.douyin.com/user/MS4wLjABAAAAtqKDhpIp2otOFPOW-aHlaRcDZcdzdqSY0rL1hJgHbJ9fbYsiB914X6t0Iv4giFSG</t>
        </is>
      </c>
      <c r="I336" s="18" t="inlineStr">
        <is>
          <t>mengjie0371</t>
        </is>
      </c>
      <c r="J336" s="18" t="inlineStr">
        <is>
          <t>母婴</t>
        </is>
      </c>
      <c r="K336" s="18" t="inlineStr">
        <is>
          <t>腰部</t>
        </is>
      </c>
      <c r="L336" s="18" t="n">
        <v>256</v>
      </c>
      <c r="M336" s="18" t="inlineStr">
        <is>
          <t>近期未接商单</t>
        </is>
      </c>
      <c r="N336" s="18" t="inlineStr">
        <is>
          <t>精致妈妈
小镇青年
都市白领</t>
        </is>
      </c>
      <c r="O336" s="21" t="n">
        <v>0.52</v>
      </c>
      <c r="P336" s="18" t="n">
        <v>1899000</v>
      </c>
      <c r="Q336" s="18">
        <f>Z336*1.05</f>
        <v/>
      </c>
      <c r="R336" s="20">
        <f>Z336/(AB336+AD336+AC336)</f>
        <v/>
      </c>
      <c r="S336" s="18" t="inlineStr">
        <is>
          <t>视频</t>
        </is>
      </c>
      <c r="T336" s="21" t="n">
        <v>0.76</v>
      </c>
      <c r="U336" s="21" t="n">
        <v>0.21</v>
      </c>
      <c r="V336" s="21" t="n">
        <v>0.54</v>
      </c>
      <c r="W336" s="21" t="n">
        <v>0.14</v>
      </c>
      <c r="X336" s="18" t="n"/>
      <c r="Y336" s="18" t="n"/>
      <c r="Z336" s="18" t="n">
        <v>61000</v>
      </c>
      <c r="AA336" s="154">
        <f>SUM((Z336/P336)*1000)</f>
        <v/>
      </c>
      <c r="AB336" s="18" t="n">
        <v>29000</v>
      </c>
      <c r="AC336" s="18" t="n">
        <v>1296</v>
      </c>
      <c r="AD336" s="18" t="n">
        <v>1613</v>
      </c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</row>
    <row r="337" ht="37.9" customHeight="1" s="151">
      <c r="A337" s="17" t="n">
        <v>46099</v>
      </c>
      <c r="B337" s="18" t="n"/>
      <c r="C337" s="18" t="n"/>
      <c r="D337" s="18" t="inlineStr">
        <is>
          <t>品牌</t>
        </is>
      </c>
      <c r="E337" s="32" t="inlineStr">
        <is>
          <t>海尔大家电爆款商单https://www.douyin.com/video/7402461141940604201</t>
        </is>
      </c>
      <c r="F337" s="18" t="inlineStr">
        <is>
          <t xml:space="preserve">拳师犬阿卢 </t>
        </is>
      </c>
      <c r="G337" s="18" t="inlineStr">
        <is>
          <t>https://www.xingtu.cn/ad/creator/author-homepage/douyin-video/6629664154447773704?market_track_id=C3T9LPPN1SC7ET0QI4RF&amp;search_session_id=7616579607346626570&amp;possessStarId</t>
        </is>
      </c>
      <c r="H337" s="18" t="inlineStr">
        <is>
          <t>https://www.douyin.com/user/MS4wLjABAAAABr08X5Vc6Q_s3S07050ecc7pMYCyEvyPUzdJma2bt_M</t>
        </is>
      </c>
      <c r="I337" s="18" t="inlineStr">
        <is>
          <t>3170G</t>
        </is>
      </c>
      <c r="J337" s="18" t="inlineStr">
        <is>
          <t>萌宠</t>
        </is>
      </c>
      <c r="K337" s="18" t="inlineStr">
        <is>
          <t>腰部</t>
        </is>
      </c>
      <c r="L337" s="18" t="n">
        <v>240</v>
      </c>
      <c r="M337" s="18" t="inlineStr">
        <is>
          <t>近一个月无商单</t>
        </is>
      </c>
      <c r="N337" s="18" t="inlineStr">
        <is>
          <t>小镇青年
新锐白领
都市蓝领</t>
        </is>
      </c>
      <c r="O337" s="21" t="n">
        <v>0.44</v>
      </c>
      <c r="P337" s="18" t="n">
        <v>1260000</v>
      </c>
      <c r="Q337" s="18">
        <f>Z337*1.05</f>
        <v/>
      </c>
      <c r="R337" s="20">
        <f>Z337/(AB337+AC337+AD337)</f>
        <v/>
      </c>
      <c r="S337" s="18" t="inlineStr">
        <is>
          <t>视频</t>
        </is>
      </c>
      <c r="T337" s="21" t="n">
        <v>0.55</v>
      </c>
      <c r="U337" s="21" t="n">
        <v>0.22</v>
      </c>
      <c r="V337" s="21" t="n">
        <v>0.5600000000000001</v>
      </c>
      <c r="W337" s="21" t="n">
        <v>0.14</v>
      </c>
      <c r="X337" s="18" t="n"/>
      <c r="Y337" s="18" t="n"/>
      <c r="Z337" s="18" t="n">
        <v>45900</v>
      </c>
      <c r="AA337" s="20">
        <f>Z337/P337*1000</f>
        <v/>
      </c>
      <c r="AB337" s="18" t="n">
        <v>24000</v>
      </c>
      <c r="AC337" s="18" t="n">
        <v>679</v>
      </c>
      <c r="AD337" s="18" t="n">
        <v>2365</v>
      </c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</row>
    <row r="338">
      <c r="A338" s="17" t="n">
        <v>46099</v>
      </c>
      <c r="B338" s="18" t="n"/>
      <c r="C338" s="18" t="n"/>
      <c r="D338" s="18" t="inlineStr">
        <is>
          <t>品牌</t>
        </is>
      </c>
      <c r="E338" s="32" t="inlineStr">
        <is>
          <t>粉丝画像适配性强，多出爆款商单</t>
        </is>
      </c>
      <c r="F338" s="18" t="inlineStr">
        <is>
          <t xml:space="preserve">
高瓦斯 </t>
        </is>
      </c>
      <c r="G338" s="18" t="inlineStr">
        <is>
          <t>https://www.xingtu.cn/ad/creator/author-homepage/douyin-video/6992043651710844942?market_track_id=C3T9LPPN1SC7ET0QI4RF&amp;search_session_id=7616580037122736174&amp;possessStarId</t>
        </is>
      </c>
      <c r="H338" s="18" t="inlineStr">
        <is>
          <t>https://www.douyin.com/user/MS4wLjABAAAA9KXFZj4eehkhdu-idU4jwar3LBbDveoN2NTLoNkm6kfUFIeKIsbffmALrHw3WrNG</t>
        </is>
      </c>
      <c r="I338" s="18" t="n">
        <v>2161851781</v>
      </c>
      <c r="J338" s="18" t="inlineStr">
        <is>
          <t>手工家居</t>
        </is>
      </c>
      <c r="K338" s="18" t="inlineStr">
        <is>
          <t>腰部</t>
        </is>
      </c>
      <c r="L338" s="18" t="n">
        <v>279</v>
      </c>
      <c r="M338" s="18" t="inlineStr">
        <is>
          <t>100000+</t>
        </is>
      </c>
      <c r="N338" s="18" t="inlineStr">
        <is>
          <t>小镇青年
新锐白领
精致妈妈</t>
        </is>
      </c>
      <c r="O338" s="21" t="n">
        <v>0.35</v>
      </c>
      <c r="P338" s="18" t="n">
        <v>2058000</v>
      </c>
      <c r="Q338" s="18">
        <f>Z338*1.05</f>
        <v/>
      </c>
      <c r="R338" s="20">
        <f>Z338/(AB338+AC338+AD338)</f>
        <v/>
      </c>
      <c r="S338" s="18" t="inlineStr">
        <is>
          <t>视频</t>
        </is>
      </c>
      <c r="T338" s="21" t="n">
        <v>0.8100000000000001</v>
      </c>
      <c r="U338" s="21" t="n">
        <v>0.32</v>
      </c>
      <c r="V338" s="21" t="n">
        <v>0.34</v>
      </c>
      <c r="W338" s="21" t="n">
        <v>0.03</v>
      </c>
      <c r="X338" s="18" t="n"/>
      <c r="Y338" s="18" t="n"/>
      <c r="Z338" s="18" t="n">
        <v>99800</v>
      </c>
      <c r="AA338" s="20">
        <f>Z338/P338*1000</f>
        <v/>
      </c>
      <c r="AB338" s="18" t="n">
        <v>51000</v>
      </c>
      <c r="AC338" s="18" t="n">
        <v>548</v>
      </c>
      <c r="AD338" s="18" t="n">
        <v>2308</v>
      </c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</row>
    <row r="339" ht="50.65" customHeight="1" s="151">
      <c r="A339" s="17" t="n">
        <v>46099</v>
      </c>
      <c r="B339" s="18" t="n"/>
      <c r="C339" s="18" t="n"/>
      <c r="D339" s="18" t="inlineStr">
        <is>
          <t>品牌</t>
        </is>
      </c>
      <c r="E339" s="32" t="inlineStr">
        <is>
          <t>小米家电爆款商单https://www.douyin.com/video/7516541046617427241?previous_page=app_code_link</t>
        </is>
      </c>
      <c r="F339" s="18" t="inlineStr">
        <is>
          <t xml:space="preserve">打打的小窝 </t>
        </is>
      </c>
      <c r="G339" s="18" t="inlineStr">
        <is>
          <t>https://www.xingtu.cn/ad/creator/author-homepage/douyin-video/7168806549899608077?market_track_id=C3T9LPPN1SC7ET0QI4RF&amp;search_session_id=7616580037122736174&amp;possessStarId</t>
        </is>
      </c>
      <c r="H339" s="18" t="inlineStr">
        <is>
          <t>https://www.douyin.com/user/MS4wLjABAAAA8U8hHZNbPPvQaFCvNEdml8rJbRstrak-X3De_63zsa7HsRFk_E9Uq_KLCzXjJm9q</t>
        </is>
      </c>
      <c r="I339" s="18" t="inlineStr">
        <is>
          <t>what123hahaha</t>
        </is>
      </c>
      <c r="J339" s="18" t="inlineStr">
        <is>
          <t>手工家居</t>
        </is>
      </c>
      <c r="K339" s="18" t="inlineStr">
        <is>
          <t>腰部</t>
        </is>
      </c>
      <c r="L339" s="18" t="n">
        <v>126</v>
      </c>
      <c r="M339" s="18" t="inlineStr">
        <is>
          <t>20000-100000</t>
        </is>
      </c>
      <c r="N339" s="18" t="inlineStr">
        <is>
          <t>小镇青年
新锐白领
都市蓝领</t>
        </is>
      </c>
      <c r="O339" s="21" t="n">
        <v>0.3</v>
      </c>
      <c r="P339" s="18" t="n">
        <v>2063000</v>
      </c>
      <c r="Q339" s="18">
        <f>Z339*1.05</f>
        <v/>
      </c>
      <c r="R339" s="20">
        <f>Z339/(AB339+AC339+AD339)</f>
        <v/>
      </c>
      <c r="S339" s="18" t="inlineStr">
        <is>
          <t>视频</t>
        </is>
      </c>
      <c r="T339" s="21" t="n">
        <v>0.6</v>
      </c>
      <c r="U339" s="21" t="n">
        <v>0.24</v>
      </c>
      <c r="V339" s="21" t="n">
        <v>0.4</v>
      </c>
      <c r="W339" s="21" t="n">
        <v>0.1</v>
      </c>
      <c r="X339" s="18" t="n"/>
      <c r="Y339" s="18" t="n"/>
      <c r="Z339" s="18" t="n">
        <v>157000</v>
      </c>
      <c r="AA339" s="20">
        <f>Z339/P339*1000</f>
        <v/>
      </c>
      <c r="AB339" s="18" t="n">
        <v>48000</v>
      </c>
      <c r="AC339" s="18" t="n">
        <v>1467</v>
      </c>
      <c r="AD339" s="18" t="n">
        <v>15000</v>
      </c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</row>
    <row r="340" ht="63" customHeight="1" s="151">
      <c r="A340" s="17" t="n">
        <v>46099</v>
      </c>
      <c r="B340" s="18" t="n"/>
      <c r="C340" s="18" t="n"/>
      <c r="D340" s="18" t="inlineStr">
        <is>
          <t>品牌</t>
        </is>
      </c>
      <c r="E340" s="32" t="inlineStr">
        <is>
          <t>情侣博主，爆单多，有大家电推广经验https://www.douyin.com/video/7478557920486198587?previous_page=app_code_link</t>
        </is>
      </c>
      <c r="F340" s="18" t="inlineStr">
        <is>
          <t xml:space="preserve">陈煜_Chenyu </t>
        </is>
      </c>
      <c r="G340" s="18" t="inlineStr">
        <is>
          <t>https://www.xingtu.cn/ad/creator/author-homepage/douyin-video/6870160877992017928?market_track_id=C3T9LPPN1SC7ET0QI4RF&amp;search_session_id=7616581366926655515&amp;possessStarId</t>
        </is>
      </c>
      <c r="H340" s="18" t="inlineStr">
        <is>
          <t>https://www.douyin.com/user/MS4wLjABAAAAcjKVPT-o1DbylsfIoLK4oDFk_QgXFNqROzM6aC8Vuho</t>
        </is>
      </c>
      <c r="I340" s="18" t="inlineStr">
        <is>
          <t>goodcy0222</t>
        </is>
      </c>
      <c r="J340" s="18" t="inlineStr">
        <is>
          <t>情侣</t>
        </is>
      </c>
      <c r="K340" s="18" t="inlineStr">
        <is>
          <t>腰部</t>
        </is>
      </c>
      <c r="L340" s="18" t="n">
        <v>128</v>
      </c>
      <c r="M340" s="18" t="inlineStr">
        <is>
          <t>20000-100000</t>
        </is>
      </c>
      <c r="N340" s="18" t="inlineStr">
        <is>
          <t>小镇青年
新锐白领
Z世代</t>
        </is>
      </c>
      <c r="O340" s="21" t="n">
        <v>0.4</v>
      </c>
      <c r="P340" s="18" t="n">
        <v>546000</v>
      </c>
      <c r="Q340" s="18">
        <f>Z340*1.05</f>
        <v/>
      </c>
      <c r="R340" s="20">
        <f>Z340/(AB340+AC340+AD340)</f>
        <v/>
      </c>
      <c r="S340" s="18" t="inlineStr">
        <is>
          <t>视频</t>
        </is>
      </c>
      <c r="T340" s="21" t="n">
        <v>0.75</v>
      </c>
      <c r="U340" s="21" t="n">
        <v>0.4</v>
      </c>
      <c r="V340" s="21" t="n">
        <v>0.25</v>
      </c>
      <c r="W340" s="21" t="n">
        <v>0.02</v>
      </c>
      <c r="X340" s="18" t="n"/>
      <c r="Y340" s="18" t="n"/>
      <c r="Z340" s="18" t="n">
        <v>65000</v>
      </c>
      <c r="AA340" s="20">
        <f>Z340/P340*1000</f>
        <v/>
      </c>
      <c r="AB340" s="22" t="n">
        <v>6569</v>
      </c>
      <c r="AC340" s="18" t="n">
        <v>129</v>
      </c>
      <c r="AD340" s="18" t="n">
        <v>2424</v>
      </c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</row>
    <row r="341">
      <c r="A341" s="17" t="n">
        <v>46099</v>
      </c>
      <c r="B341" s="18" t="n"/>
      <c r="C341" s="18" t="n"/>
      <c r="D341" s="18" t="inlineStr">
        <is>
          <t>品牌</t>
        </is>
      </c>
      <c r="E341" s="32" t="inlineStr">
        <is>
          <t>粉丝画像匹配度高</t>
        </is>
      </c>
      <c r="F341" s="18" t="inlineStr">
        <is>
          <t xml:space="preserve">里里小姨子 </t>
        </is>
      </c>
      <c r="G341" s="18" t="inlineStr">
        <is>
          <t>https://www.xingtu.cn/ad/creator/author-homepage/douyin-video/6994153345170538504?market_track_id=C3T9LPPN1SC7ET0QI4RF&amp;search_session_id=7616581366926655515&amp;possessStarId</t>
        </is>
      </c>
      <c r="H341" s="18" t="inlineStr">
        <is>
          <t>https://www.douyin.com/user/MS4wLjABAAAA4YO6Ezcplh77iJnwfDFavbx9o8sewQIt4xQRpd82Yak</t>
        </is>
      </c>
      <c r="I341" s="18" t="inlineStr">
        <is>
          <t>XXX081818</t>
        </is>
      </c>
      <c r="J341" s="18" t="inlineStr">
        <is>
          <t>家庭生活</t>
        </is>
      </c>
      <c r="K341" s="18" t="inlineStr">
        <is>
          <t>腰部</t>
        </is>
      </c>
      <c r="L341" s="18" t="n">
        <v>50</v>
      </c>
      <c r="M341" s="18" t="inlineStr">
        <is>
          <t>100000+</t>
        </is>
      </c>
      <c r="N341" s="18" t="inlineStr">
        <is>
          <t>小镇青年
精致妈妈
新锐白领</t>
        </is>
      </c>
      <c r="O341" s="21" t="n">
        <v>0.42</v>
      </c>
      <c r="P341" s="18" t="n">
        <v>1170000</v>
      </c>
      <c r="Q341" s="18">
        <f>Z341*1.05</f>
        <v/>
      </c>
      <c r="R341" s="20">
        <f>Z341/(AB341+AC341+AD341)</f>
        <v/>
      </c>
      <c r="S341" s="18" t="inlineStr">
        <is>
          <t>视频</t>
        </is>
      </c>
      <c r="T341" s="21" t="n">
        <v>0.7</v>
      </c>
      <c r="U341" s="21" t="n">
        <v>0.34</v>
      </c>
      <c r="V341" s="21" t="n">
        <v>0.39</v>
      </c>
      <c r="W341" s="21" t="n">
        <v>0.1</v>
      </c>
      <c r="X341" s="18" t="n"/>
      <c r="Y341" s="18" t="n"/>
      <c r="Z341" s="18" t="n">
        <v>58000</v>
      </c>
      <c r="AA341" s="20">
        <f>Z341/P341*1000</f>
        <v/>
      </c>
      <c r="AB341" s="18" t="n">
        <v>11000</v>
      </c>
      <c r="AC341" s="18" t="n">
        <v>296</v>
      </c>
      <c r="AD341" s="18" t="n">
        <v>396</v>
      </c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</row>
    <row r="342" ht="37.9" customHeight="1" s="151">
      <c r="A342" s="17" t="n">
        <v>46099</v>
      </c>
      <c r="B342" s="18" t="n"/>
      <c r="C342" s="18" t="n"/>
      <c r="D342" s="18" t="inlineStr">
        <is>
          <t>品牌</t>
        </is>
      </c>
      <c r="E342" s="32" t="inlineStr">
        <is>
          <t>卡萨帝爆款商单https://www.douyin.com/video/7553829616390016283</t>
        </is>
      </c>
      <c r="F342" s="18" t="inlineStr">
        <is>
          <t xml:space="preserve">多肉小梨 </t>
        </is>
      </c>
      <c r="G342" s="18" t="inlineStr">
        <is>
          <t>https://www.xingtu.cn/ad/creator/author-homepage/douyin-video/6738573523591102475?market_track_id=POFIZ6OUTCOROVDWWFQN&amp;search_session_id=7616631545667649546&amp;possessStarId</t>
        </is>
      </c>
      <c r="H342" s="18" t="inlineStr">
        <is>
          <t>https://www.douyin.com/user/MS4wLjABAAAAO1K_2j6DRZh3KGWCeX60GnsS3JPCkb6Wn34tY7jGVFw</t>
        </is>
      </c>
      <c r="I342" s="18" t="inlineStr">
        <is>
          <t>nidells</t>
        </is>
      </c>
      <c r="J342" s="18" t="inlineStr">
        <is>
          <t>剧情</t>
        </is>
      </c>
      <c r="K342" s="18" t="inlineStr">
        <is>
          <t>头部</t>
        </is>
      </c>
      <c r="L342" s="18" t="n">
        <v>508</v>
      </c>
      <c r="M342" s="18" t="inlineStr">
        <is>
          <t>20000-100000</t>
        </is>
      </c>
      <c r="N342" s="18" t="inlineStr">
        <is>
          <t>小镇青年
新锐白领
Z世代</t>
        </is>
      </c>
      <c r="O342" s="21" t="n">
        <v>0.35</v>
      </c>
      <c r="P342" s="18" t="n">
        <v>1642000</v>
      </c>
      <c r="Q342" s="18">
        <f>Z342*1.05</f>
        <v/>
      </c>
      <c r="R342" s="20">
        <f>Z342/(AB342+AC342+AD342)</f>
        <v/>
      </c>
      <c r="S342" s="18" t="inlineStr">
        <is>
          <t>视频</t>
        </is>
      </c>
      <c r="T342" s="21" t="n">
        <v>0.71</v>
      </c>
      <c r="U342" s="21" t="n">
        <v>0.31</v>
      </c>
      <c r="V342" s="21" t="n">
        <v>0.33</v>
      </c>
      <c r="W342" s="21" t="n">
        <v>0.07000000000000001</v>
      </c>
      <c r="X342" s="18" t="n"/>
      <c r="Y342" s="18" t="n"/>
      <c r="Z342" s="18" t="n">
        <v>76800</v>
      </c>
      <c r="AA342" s="20">
        <f>Z342/P342*1000</f>
        <v/>
      </c>
      <c r="AB342" s="18" t="n">
        <v>32000</v>
      </c>
      <c r="AC342" s="18" t="n">
        <v>1094</v>
      </c>
      <c r="AD342" s="18" t="n">
        <v>41000</v>
      </c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</row>
    <row r="343" ht="37.9" customHeight="1" s="151">
      <c r="A343" s="17" t="n">
        <v>46099</v>
      </c>
      <c r="B343" s="18" t="n"/>
      <c r="C343" s="18" t="n"/>
      <c r="D343" s="18" t="inlineStr">
        <is>
          <t>品牌</t>
        </is>
      </c>
      <c r="E343" s="32" t="inlineStr">
        <is>
          <t>美的爆款商单：https://www.douyin.com/video/7311687790259883279</t>
        </is>
      </c>
      <c r="F343" s="18" t="inlineStr">
        <is>
          <t xml:space="preserve">小陶罐 </t>
        </is>
      </c>
      <c r="G343" s="18" t="inlineStr">
        <is>
          <t>https://www.xingtu.cn/ad/creator/author-homepage/douyin-video/7228050208410566715?market_track_id=MOZQBJ7GT03Q1TMXNOAI&amp;search_session_id=7616648253435789322&amp;possessStarId</t>
        </is>
      </c>
      <c r="H343" s="18" t="inlineStr">
        <is>
          <t>https://www.douyin.com/user/MS4wLjABAAAAb7WAny-tA6rjYHc9UP6I7qiGVhY3Ug47cu2mWz-61oU</t>
        </is>
      </c>
      <c r="I343" s="18" t="n">
        <v>1090612996</v>
      </c>
      <c r="J343" s="18" t="inlineStr">
        <is>
          <t>美食</t>
        </is>
      </c>
      <c r="K343" s="18" t="inlineStr">
        <is>
          <t>尾部</t>
        </is>
      </c>
      <c r="L343" s="18" t="n">
        <v>14</v>
      </c>
      <c r="M343" s="18" t="inlineStr">
        <is>
          <t>2000-20000</t>
        </is>
      </c>
      <c r="N343" s="18" t="inlineStr">
        <is>
          <t>新锐白领
Z世代
小镇青年</t>
        </is>
      </c>
      <c r="O343" s="21" t="n">
        <v>0.37</v>
      </c>
      <c r="P343" s="18" t="n">
        <v>474000</v>
      </c>
      <c r="Q343" s="18">
        <f>Z343*1.05</f>
        <v/>
      </c>
      <c r="R343" s="20">
        <f>Z343/(AB343+AC343+AD343)</f>
        <v/>
      </c>
      <c r="S343" s="18" t="inlineStr">
        <is>
          <t>视频</t>
        </is>
      </c>
      <c r="T343" s="21" t="n">
        <v>0.51</v>
      </c>
      <c r="U343" s="21" t="n">
        <v>0.32</v>
      </c>
      <c r="V343" s="21" t="n">
        <v>0.2</v>
      </c>
      <c r="W343" s="21" t="n">
        <v>0.05</v>
      </c>
      <c r="X343" s="18" t="n"/>
      <c r="Y343" s="18" t="n"/>
      <c r="Z343" s="18" t="n">
        <v>15000</v>
      </c>
      <c r="AA343" s="20">
        <f>Z343/P343*1000</f>
        <v/>
      </c>
      <c r="AB343" s="22" t="n">
        <v>7646</v>
      </c>
      <c r="AC343" s="22" t="n">
        <v>2631</v>
      </c>
      <c r="AD343" s="18" t="n">
        <v>26000</v>
      </c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</row>
    <row r="344" ht="37.9" customHeight="1" s="151">
      <c r="A344" s="17" t="n">
        <v>46099</v>
      </c>
      <c r="B344" s="18" t="n"/>
      <c r="C344" s="18" t="n"/>
      <c r="D344" s="18" t="inlineStr">
        <is>
          <t>品牌</t>
        </is>
      </c>
      <c r="E344" s="32" t="inlineStr">
        <is>
          <t>西门子爆款商单：https://www.douyin.com/video/7600015452685661627</t>
        </is>
      </c>
      <c r="F344" s="18" t="inlineStr">
        <is>
          <t xml:space="preserve">梦洋Amanda </t>
        </is>
      </c>
      <c r="G344" s="18" t="inlineStr">
        <is>
          <t>https://www.xingtu.cn/ad/creator/author-homepage/douyin-video/6866734332837363723?market_track_id=255NG1IA5QKP634KZDSQ&amp;search_session_id=7616667210668687410&amp;possessStarId</t>
        </is>
      </c>
      <c r="H344" s="18" t="inlineStr">
        <is>
          <t>https://www.douyin.com/user/MS4wLjABAAAAiXWzfBC6YQjPG5DiOF-8LfxY3fC3zGmkYVy3cXttUFI</t>
        </is>
      </c>
      <c r="I344" s="18" t="inlineStr">
        <is>
          <t>dbw0000</t>
        </is>
      </c>
      <c r="J344" s="18" t="inlineStr">
        <is>
          <t>家居</t>
        </is>
      </c>
      <c r="K344" s="18" t="inlineStr">
        <is>
          <t>腰部</t>
        </is>
      </c>
      <c r="L344" s="18" t="n">
        <v>63</v>
      </c>
      <c r="M344" s="18" t="inlineStr">
        <is>
          <t>2000-20000</t>
        </is>
      </c>
      <c r="N344" s="18" t="inlineStr">
        <is>
          <t>新锐白领
小镇青年
都市蓝领</t>
        </is>
      </c>
      <c r="O344" s="21" t="n">
        <v>0.44</v>
      </c>
      <c r="P344" s="18" t="n">
        <v>1803000</v>
      </c>
      <c r="Q344" s="18">
        <f>Z344*1.05</f>
        <v/>
      </c>
      <c r="R344" s="20">
        <f>Z344/(AB344+AC344+AD344)</f>
        <v/>
      </c>
      <c r="S344" s="18" t="inlineStr">
        <is>
          <t>视频</t>
        </is>
      </c>
      <c r="T344" s="21" t="n">
        <v>0.46</v>
      </c>
      <c r="U344" s="21" t="n">
        <v>0.39</v>
      </c>
      <c r="V344" s="21" t="n">
        <v>0.34</v>
      </c>
      <c r="W344" s="21" t="n">
        <v>0.02</v>
      </c>
      <c r="X344" s="18" t="n"/>
      <c r="Y344" s="18" t="n"/>
      <c r="Z344" s="18" t="n">
        <v>40000</v>
      </c>
      <c r="AA344" s="20">
        <f>Z344/P344*1000</f>
        <v/>
      </c>
      <c r="AB344" s="18" t="n">
        <v>19000</v>
      </c>
      <c r="AC344" s="18" t="n">
        <v>1235</v>
      </c>
      <c r="AD344" s="18" t="n">
        <v>7041</v>
      </c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</row>
    <row r="345" ht="50.25" customHeight="1" s="151">
      <c r="A345" s="17" t="n">
        <v>46099</v>
      </c>
      <c r="C345" s="5" t="n"/>
      <c r="D345" s="18" t="inlineStr">
        <is>
          <t>品牌</t>
        </is>
      </c>
      <c r="E345" s="32" t="inlineStr">
        <is>
          <t>精致妈妈和资深中产占比高，爆款大家电商单https://www.douyin.com/video/7565465871860174122</t>
        </is>
      </c>
      <c r="F345" s="18" t="inlineStr">
        <is>
          <t xml:space="preserve">高瘦 Dd </t>
        </is>
      </c>
      <c r="G345" s="18" t="inlineStr">
        <is>
          <t>https://www.xingtu.cn/ad/creator/author-homepage/douyin-video/7298673899103846450?market_track_id=GTKGQL8X2XU0PIMT6UI5&amp;search_session_id=7615897568245776411&amp;possessStarId</t>
        </is>
      </c>
      <c r="H345" s="18" t="inlineStr">
        <is>
          <t>https://www.douyin.com/user/MS4wLjABAAAAvYjqp_tSUvO_b1Y7bzRxfeIFffVjz5gGjz7JP1zXLMXIOd6GoDwRjQSR8focb3LZ</t>
        </is>
      </c>
      <c r="I345" s="18" t="inlineStr">
        <is>
          <t>tdq_1108</t>
        </is>
      </c>
      <c r="J345" s="18" t="inlineStr">
        <is>
          <t>家居</t>
        </is>
      </c>
      <c r="K345" s="18" t="inlineStr">
        <is>
          <t>腰部</t>
        </is>
      </c>
      <c r="L345" s="18" t="n">
        <v>58</v>
      </c>
      <c r="M345" s="21" t="inlineStr">
        <is>
          <t>100000+</t>
        </is>
      </c>
      <c r="N345" s="18" t="inlineStr">
        <is>
          <t>精致妈妈
资深中产
都市银发</t>
        </is>
      </c>
      <c r="O345" s="21" t="n">
        <v>0.5</v>
      </c>
      <c r="P345" s="20" t="n">
        <v>2391000</v>
      </c>
      <c r="Q345" s="18">
        <f>Z345*1.05</f>
        <v/>
      </c>
      <c r="R345" s="20">
        <f>Z345/(AB345+AD345+AC345)</f>
        <v/>
      </c>
      <c r="S345" s="21" t="inlineStr">
        <is>
          <t>视频</t>
        </is>
      </c>
      <c r="T345" s="21" t="n">
        <v>0.76</v>
      </c>
      <c r="U345" s="21" t="n">
        <v>0.16</v>
      </c>
      <c r="V345" s="21" t="n">
        <v>0.35</v>
      </c>
      <c r="W345" s="21" t="n">
        <v>0.25</v>
      </c>
      <c r="X345" s="18" t="n"/>
      <c r="Y345" s="154" t="n"/>
      <c r="Z345" s="18" t="n">
        <v>38000</v>
      </c>
      <c r="AA345" s="154">
        <f>SUM((Z345/P345)*1000)</f>
        <v/>
      </c>
      <c r="AB345" s="18" t="n">
        <v>56000</v>
      </c>
      <c r="AC345" s="18" t="n">
        <v>3470</v>
      </c>
      <c r="AD345" s="18" t="n">
        <v>2371</v>
      </c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</row>
    <row r="346" ht="24.75" customHeight="1" s="151">
      <c r="A346" s="71" t="n">
        <v>46099</v>
      </c>
      <c r="B346" s="37" t="n"/>
      <c r="C346" s="37" t="n"/>
      <c r="D346" s="37" t="inlineStr">
        <is>
          <t>品牌</t>
        </is>
      </c>
      <c r="E346" s="38" t="inlineStr">
        <is>
          <t xml:space="preserve">180方江景大平层 记录美好 分享美好 </t>
        </is>
      </c>
      <c r="F346" s="37" t="inlineStr">
        <is>
          <t>泽泽的小窝</t>
        </is>
      </c>
      <c r="G346" s="37" t="inlineStr">
        <is>
          <t>https://www.xingtu.cn/ad/creator/author-homepage/douyin-video/7215493945617285157?market_track_id=218B8CCHGQ6LX2E927X2&amp;search_session_id=7618538479689236490&amp;possessStarId</t>
        </is>
      </c>
      <c r="H346" s="37" t="inlineStr">
        <is>
          <t>https://www.douyin.com/user/MS4wLjABAAAAeRcCWOoVolGsaG8TNTRr_lvHdNa_8HS4ujX9IwgdZAZk-kZPXaVbuDXzy1BAXc4j</t>
        </is>
      </c>
      <c r="I346" s="37" t="n">
        <v>84493617529</v>
      </c>
      <c r="J346" s="37" t="inlineStr">
        <is>
          <t>家居</t>
        </is>
      </c>
      <c r="K346" s="37" t="inlineStr">
        <is>
          <t>腰部</t>
        </is>
      </c>
      <c r="L346" s="37" t="n">
        <v>44</v>
      </c>
      <c r="M346" s="37" t="inlineStr">
        <is>
          <t>150-2000</t>
        </is>
      </c>
      <c r="N346" s="37" t="inlineStr">
        <is>
          <t>小镇青年
都市蓝领
新锐白领</t>
        </is>
      </c>
      <c r="O346" s="41" t="n">
        <v>0.33</v>
      </c>
      <c r="P346" s="37" t="n">
        <v>836000</v>
      </c>
      <c r="Q346" s="37">
        <f>Z346*1.05</f>
        <v/>
      </c>
      <c r="R346" s="40">
        <f>Z346/(AB346+AD346+AC346)</f>
        <v/>
      </c>
      <c r="S346" s="41" t="inlineStr">
        <is>
          <t>视频</t>
        </is>
      </c>
      <c r="T346" s="41" t="n">
        <v>0.59</v>
      </c>
      <c r="U346" s="41" t="n">
        <v>0.28</v>
      </c>
      <c r="V346" s="41" t="n">
        <v>0.53</v>
      </c>
      <c r="W346" s="41" t="n">
        <v>0.07000000000000001</v>
      </c>
      <c r="X346" s="37" t="n"/>
      <c r="Y346" s="37" t="n"/>
      <c r="Z346" s="37" t="n">
        <v>25800</v>
      </c>
      <c r="AA346" s="157">
        <f>SUM((Z346/P346)*1000)</f>
        <v/>
      </c>
      <c r="AB346" s="37" t="n">
        <v>6368</v>
      </c>
      <c r="AC346" s="37" t="n">
        <v>254</v>
      </c>
      <c r="AD346" s="37" t="n">
        <v>297</v>
      </c>
      <c r="AE346" s="37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43" t="n"/>
      <c r="AR346" s="43" t="n"/>
    </row>
    <row r="347" ht="19" customHeight="1" s="151">
      <c r="A347" s="43" t="n"/>
      <c r="B347" s="43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  <c r="AA347" s="43" t="n"/>
      <c r="AB347" s="43" t="n"/>
      <c r="AC347" s="43" t="n"/>
      <c r="AD347" s="43" t="n"/>
      <c r="AE347" s="43" t="n"/>
      <c r="AF347" s="43" t="n"/>
      <c r="AG347" s="43" t="n"/>
      <c r="AH347" s="43" t="n"/>
      <c r="AI347" s="43" t="n"/>
      <c r="AJ347" s="43" t="n"/>
      <c r="AK347" s="43" t="n"/>
      <c r="AL347" s="43" t="n"/>
      <c r="AM347" s="43" t="n"/>
      <c r="AN347" s="43" t="n"/>
      <c r="AO347" s="43" t="n"/>
      <c r="AP347" s="43" t="n"/>
      <c r="AQ347" s="43" t="n"/>
      <c r="AR347" s="43" t="n"/>
    </row>
    <row r="348">
      <c r="A348" s="17" t="n">
        <v>46100</v>
      </c>
      <c r="B348" s="18" t="n"/>
      <c r="C348" s="18" t="n"/>
      <c r="D348" s="18" t="inlineStr">
        <is>
          <t>品牌</t>
        </is>
      </c>
      <c r="E348" s="32" t="inlineStr">
        <is>
          <t>专业测评博主，粉丝白领占比高</t>
        </is>
      </c>
      <c r="F348" s="18" t="inlineStr">
        <is>
          <t>小程智宅Space</t>
        </is>
      </c>
      <c r="G348" s="18" t="inlineStr">
        <is>
          <t>https://www.xingtu.cn/ad/creator/author-homepage/douyin-video/7223968676859346983?market_track_id=CB217O79MPIYNVDHN982&amp;search_session_id=7618541939079544870&amp;possessStarId</t>
        </is>
      </c>
      <c r="H348" s="18" t="inlineStr">
        <is>
          <t>https://www.douyin.com/user/MS4wLjABAAAA-AxocquhRbdEnJgt4wwUHZvX8UjXsfFZpJkCtSsviQw</t>
        </is>
      </c>
      <c r="I348" s="18" t="n">
        <v>95823451945</v>
      </c>
      <c r="J348" s="18" t="inlineStr">
        <is>
          <t>家居</t>
        </is>
      </c>
      <c r="K348" s="18" t="inlineStr">
        <is>
          <t>尾部</t>
        </is>
      </c>
      <c r="L348" s="18" t="n">
        <v>23</v>
      </c>
      <c r="M348" s="18" t="inlineStr">
        <is>
          <t>150-2000</t>
        </is>
      </c>
      <c r="N348" s="18" t="inlineStr">
        <is>
          <t>新锐白领
小镇青年
Z世代</t>
        </is>
      </c>
      <c r="O348" s="21" t="n">
        <v>0.55</v>
      </c>
      <c r="P348" s="18" t="n">
        <v>377000</v>
      </c>
      <c r="Q348" s="18">
        <f>Z348*1.05</f>
        <v/>
      </c>
      <c r="R348" s="20">
        <f>Z348/(AB348+AD348+AC348)</f>
        <v/>
      </c>
      <c r="S348" s="21" t="inlineStr">
        <is>
          <t>视频</t>
        </is>
      </c>
      <c r="T348" s="21" t="n">
        <v>0.2</v>
      </c>
      <c r="U348" s="21" t="n">
        <v>0.36</v>
      </c>
      <c r="V348" s="21" t="n">
        <v>0.39</v>
      </c>
      <c r="W348" s="21" t="n">
        <v>0.08</v>
      </c>
      <c r="X348" s="18" t="n"/>
      <c r="Y348" s="18" t="n"/>
      <c r="Z348" s="18" t="n">
        <v>29800</v>
      </c>
      <c r="AA348" s="154">
        <f>SUM((Z348/P348)*1000)</f>
        <v/>
      </c>
      <c r="AB348" s="22" t="n">
        <v>4207</v>
      </c>
      <c r="AC348" s="18" t="n">
        <v>138</v>
      </c>
      <c r="AD348" s="18" t="n">
        <v>140</v>
      </c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</row>
    <row r="349" ht="37.9" customHeight="1" s="151">
      <c r="A349" s="17" t="n">
        <v>46100</v>
      </c>
      <c r="B349" s="18" t="n"/>
      <c r="C349" s="18" t="n"/>
      <c r="D349" s="18" t="inlineStr">
        <is>
          <t>电商</t>
        </is>
      </c>
      <c r="E349" s="32" t="inlineStr">
        <is>
          <t>米家爆款商单：https://www.douyin.com/video/7567391354944490981</t>
        </is>
      </c>
      <c r="F349" s="18" t="inlineStr">
        <is>
          <t>大王麻麻🏠</t>
        </is>
      </c>
      <c r="G349" s="18" t="inlineStr">
        <is>
          <t>https://www.xingtu.cn/ad/creator/author-homepage/douyin-video/7112285090771632136?market_track_id=E6OWYX4PZBVA2NSQU2VC&amp;search_session_id=7618542097347756059&amp;possessStarId</t>
        </is>
      </c>
      <c r="H349" s="18" t="inlineStr">
        <is>
          <t>https://www.douyin.com/user/MS4wLjABAAAA4dJG07hpopuuI-1_1N3BJyqE7iVxNObK2j3bDy-GOnMzF-Dv9vFa0Xig08PnIOUa</t>
        </is>
      </c>
      <c r="I349" s="18" t="inlineStr">
        <is>
          <t>aiqida006</t>
        </is>
      </c>
      <c r="J349" s="18" t="inlineStr">
        <is>
          <t>家居</t>
        </is>
      </c>
      <c r="K349" s="18" t="inlineStr">
        <is>
          <t>尾部</t>
        </is>
      </c>
      <c r="L349" s="18" t="n">
        <v>20</v>
      </c>
      <c r="M349" s="18" t="inlineStr">
        <is>
          <t>150-2000</t>
        </is>
      </c>
      <c r="N349" s="18" t="inlineStr">
        <is>
          <t>新锐白领
小镇青年
都市蓝领</t>
        </is>
      </c>
      <c r="O349" s="21" t="n">
        <v>0.43</v>
      </c>
      <c r="P349" s="18" t="n">
        <v>318000</v>
      </c>
      <c r="Q349" s="18">
        <f>Z349*1.05</f>
        <v/>
      </c>
      <c r="R349" s="20">
        <f>Z349/(AB349+AD349+AC349)</f>
        <v/>
      </c>
      <c r="S349" s="21" t="inlineStr">
        <is>
          <t>视频</t>
        </is>
      </c>
      <c r="T349" s="21" t="n">
        <v>0.57</v>
      </c>
      <c r="U349" s="21" t="n">
        <v>0.19</v>
      </c>
      <c r="V349" s="21" t="n">
        <v>0.5</v>
      </c>
      <c r="W349" s="21" t="n">
        <v>0.11</v>
      </c>
      <c r="X349" s="18" t="n"/>
      <c r="Y349" s="18" t="n"/>
      <c r="Z349" s="18" t="n">
        <v>21800</v>
      </c>
      <c r="AA349" s="154">
        <f>SUM((Z349/P349)*1000)</f>
        <v/>
      </c>
      <c r="AB349" s="22" t="n">
        <v>4242</v>
      </c>
      <c r="AC349" s="18" t="n">
        <v>183</v>
      </c>
      <c r="AD349" s="18" t="n">
        <v>470</v>
      </c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</row>
    <row r="350" ht="50.65" customHeight="1" s="151">
      <c r="A350" s="17" t="n">
        <v>46100</v>
      </c>
      <c r="B350" s="18" t="n"/>
      <c r="C350" s="18" t="n"/>
      <c r="D350" s="18" t="inlineStr">
        <is>
          <t>电商</t>
        </is>
      </c>
      <c r="E350" s="32" t="inlineStr">
        <is>
          <t>爆款家电商单：https://www.douyin.com/video/7564619779487880612?previous_page=app_code_link</t>
        </is>
      </c>
      <c r="F350" s="18" t="inlineStr">
        <is>
          <t xml:space="preserve">
婷婷家的果兜</t>
        </is>
      </c>
      <c r="G350" s="18" t="inlineStr">
        <is>
          <t>https://www.xingtu.cn/ad/creator/author-homepage/douyin-video/7226269848991432760?market_track_id=8A9G6GHW3NDOCIN6250N&amp;search_session_id=7618543739115814962&amp;possessStarId</t>
        </is>
      </c>
      <c r="H350" s="18" t="inlineStr">
        <is>
          <t>https://www.douyin.com/user/MS4wLjABAAAAwCtu87gZrDHeRrwW3RL3b4medimUkkLn5jRHDa06DpQSYItv3Y-82Pu1-PEh_WIA</t>
        </is>
      </c>
      <c r="I350" s="18" t="n">
        <v>31020979012</v>
      </c>
      <c r="J350" s="18" t="inlineStr">
        <is>
          <t>家居</t>
        </is>
      </c>
      <c r="K350" s="18" t="inlineStr">
        <is>
          <t>尾部</t>
        </is>
      </c>
      <c r="L350" s="18" t="n">
        <v>30</v>
      </c>
      <c r="M350" s="18" t="inlineStr">
        <is>
          <t>150-2000</t>
        </is>
      </c>
      <c r="N350" s="18" t="inlineStr">
        <is>
          <t>小镇青年
新锐白领
都市蓝领</t>
        </is>
      </c>
      <c r="O350" s="21" t="n">
        <v>0.48</v>
      </c>
      <c r="P350" s="18" t="n">
        <v>378000</v>
      </c>
      <c r="Q350" s="18">
        <f>Z350*1.05</f>
        <v/>
      </c>
      <c r="R350" s="20">
        <f>Z350/(AB350+AD350+AC350)</f>
        <v/>
      </c>
      <c r="S350" s="21" t="inlineStr">
        <is>
          <t>视频</t>
        </is>
      </c>
      <c r="T350" s="21" t="n">
        <v>0.48</v>
      </c>
      <c r="U350" s="21" t="n">
        <v>0.29</v>
      </c>
      <c r="V350" s="21" t="n">
        <v>0.41</v>
      </c>
      <c r="W350" s="21" t="n">
        <v>0.04</v>
      </c>
      <c r="X350" s="18" t="n"/>
      <c r="Y350" s="18" t="n"/>
      <c r="Z350" s="18" t="n">
        <v>29800</v>
      </c>
      <c r="AA350" s="154">
        <f>SUM((Z350/P350)*1000)</f>
        <v/>
      </c>
      <c r="AB350" s="18" t="n">
        <v>12000</v>
      </c>
      <c r="AC350" s="18" t="n">
        <v>145</v>
      </c>
      <c r="AD350" s="18" t="n">
        <v>5109</v>
      </c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</row>
    <row r="351" ht="24.75" customHeight="1" s="151">
      <c r="A351" s="17" t="n">
        <v>46100</v>
      </c>
      <c r="B351" s="18" t="n"/>
      <c r="C351" s="18" t="n"/>
      <c r="D351" s="18" t="inlineStr">
        <is>
          <t>品牌</t>
        </is>
      </c>
      <c r="E351" s="32" t="inlineStr">
        <is>
          <t>一个有自己装修公司的专业型家装 家电科普避坑博主！</t>
        </is>
      </c>
      <c r="F351" s="18" t="inlineStr">
        <is>
          <t>家装林老丝</t>
        </is>
      </c>
      <c r="G351" s="18" t="inlineStr">
        <is>
          <t>https://www.xingtu.cn/ad/creator/author-homepage/douyin-video/7028814470147211271?market_track_id=8A9G6GHW3NDOCIN6250N&amp;search_session_id=7618543739115814962&amp;possessStarId</t>
        </is>
      </c>
      <c r="H351" s="18" t="inlineStr">
        <is>
          <t>https://www.douyin.com/user/MS4wLjABAAAAT5N-h5kf7NK2pGeQHOTB5uYe_VIr3mSrxc-RSh7tXRJXnIE5_hqmZQmhIfz4HXrz</t>
        </is>
      </c>
      <c r="I351" s="18" t="inlineStr">
        <is>
          <t>jzlinlaosi</t>
        </is>
      </c>
      <c r="J351" s="18" t="inlineStr">
        <is>
          <t>家居</t>
        </is>
      </c>
      <c r="K351" s="18" t="inlineStr">
        <is>
          <t>腰部</t>
        </is>
      </c>
      <c r="L351" s="18" t="n">
        <v>46</v>
      </c>
      <c r="M351" s="18" t="inlineStr">
        <is>
          <t>20000-100000</t>
        </is>
      </c>
      <c r="N351" s="18" t="inlineStr">
        <is>
          <t>小镇青年
新锐白领
都市蓝领</t>
        </is>
      </c>
      <c r="O351" s="21" t="n">
        <v>0.4</v>
      </c>
      <c r="P351" s="18" t="n">
        <v>754000</v>
      </c>
      <c r="Q351" s="18">
        <f>Z351*1.05</f>
        <v/>
      </c>
      <c r="R351" s="20">
        <f>Z351/(AB351+AD351+AC351)</f>
        <v/>
      </c>
      <c r="S351" s="21" t="inlineStr">
        <is>
          <t>视频</t>
        </is>
      </c>
      <c r="T351" s="21" t="n">
        <v>0.33</v>
      </c>
      <c r="U351" s="21" t="n">
        <v>0.33</v>
      </c>
      <c r="V351" s="21" t="n">
        <v>0.35</v>
      </c>
      <c r="W351" s="21" t="n">
        <v>0.09</v>
      </c>
      <c r="X351" s="18" t="n"/>
      <c r="Y351" s="18" t="n"/>
      <c r="Z351" s="18" t="n">
        <v>45800</v>
      </c>
      <c r="AA351" s="154">
        <f>SUM((Z351/P351)*1000)</f>
        <v/>
      </c>
      <c r="AB351" s="22" t="n">
        <v>8075</v>
      </c>
      <c r="AC351" s="18" t="n">
        <v>284</v>
      </c>
      <c r="AD351" s="18" t="n">
        <v>2802</v>
      </c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</row>
    <row r="352">
      <c r="A352" s="17" t="n">
        <v>46100</v>
      </c>
      <c r="B352" s="18" t="n"/>
      <c r="C352" s="18" t="n"/>
      <c r="D352" s="18" t="inlineStr">
        <is>
          <t>电商</t>
        </is>
      </c>
      <c r="E352" s="19" t="inlineStr">
        <is>
          <t>126平山景洋房🏠装修中 室内设计师/自装5套房的81后宝妈</t>
        </is>
      </c>
      <c r="F352" s="18" t="inlineStr">
        <is>
          <t xml:space="preserve">一粒沙 </t>
        </is>
      </c>
      <c r="G352" s="18" t="inlineStr">
        <is>
          <t>https://www.xingtu.cn/ad/creator/author-homepage/douyin-video/7157865824835862542?market_track_id=8A9G6GHW3NDOCIN6250N&amp;search_session_id=7618544331024646194&amp;possessStarId</t>
        </is>
      </c>
      <c r="H352" s="18" t="inlineStr">
        <is>
          <t>https://www.douyin.com/user/MS4wLjABAAAAMLDrARFvjdkKw63auSBFCFfVAWQFw3QezRE2NxE4BC5DoRsDDqMDCoMMV4MGheJ-</t>
        </is>
      </c>
      <c r="I352" s="18" t="n">
        <v>88445425593</v>
      </c>
      <c r="J352" s="18" t="inlineStr">
        <is>
          <t>家居</t>
        </is>
      </c>
      <c r="K352" s="18" t="inlineStr">
        <is>
          <t>尾部</t>
        </is>
      </c>
      <c r="L352" s="18" t="n">
        <v>30</v>
      </c>
      <c r="M352" s="18" t="n">
        <v>150</v>
      </c>
      <c r="N352" s="18" t="inlineStr">
        <is>
          <t>小镇青年
新锐白领
精致妈妈</t>
        </is>
      </c>
      <c r="O352" s="21" t="n">
        <v>0.47</v>
      </c>
      <c r="P352" s="18" t="n">
        <v>1793000</v>
      </c>
      <c r="Q352" s="18">
        <f>Z352*1.05</f>
        <v/>
      </c>
      <c r="R352" s="20">
        <f>Z352/(AB352+AD352+AC352)</f>
        <v/>
      </c>
      <c r="S352" s="21" t="inlineStr">
        <is>
          <t>视频</t>
        </is>
      </c>
      <c r="T352" s="21" t="n">
        <v>0.58</v>
      </c>
      <c r="U352" s="21" t="n">
        <v>0.43</v>
      </c>
      <c r="V352" s="21" t="n">
        <v>0.37</v>
      </c>
      <c r="W352" s="21" t="n">
        <v>0.04</v>
      </c>
      <c r="X352" s="18" t="n"/>
      <c r="Y352" s="18" t="n"/>
      <c r="Z352" s="18" t="n">
        <v>28000</v>
      </c>
      <c r="AA352" s="154">
        <f>SUM((Z352/P352)*1000)</f>
        <v/>
      </c>
      <c r="AB352" s="18" t="n">
        <v>97000</v>
      </c>
      <c r="AC352" s="18" t="n">
        <v>670</v>
      </c>
      <c r="AD352" s="18" t="n">
        <v>15000</v>
      </c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</row>
    <row r="353">
      <c r="A353" s="17" t="n">
        <v>46100</v>
      </c>
      <c r="B353" s="18" t="n"/>
      <c r="C353" s="18" t="n"/>
      <c r="D353" s="18" t="inlineStr">
        <is>
          <t>电商</t>
        </is>
      </c>
      <c r="E353" s="32" t="inlineStr">
        <is>
          <t>白领和精妈占比高，视频活感强</t>
        </is>
      </c>
      <c r="F353" s="18" t="inlineStr">
        <is>
          <t>挡不住的日记🤨</t>
        </is>
      </c>
      <c r="G353" s="18" t="inlineStr">
        <is>
          <t>https://www.xingtu.cn/ad/creator/author-homepage/douyin-video/6961236725788049445?market_track_id=8A9G6GHW3NDOCIN6250N&amp;search_session_id=7618544331024646194&amp;possessStarId</t>
        </is>
      </c>
      <c r="H353" s="18" t="inlineStr">
        <is>
          <t>https://www.douyin.com/user/MS4wLjABAAAAI0vB6tbGVfRzYmP81kqgIHtt-KYU3nC-BD3TYoOI8_NiBQvBIyYj05McDGAsMNhp</t>
        </is>
      </c>
      <c r="I353" s="18" t="inlineStr">
        <is>
          <t>Ms_dangbuzhu</t>
        </is>
      </c>
      <c r="J353" s="18" t="inlineStr">
        <is>
          <t>家居</t>
        </is>
      </c>
      <c r="K353" s="18" t="inlineStr">
        <is>
          <t>尾部</t>
        </is>
      </c>
      <c r="L353" s="18" t="n">
        <v>49</v>
      </c>
      <c r="M353" s="18" t="inlineStr">
        <is>
          <t>150-2000</t>
        </is>
      </c>
      <c r="N353" s="18" t="inlineStr">
        <is>
          <t>新锐白领
小镇青年
Z世代</t>
        </is>
      </c>
      <c r="O353" s="21" t="n">
        <v>0.45</v>
      </c>
      <c r="P353" s="18" t="n">
        <v>288000</v>
      </c>
      <c r="Q353" s="18">
        <f>Z353*1.05</f>
        <v/>
      </c>
      <c r="R353" s="20">
        <f>Z353/(AB353+AD353+AC353)</f>
        <v/>
      </c>
      <c r="S353" s="21" t="inlineStr">
        <is>
          <t>视频</t>
        </is>
      </c>
      <c r="T353" s="21" t="n">
        <v>0.74</v>
      </c>
      <c r="U353" s="21" t="n">
        <v>0.38</v>
      </c>
      <c r="V353" s="21" t="n">
        <v>0.25</v>
      </c>
      <c r="W353" s="21" t="n">
        <v>0.04</v>
      </c>
      <c r="X353" s="18" t="n"/>
      <c r="Y353" s="18" t="n"/>
      <c r="Z353" s="18" t="n">
        <v>32000</v>
      </c>
      <c r="AA353" s="154">
        <f>SUM((Z353/P353)*1000)</f>
        <v/>
      </c>
      <c r="AB353" s="18" t="n">
        <v>6639</v>
      </c>
      <c r="AC353" s="18" t="n">
        <v>110</v>
      </c>
      <c r="AD353" s="18" t="n">
        <v>112</v>
      </c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</row>
    <row r="354" ht="37.9" customHeight="1" s="151">
      <c r="A354" s="17" t="n">
        <v>46100</v>
      </c>
      <c r="B354" s="18" t="n"/>
      <c r="C354" s="18" t="n"/>
      <c r="D354" s="18" t="inlineStr">
        <is>
          <t>电商</t>
        </is>
      </c>
      <c r="E354" s="32" t="inlineStr">
        <is>
          <t>老板油合作：https://www.douyin.com/video/7547554707536989449</t>
        </is>
      </c>
      <c r="F354" s="18" t="inlineStr">
        <is>
          <t>阿林家</t>
        </is>
      </c>
      <c r="G354" s="18" t="inlineStr">
        <is>
          <t>https://www.xingtu.cn/ad/creator/author-homepage/douyin-video/7101236488704262180?market_track_id=8A9G6GHW3NDOCIN6250N&amp;search_session_id=7618544921965740070&amp;possessStarId</t>
        </is>
      </c>
      <c r="H354" s="18" t="inlineStr">
        <is>
          <t>https://www.douyin.com/user/MS4wLjABAAAAGSfOLN3atCadTvzhyK1aKWKvLc7JKkcCnzDNalEDAYY</t>
        </is>
      </c>
      <c r="I354" s="18" t="n">
        <v>58751568</v>
      </c>
      <c r="J354" s="18" t="inlineStr">
        <is>
          <t>家居</t>
        </is>
      </c>
      <c r="K354" s="18" t="inlineStr">
        <is>
          <t>尾部</t>
        </is>
      </c>
      <c r="L354" s="18" t="n">
        <v>34</v>
      </c>
      <c r="M354" s="18" t="inlineStr">
        <is>
          <t>150-2000</t>
        </is>
      </c>
      <c r="N354" s="18" t="inlineStr">
        <is>
          <t>新锐白领
小镇青年
都市银发</t>
        </is>
      </c>
      <c r="O354" s="21" t="n">
        <v>0.44</v>
      </c>
      <c r="P354" s="18" t="n">
        <v>300000</v>
      </c>
      <c r="Q354" s="18">
        <f>Z354*1.05</f>
        <v/>
      </c>
      <c r="R354" s="20">
        <f>Z354/(AB354+AD354+AC354)</f>
        <v/>
      </c>
      <c r="S354" s="21" t="inlineStr">
        <is>
          <t>视频</t>
        </is>
      </c>
      <c r="T354" s="21" t="n">
        <v>0.46</v>
      </c>
      <c r="U354" s="21" t="n">
        <v>0.31</v>
      </c>
      <c r="V354" s="21" t="n">
        <v>0.39</v>
      </c>
      <c r="W354" s="21" t="n">
        <v>0.11</v>
      </c>
      <c r="X354" s="18" t="n"/>
      <c r="Y354" s="18" t="n"/>
      <c r="Z354" s="18" t="n">
        <v>25800</v>
      </c>
      <c r="AA354" s="154">
        <f>SUM((Z354/P354)*1000)</f>
        <v/>
      </c>
      <c r="AB354" s="18" t="n">
        <v>12000</v>
      </c>
      <c r="AC354" s="18" t="n">
        <v>280</v>
      </c>
      <c r="AD354" s="18" t="n">
        <v>699</v>
      </c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</row>
    <row r="355" ht="50.65" customHeight="1" s="151">
      <c r="A355" s="17" t="n">
        <v>46100</v>
      </c>
      <c r="B355" s="18" t="n"/>
      <c r="C355" s="18" t="n"/>
      <c r="D355" s="18" t="inlineStr">
        <is>
          <t>品牌</t>
        </is>
      </c>
      <c r="E355" s="32" t="inlineStr">
        <is>
          <t>白领占比高，大家电爆单：https://www.douyin.com/video/7546493465698323731?previous_page=app_code_link</t>
        </is>
      </c>
      <c r="F355" s="18" t="inlineStr">
        <is>
          <t>胡图图居家life</t>
        </is>
      </c>
      <c r="G355" s="18" t="inlineStr">
        <is>
          <t>https://www.xingtu.cn/ad/creator/author-homepage/douyin-video/7263399127407394831?market_track_id=2QRDAY2R4HGYGLSXDJ2X&amp;search_session_id=7618841638756122634&amp;possessStarId</t>
        </is>
      </c>
      <c r="H355" s="18" t="inlineStr">
        <is>
          <t>https://www.douyin.com/user/MS4wLjABAAAApTNwM_iONnWwYZhtBXlDKqpjP1DxNbbbdXZ0WfKLru19xEGhwhVbXnttoXT1kM4v</t>
        </is>
      </c>
      <c r="I355" s="18" t="inlineStr">
        <is>
          <t>Hututu.Life</t>
        </is>
      </c>
      <c r="J355" s="18" t="inlineStr">
        <is>
          <t>家居</t>
        </is>
      </c>
      <c r="K355" s="18" t="inlineStr">
        <is>
          <t>腰部</t>
        </is>
      </c>
      <c r="L355" s="18" t="n">
        <v>205</v>
      </c>
      <c r="M355" s="18" t="inlineStr">
        <is>
          <t>150-2000</t>
        </is>
      </c>
      <c r="N355" s="18" t="inlineStr">
        <is>
          <t>小镇青年
新锐白领
Z世代</t>
        </is>
      </c>
      <c r="O355" s="21" t="n">
        <v>0.45</v>
      </c>
      <c r="P355" s="18" t="n">
        <v>1005000</v>
      </c>
      <c r="Q355" s="18">
        <f>Z355*1.05</f>
        <v/>
      </c>
      <c r="R355" s="20">
        <f>Z355/(AB355+AD355+AC355)</f>
        <v/>
      </c>
      <c r="S355" s="21" t="inlineStr">
        <is>
          <t>视频</t>
        </is>
      </c>
      <c r="T355" s="21" t="n">
        <v>0.45</v>
      </c>
      <c r="U355" s="21" t="n">
        <v>0.26</v>
      </c>
      <c r="V355" s="21" t="n">
        <v>0.41</v>
      </c>
      <c r="W355" s="21" t="n">
        <v>0.12</v>
      </c>
      <c r="X355" s="18" t="n"/>
      <c r="Y355" s="18" t="n"/>
      <c r="Z355" s="18" t="n">
        <v>42800</v>
      </c>
      <c r="AA355" s="154">
        <f>SUM((Z355/P355)*1000)</f>
        <v/>
      </c>
      <c r="AB355" s="22" t="n">
        <v>6009</v>
      </c>
      <c r="AC355" s="18" t="n">
        <v>232</v>
      </c>
      <c r="AD355" s="18" t="n">
        <v>142</v>
      </c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</row>
    <row r="356" ht="24.75" customHeight="1" s="151">
      <c r="A356" s="17" t="n">
        <v>46100</v>
      </c>
      <c r="B356" s="18" t="n"/>
      <c r="C356" s="18" t="n"/>
      <c r="D356" s="18" t="inlineStr">
        <is>
          <t>品牌</t>
        </is>
      </c>
      <c r="E356" s="32" t="inlineStr">
        <is>
          <t>新锐白领和精致妈妈占比高，专业家居博主</t>
        </is>
      </c>
      <c r="F356" s="18" t="inlineStr">
        <is>
          <t>Joy张宇宙</t>
        </is>
      </c>
      <c r="G356" s="18" t="inlineStr">
        <is>
          <t>https://www.xingtu.cn/ad/creator/author-homepage/douyin-video/7413214416780394506?market_track_id=2QRDAY2R4HGYGLSXDJ2X&amp;search_session_id=7618841638756122634&amp;possessStarId</t>
        </is>
      </c>
      <c r="H356" s="18" t="inlineStr">
        <is>
          <t>https://www.douyin.com/user/MS4wLjABAAAAy_71SfQz64hqc8tBo0zngXhgDJrA_aeihVGVboPhYmA</t>
        </is>
      </c>
      <c r="I356" s="18" t="inlineStr">
        <is>
          <t>xiongzaijierui</t>
        </is>
      </c>
      <c r="J356" s="18" t="inlineStr">
        <is>
          <t>家居</t>
        </is>
      </c>
      <c r="K356" s="18" t="inlineStr">
        <is>
          <t>腰部</t>
        </is>
      </c>
      <c r="L356" s="18" t="n">
        <v>80</v>
      </c>
      <c r="M356" s="18" t="inlineStr">
        <is>
          <t>2000-20000</t>
        </is>
      </c>
      <c r="N356" s="18" t="inlineStr">
        <is>
          <t>新锐白领
小镇青年
都市妈妈</t>
        </is>
      </c>
      <c r="O356" s="21" t="n">
        <v>0.51</v>
      </c>
      <c r="P356" s="18" t="n">
        <v>693000</v>
      </c>
      <c r="Q356" s="18">
        <f>Z356*1.05</f>
        <v/>
      </c>
      <c r="R356" s="20">
        <f>Z356/(AB356+AD356+AC356)</f>
        <v/>
      </c>
      <c r="S356" s="21" t="inlineStr">
        <is>
          <t>视频</t>
        </is>
      </c>
      <c r="T356" s="21" t="n">
        <v>0.67</v>
      </c>
      <c r="U356" s="21" t="n">
        <v>0.3</v>
      </c>
      <c r="V356" s="21" t="n">
        <v>0.34</v>
      </c>
      <c r="W356" s="21" t="n">
        <v>0.12</v>
      </c>
      <c r="X356" s="18" t="n"/>
      <c r="Y356" s="18" t="n"/>
      <c r="Z356" s="18" t="n">
        <v>35800</v>
      </c>
      <c r="AA356" s="154">
        <f>SUM((Z356/P356)*1000)</f>
        <v/>
      </c>
      <c r="AB356" s="18" t="n">
        <v>5297</v>
      </c>
      <c r="AC356" s="18" t="n">
        <v>168</v>
      </c>
      <c r="AD356" s="18" t="n">
        <v>1003</v>
      </c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</row>
    <row r="357" ht="37.9" customHeight="1" s="151">
      <c r="A357" s="17" t="n">
        <v>46100</v>
      </c>
      <c r="B357" s="18" t="n"/>
      <c r="C357" s="18" t="n"/>
      <c r="D357" s="18" t="inlineStr">
        <is>
          <t>电商</t>
        </is>
      </c>
      <c r="E357" s="32" t="inlineStr">
        <is>
          <t>A3指数高，西门子爆单：https://www.douyin.com/video/7459341641434877211</t>
        </is>
      </c>
      <c r="F357" s="18" t="inlineStr">
        <is>
          <t>小瘦瘦</t>
        </is>
      </c>
      <c r="G357" s="18" t="inlineStr">
        <is>
          <t>https://www.xingtu.cn/ad/creator/author-homepage/douyin-video/6629723417387991047?market_track_id=2QRDAY2R4HGYGLSXDJ2X&amp;search_session_id=7618845949835034670&amp;possessStarId</t>
        </is>
      </c>
      <c r="H357" s="18" t="inlineStr">
        <is>
          <t>https://www.douyin.com/user/MS4wLjABAAAAMdW4vEH0CF50f5reKPhXosU5n1FJ-Y6e7gCZ0ATJFSc</t>
        </is>
      </c>
      <c r="I357" s="18" t="inlineStr">
        <is>
          <t>MOMO_99</t>
        </is>
      </c>
      <c r="J357" s="18" t="inlineStr">
        <is>
          <t>家居</t>
        </is>
      </c>
      <c r="K357" s="18" t="inlineStr">
        <is>
          <t>腰部</t>
        </is>
      </c>
      <c r="L357" s="18" t="n">
        <v>200</v>
      </c>
      <c r="M357" s="18" t="inlineStr">
        <is>
          <t>2000-20000</t>
        </is>
      </c>
      <c r="N357" s="18" t="inlineStr">
        <is>
          <t>新锐白领
小镇青年
Z世代</t>
        </is>
      </c>
      <c r="O357" s="21" t="n">
        <v>0.45</v>
      </c>
      <c r="P357" s="18" t="n">
        <v>4131000</v>
      </c>
      <c r="Q357" s="18">
        <f>Z357*1.05</f>
        <v/>
      </c>
      <c r="R357" s="20">
        <f>Z357/(AB357+AD357+AC357)</f>
        <v/>
      </c>
      <c r="S357" s="21" t="inlineStr">
        <is>
          <t>视频</t>
        </is>
      </c>
      <c r="T357" s="21" t="n">
        <v>0.79</v>
      </c>
      <c r="U357" s="21" t="n">
        <v>0.37</v>
      </c>
      <c r="V357" s="21" t="n">
        <v>0.32</v>
      </c>
      <c r="W357" s="21" t="n">
        <v>0.04</v>
      </c>
      <c r="X357" s="18" t="n"/>
      <c r="Y357" s="18" t="n"/>
      <c r="Z357" s="18" t="n">
        <v>60000</v>
      </c>
      <c r="AA357" s="154">
        <f>SUM((Z357/P357)*1000)</f>
        <v/>
      </c>
      <c r="AB357" s="18" t="n">
        <v>35000</v>
      </c>
      <c r="AC357" s="18" t="n">
        <v>444</v>
      </c>
      <c r="AD357" s="18" t="n">
        <v>2941</v>
      </c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</row>
    <row r="358">
      <c r="A358" s="17" t="n">
        <v>46100</v>
      </c>
      <c r="B358" s="18" t="n"/>
      <c r="C358" s="18" t="n"/>
      <c r="D358" s="18" t="inlineStr">
        <is>
          <t>品牌</t>
        </is>
      </c>
      <c r="E358" s="32" t="inlineStr">
        <is>
          <t>白领占比高，专业大家电测评</t>
        </is>
      </c>
      <c r="F358" s="18" t="inlineStr">
        <is>
          <t>小赵宅家日记</t>
        </is>
      </c>
      <c r="G358" s="18" t="inlineStr">
        <is>
          <t>https://www.xingtu.cn/ad/creator/author-homepage/douyin-video/7412905831986888714?market_track_id=2QRDAY2R4HGYGLSXDJ2X&amp;search_session_id=7618845949835034670&amp;possessStarId</t>
        </is>
      </c>
      <c r="H358" s="18" t="inlineStr">
        <is>
          <t>https://www.douyin.com/user/MS4wLjABAAAAl2ctQZPBbs69FEEj3oZIMpP3uotc7e6zcesC-m5NsXg</t>
        </is>
      </c>
      <c r="I358" s="18" t="n">
        <v>1135815912</v>
      </c>
      <c r="J358" s="18" t="inlineStr">
        <is>
          <t>家居</t>
        </is>
      </c>
      <c r="K358" s="18" t="inlineStr">
        <is>
          <t>腰部</t>
        </is>
      </c>
      <c r="L358" s="18" t="n">
        <v>77</v>
      </c>
      <c r="M358" s="18" t="inlineStr">
        <is>
          <t>2000-20000</t>
        </is>
      </c>
      <c r="N358" s="18" t="inlineStr">
        <is>
          <t>新锐白领
小镇青年
Z世代</t>
        </is>
      </c>
      <c r="O358" s="21" t="n">
        <v>0.3</v>
      </c>
      <c r="P358" s="18" t="n">
        <v>1663000</v>
      </c>
      <c r="Q358" s="18">
        <f>Z358*1.05</f>
        <v/>
      </c>
      <c r="R358" s="20">
        <f>Z358/(AB358+AD358+AC358)</f>
        <v/>
      </c>
      <c r="S358" s="21" t="inlineStr">
        <is>
          <t>视频</t>
        </is>
      </c>
      <c r="T358" s="21" t="n">
        <v>0.51</v>
      </c>
      <c r="U358" s="21" t="n">
        <v>0.28</v>
      </c>
      <c r="V358" s="21" t="n">
        <v>0.28</v>
      </c>
      <c r="W358" s="21" t="n">
        <v>0.07000000000000001</v>
      </c>
      <c r="X358" s="18" t="n"/>
      <c r="Y358" s="18" t="n"/>
      <c r="Z358" s="18" t="n">
        <v>39800</v>
      </c>
      <c r="AA358" s="154">
        <f>SUM((Z358/P358)*1000)</f>
        <v/>
      </c>
      <c r="AB358" s="22" t="n">
        <v>8001</v>
      </c>
      <c r="AC358" s="18" t="n">
        <v>351</v>
      </c>
      <c r="AD358" s="18" t="n">
        <v>113</v>
      </c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</row>
    <row r="359" ht="50.65" customHeight="1" s="151">
      <c r="A359" s="17" t="n">
        <v>46100</v>
      </c>
      <c r="B359" s="18" t="n"/>
      <c r="C359" s="18" t="n"/>
      <c r="D359" s="18" t="inlineStr">
        <is>
          <t>电商</t>
        </is>
      </c>
      <c r="E359" s="32" t="inlineStr">
        <is>
          <t>油烟机爆单：https://www.douyin.com/video/7615879027287089908?previous_page=app_code_link</t>
        </is>
      </c>
      <c r="F359" s="18" t="inlineStr">
        <is>
          <t>小丁妹妹(自装日记)</t>
        </is>
      </c>
      <c r="G359" s="18" t="inlineStr">
        <is>
          <t>https://www.xingtu.cn/ad/creator/author-homepage/douyin-video/7130162637106577444?market_track_id=2QRDAY2R4HGYGLSXDJ2X&amp;search_session_id=7618845949835034670&amp;possessStarId</t>
        </is>
      </c>
      <c r="H359" s="18" t="inlineStr">
        <is>
          <t>https://www.douyin.com/user/MS4wLjABAAAAX9jNKnDtCqx8XXYuVE3a0f-D-Tt9eeN3VSMYg1to7g0</t>
        </is>
      </c>
      <c r="I359" s="18" t="n">
        <v>965699301</v>
      </c>
      <c r="J359" s="18" t="inlineStr">
        <is>
          <t>家居</t>
        </is>
      </c>
      <c r="K359" s="18" t="inlineStr">
        <is>
          <t>尾部</t>
        </is>
      </c>
      <c r="L359" s="18" t="n">
        <v>30</v>
      </c>
      <c r="M359" s="18" t="inlineStr">
        <is>
          <t>2000-20000</t>
        </is>
      </c>
      <c r="N359" s="18" t="inlineStr">
        <is>
          <t>新锐白领
小镇青年
Z世代</t>
        </is>
      </c>
      <c r="O359" s="21" t="n">
        <v>0.3</v>
      </c>
      <c r="P359" s="18" t="n">
        <v>1448000</v>
      </c>
      <c r="Q359" s="18">
        <f>Z359*1.05</f>
        <v/>
      </c>
      <c r="R359" s="20">
        <f>Z359/(AB359+AD359+AC359)</f>
        <v/>
      </c>
      <c r="S359" s="21" t="inlineStr">
        <is>
          <t>视频</t>
        </is>
      </c>
      <c r="T359" s="21" t="n">
        <v>0.58</v>
      </c>
      <c r="U359" s="21" t="n">
        <v>0.32</v>
      </c>
      <c r="V359" s="21" t="n">
        <v>0.3</v>
      </c>
      <c r="W359" s="21" t="n">
        <v>0.04</v>
      </c>
      <c r="X359" s="18" t="n"/>
      <c r="Y359" s="18" t="n"/>
      <c r="Z359" s="18" t="n">
        <v>25800</v>
      </c>
      <c r="AA359" s="154">
        <f>SUM((Z359/P359)*1000)</f>
        <v/>
      </c>
      <c r="AB359" s="18" t="n">
        <v>31000</v>
      </c>
      <c r="AC359" s="18" t="n">
        <v>1792</v>
      </c>
      <c r="AD359" s="18" t="n">
        <v>7247</v>
      </c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</row>
    <row r="360" ht="24.75" customHeight="1" s="151">
      <c r="A360" s="17" t="n">
        <v>46100</v>
      </c>
      <c r="B360" s="18" t="n"/>
      <c r="C360" s="18" t="n"/>
      <c r="D360" s="18" t="inlineStr">
        <is>
          <t>品牌</t>
        </is>
      </c>
      <c r="E360" s="32" t="inlineStr">
        <is>
          <t>精妈和白领占比靠前，专业大家电测评</t>
        </is>
      </c>
      <c r="F360" s="18" t="inlineStr">
        <is>
          <t>包小山的窝</t>
        </is>
      </c>
      <c r="G360" s="18" t="inlineStr">
        <is>
          <t>https://www.xingtu.cn/ad/creator/author-homepage/douyin-video/7340242627557589030?market_track_id=2QRDAY2R4HGYGLSXDJ2X&amp;search_session_id=7618845949835034670&amp;possessStarId</t>
        </is>
      </c>
      <c r="H360" s="18" t="inlineStr">
        <is>
          <t>https://www.douyin.com/user/MS4wLjABAAAAiwnTb94xY5tXfPMYKw9xVBdfaoTM49N2wD5myet7Xto</t>
        </is>
      </c>
      <c r="I360" s="18" t="inlineStr">
        <is>
          <t>Bao_36000</t>
        </is>
      </c>
      <c r="J360" s="18" t="inlineStr">
        <is>
          <t>家居</t>
        </is>
      </c>
      <c r="K360" s="18" t="inlineStr">
        <is>
          <t>尾部</t>
        </is>
      </c>
      <c r="L360" s="18" t="n">
        <v>76</v>
      </c>
      <c r="M360" s="18" t="inlineStr">
        <is>
          <t>150-2000</t>
        </is>
      </c>
      <c r="N360" s="18" t="inlineStr">
        <is>
          <t>精致妈妈
新锐白领
都市蓝领</t>
        </is>
      </c>
      <c r="O360" s="21" t="n">
        <v>0.7</v>
      </c>
      <c r="P360" s="18" t="n">
        <v>885000</v>
      </c>
      <c r="Q360" s="18">
        <f>Z360*1.05</f>
        <v/>
      </c>
      <c r="R360" s="20">
        <f>Z360/(AB360+AD360+AC360)</f>
        <v/>
      </c>
      <c r="S360" s="21" t="inlineStr">
        <is>
          <t>视频</t>
        </is>
      </c>
      <c r="T360" s="21" t="n">
        <v>0.82</v>
      </c>
      <c r="U360" s="21" t="n">
        <v>0.34</v>
      </c>
      <c r="V360" s="21" t="n">
        <v>0.48</v>
      </c>
      <c r="W360" s="21" t="n">
        <v>0.06</v>
      </c>
      <c r="X360" s="18" t="n"/>
      <c r="Y360" s="18" t="n"/>
      <c r="Z360" s="18" t="n">
        <v>27800</v>
      </c>
      <c r="AA360" s="154">
        <f>SUM((Z360/P360)*1000)</f>
        <v/>
      </c>
      <c r="AB360" s="22" t="n">
        <v>6129</v>
      </c>
      <c r="AC360" s="18" t="n">
        <v>563</v>
      </c>
      <c r="AD360" s="18" t="n">
        <v>371</v>
      </c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</row>
    <row r="361" ht="24.75" customHeight="1" s="151">
      <c r="A361" s="17" t="n">
        <v>46100</v>
      </c>
      <c r="B361" s="18" t="n"/>
      <c r="C361" s="18" t="n"/>
      <c r="D361" s="18" t="inlineStr">
        <is>
          <t>品牌</t>
        </is>
      </c>
      <c r="E361" s="32" t="inlineStr">
        <is>
          <t>专业家装测评博主，覆盖房屋装修和家电选购建议</t>
        </is>
      </c>
      <c r="F361" s="18" t="inlineStr">
        <is>
          <t>老韩装修VVIP</t>
        </is>
      </c>
      <c r="G361" s="18" t="inlineStr">
        <is>
          <t>https://www.xingtu.cn/ad/creator/author-homepage/douyin-video/6834455957632712718?market_track_id=2QRDAY2R4HGYGLSXDJ2X&amp;search_session_id=7618845949835034670&amp;possessStarId</t>
        </is>
      </c>
      <c r="H361" s="18" t="inlineStr">
        <is>
          <t>https://www.douyin.com/user/MS4wLjABAAAA9Uf2N_afCH0mQ_5nWGpoC4wFulZZ0fuk8LtQGLAUbqE</t>
        </is>
      </c>
      <c r="I361" s="18" t="n">
        <v>991920484</v>
      </c>
      <c r="J361" s="18" t="inlineStr">
        <is>
          <t>家居</t>
        </is>
      </c>
      <c r="K361" s="18" t="inlineStr">
        <is>
          <t>腰部</t>
        </is>
      </c>
      <c r="L361" s="18" t="n">
        <v>111</v>
      </c>
      <c r="M361" s="18" t="inlineStr">
        <is>
          <t>150-2000</t>
        </is>
      </c>
      <c r="N361" s="18" t="inlineStr">
        <is>
          <t>新锐白领
小镇青年
都市蓝领</t>
        </is>
      </c>
      <c r="O361" s="21" t="n">
        <v>0.5</v>
      </c>
      <c r="P361" s="18" t="n">
        <v>1362000</v>
      </c>
      <c r="Q361" s="18">
        <f>Z361*1.05</f>
        <v/>
      </c>
      <c r="R361" s="20">
        <f>Z361/(AB361+AD361+AC361)</f>
        <v/>
      </c>
      <c r="S361" s="21" t="inlineStr">
        <is>
          <t>视频</t>
        </is>
      </c>
      <c r="T361" s="21" t="n">
        <v>0.33</v>
      </c>
      <c r="U361" s="21" t="n">
        <v>0.28</v>
      </c>
      <c r="V361" s="21" t="n">
        <v>0.42</v>
      </c>
      <c r="W361" s="21" t="n">
        <v>0.12</v>
      </c>
      <c r="X361" s="18" t="n"/>
      <c r="Y361" s="18" t="n"/>
      <c r="Z361" s="18" t="n">
        <v>52000</v>
      </c>
      <c r="AA361" s="154">
        <f>SUM((Z361/P361)*1000)</f>
        <v/>
      </c>
      <c r="AB361" s="18" t="n">
        <v>12000</v>
      </c>
      <c r="AC361" s="18" t="n">
        <v>376</v>
      </c>
      <c r="AD361" s="18" t="n">
        <v>478</v>
      </c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</row>
    <row r="362" ht="24.75" customHeight="1" s="151">
      <c r="A362" s="17" t="n">
        <v>46100</v>
      </c>
      <c r="B362" s="18" t="n"/>
      <c r="C362" s="18" t="n"/>
      <c r="D362" s="18" t="inlineStr">
        <is>
          <t>品牌</t>
        </is>
      </c>
      <c r="E362" s="32" t="inlineStr">
        <is>
          <t>专业家装博主，用智能家电，过舒适生活🤩</t>
        </is>
      </c>
      <c r="F362" s="18" t="inlineStr">
        <is>
          <t>家电先锋阿颖</t>
        </is>
      </c>
      <c r="G362" s="18" t="inlineStr">
        <is>
          <t>https://www.xingtu.cn/ad/creator/author-homepage/douyin-video/6770246259681787911?market_track_id=2QRDAY2R4HGYGLSXDJ2X&amp;search_session_id=7618852733019504678&amp;possessStarId</t>
        </is>
      </c>
      <c r="H362" s="18" t="inlineStr">
        <is>
          <t>https://www.douyin.com/user/MS4wLjABAAAAsQFY2WckQYO0nnOJNJBgLUzxCepbQJCSp8Zo3EcKSXc</t>
        </is>
      </c>
      <c r="I362" s="18" t="n">
        <v>189161129</v>
      </c>
      <c r="J362" s="18" t="inlineStr">
        <is>
          <t>家居</t>
        </is>
      </c>
      <c r="K362" s="18" t="inlineStr">
        <is>
          <t>腰部</t>
        </is>
      </c>
      <c r="L362" s="18" t="n">
        <v>50</v>
      </c>
      <c r="M362" s="18" t="inlineStr">
        <is>
          <t>150-2000</t>
        </is>
      </c>
      <c r="N362" s="18" t="inlineStr">
        <is>
          <t>新锐白领
小镇青年
精致妈妈</t>
        </is>
      </c>
      <c r="O362" s="21" t="n">
        <v>0.61</v>
      </c>
      <c r="P362" s="18" t="n">
        <v>910000</v>
      </c>
      <c r="Q362" s="18">
        <f>Z362*1.05</f>
        <v/>
      </c>
      <c r="R362" s="20">
        <f>Z362/(AB362+AD362+AC362)</f>
        <v/>
      </c>
      <c r="S362" s="21" t="inlineStr">
        <is>
          <t>视频</t>
        </is>
      </c>
      <c r="T362" s="21" t="n">
        <v>0.53</v>
      </c>
      <c r="U362" s="21" t="n">
        <v>0.41</v>
      </c>
      <c r="V362" s="21" t="n">
        <v>0.42</v>
      </c>
      <c r="W362" s="21" t="n">
        <v>0.04</v>
      </c>
      <c r="X362" s="18" t="n"/>
      <c r="Y362" s="18" t="n"/>
      <c r="Z362" s="18" t="n">
        <v>23800</v>
      </c>
      <c r="AA362" s="154">
        <f>SUM((Z362/P362)*1000)</f>
        <v/>
      </c>
      <c r="AB362" s="18" t="n">
        <v>8251</v>
      </c>
      <c r="AC362" s="18" t="n">
        <v>191</v>
      </c>
      <c r="AD362" s="18" t="n">
        <v>306</v>
      </c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</row>
    <row r="363">
      <c r="A363" s="17" t="n">
        <v>46100</v>
      </c>
      <c r="B363" s="18" t="n"/>
      <c r="C363" s="18" t="n"/>
      <c r="D363" s="18" t="inlineStr">
        <is>
          <t>电商</t>
        </is>
      </c>
      <c r="E363" s="32" t="inlineStr">
        <is>
          <t>创意博主，手工DIY，有高空价值</t>
        </is>
      </c>
      <c r="F363" s="18" t="inlineStr">
        <is>
          <t>慕白自装记</t>
        </is>
      </c>
      <c r="G363" s="18" t="inlineStr">
        <is>
          <t>https://www.xingtu.cn/ad/creator/author-homepage/douyin-video/7025753596956246030?market_track_id=2QRDAY2R4HGYGLSXDJ2X&amp;search_session_id=7618852733019504678&amp;possessStarId</t>
        </is>
      </c>
      <c r="H363" s="18" t="inlineStr">
        <is>
          <t>https://www.douyin.com/user/MS4wLjABAAAAQxTkv44P0jI237ih3MXJKQ3-FZuqJMOCQoMxRVJvp8A</t>
        </is>
      </c>
      <c r="I363" s="18" t="n">
        <v>58395396826</v>
      </c>
      <c r="J363" s="18" t="inlineStr">
        <is>
          <t>家居</t>
        </is>
      </c>
      <c r="K363" s="18" t="inlineStr">
        <is>
          <t>腰部</t>
        </is>
      </c>
      <c r="L363" s="18" t="n">
        <v>50</v>
      </c>
      <c r="M363" s="18" t="n">
        <v>150</v>
      </c>
      <c r="N363" s="18" t="inlineStr">
        <is>
          <t>新锐白领
小镇青年
都市蓝领</t>
        </is>
      </c>
      <c r="O363" s="21" t="n">
        <v>0.57</v>
      </c>
      <c r="P363" s="18" t="n">
        <v>3500000</v>
      </c>
      <c r="Q363" s="18">
        <f>Z363*1.05</f>
        <v/>
      </c>
      <c r="R363" s="20">
        <f>Z363/(AB363+AD363+AC363)</f>
        <v/>
      </c>
      <c r="S363" s="21" t="inlineStr">
        <is>
          <t>视频</t>
        </is>
      </c>
      <c r="T363" s="21" t="n">
        <v>0.16</v>
      </c>
      <c r="U363" s="21" t="n">
        <v>0.24</v>
      </c>
      <c r="V363" s="21" t="n">
        <v>0.5</v>
      </c>
      <c r="W363" s="21" t="n">
        <v>0.15</v>
      </c>
      <c r="X363" s="18" t="n"/>
      <c r="Y363" s="18" t="n"/>
      <c r="Z363" s="18" t="n">
        <v>69800</v>
      </c>
      <c r="AA363" s="154">
        <f>SUM((Z363/P363)*1000)</f>
        <v/>
      </c>
      <c r="AB363" s="18" t="n">
        <v>112000</v>
      </c>
      <c r="AC363" s="22" t="n">
        <v>4138</v>
      </c>
      <c r="AD363" s="18" t="n">
        <v>61000</v>
      </c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</row>
    <row r="364" ht="37.9" customHeight="1" s="151">
      <c r="A364" s="17" t="n">
        <v>46100</v>
      </c>
      <c r="B364" s="18" t="n"/>
      <c r="C364" s="18" t="n"/>
      <c r="D364" s="18" t="inlineStr">
        <is>
          <t>电商</t>
        </is>
      </c>
      <c r="E364" s="32" t="inlineStr">
        <is>
          <t>爆款大家电商单https://www.douyin.com/video/7560217304925244730</t>
        </is>
      </c>
      <c r="F364" s="18" t="inlineStr">
        <is>
          <t>王小姐的家</t>
        </is>
      </c>
      <c r="G364" s="18" t="inlineStr">
        <is>
          <t>https://www.xingtu.cn/ad/creator/author-homepage/douyin-video/7271197745812095034?market_track_id=2QRDAY2R4HGYGLSXDJ2X&amp;search_session_id=7618852733019504678&amp;possessStarId</t>
        </is>
      </c>
      <c r="H364" s="18" t="inlineStr">
        <is>
          <t>https://www.douyin.com/user/MS4wLjABAAAAmSPk6-9eFUHnWudEdsZ6yEETC-e7_neQHnBk8TZh6JQ</t>
        </is>
      </c>
      <c r="I364" s="18" t="inlineStr">
        <is>
          <t>dykcxvpju9ob</t>
        </is>
      </c>
      <c r="J364" s="18" t="inlineStr">
        <is>
          <t>家居</t>
        </is>
      </c>
      <c r="K364" s="18" t="inlineStr">
        <is>
          <t>尾部</t>
        </is>
      </c>
      <c r="L364" s="18" t="n">
        <v>43</v>
      </c>
      <c r="M364" s="18" t="inlineStr">
        <is>
          <t>2000-20000</t>
        </is>
      </c>
      <c r="N364" s="18" t="inlineStr">
        <is>
          <t>新锐白领
小镇青年
精致妈妈</t>
        </is>
      </c>
      <c r="O364" s="21" t="n">
        <v>0.48</v>
      </c>
      <c r="P364" s="18" t="n">
        <v>1635000</v>
      </c>
      <c r="Q364" s="18">
        <f>Z364*1.05</f>
        <v/>
      </c>
      <c r="R364" s="20">
        <f>Z364/(AB364+AD364+AC364)</f>
        <v/>
      </c>
      <c r="S364" s="21" t="inlineStr">
        <is>
          <t>视频</t>
        </is>
      </c>
      <c r="T364" s="21" t="n">
        <v>0.5600000000000001</v>
      </c>
      <c r="U364" s="21" t="n">
        <v>0.36</v>
      </c>
      <c r="V364" s="21" t="n">
        <v>0.3</v>
      </c>
      <c r="W364" s="21" t="n">
        <v>0.14</v>
      </c>
      <c r="X364" s="18" t="n"/>
      <c r="Y364" s="18" t="n"/>
      <c r="Z364" s="18" t="n">
        <v>29000</v>
      </c>
      <c r="AA364" s="154">
        <f>SUM((Z364/P364)*1000)</f>
        <v/>
      </c>
      <c r="AB364" s="18" t="n">
        <v>11000</v>
      </c>
      <c r="AC364" s="18" t="n">
        <v>303</v>
      </c>
      <c r="AD364" s="18" t="n">
        <v>892</v>
      </c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</row>
    <row r="365" ht="37.9" customHeight="1" s="151">
      <c r="A365" s="17" t="n">
        <v>46100</v>
      </c>
      <c r="B365" s="18" t="n"/>
      <c r="C365" s="18" t="n"/>
      <c r="D365" s="18" t="inlineStr">
        <is>
          <t>电商</t>
        </is>
      </c>
      <c r="E365" s="32" t="inlineStr">
        <is>
          <t>油烟机爆款商单：https://www.douyin.com/video/7567378675596980090</t>
        </is>
      </c>
      <c r="F365" s="18" t="inlineStr">
        <is>
          <t>硕硕的装修日记🤗</t>
        </is>
      </c>
      <c r="G365" s="18" t="inlineStr">
        <is>
          <t>https://www.xingtu.cn/ad/creator/author-homepage/douyin-video/6917076050329468942?market_track_id=2QRDAY2R4HGYGLSXDJ2X&amp;search_session_id=7618852733019504678&amp;possessStarId</t>
        </is>
      </c>
      <c r="H365" s="18" t="inlineStr">
        <is>
          <t>https://www.douyin.com/user/MS4wLjABAAAAyPKvMcmFZeoohM2Md0wXVDGCCgj6oWsUJI3SlKIkKxY</t>
        </is>
      </c>
      <c r="I365" s="18" t="inlineStr">
        <is>
          <t>shuovlog</t>
        </is>
      </c>
      <c r="J365" s="18" t="inlineStr">
        <is>
          <t>家居</t>
        </is>
      </c>
      <c r="K365" s="18" t="inlineStr">
        <is>
          <t>腰部</t>
        </is>
      </c>
      <c r="L365" s="18" t="n">
        <v>193</v>
      </c>
      <c r="M365" s="18" t="inlineStr">
        <is>
          <t>150-2000</t>
        </is>
      </c>
      <c r="N365" s="18" t="inlineStr">
        <is>
          <t>新锐白领
小镇青年
Z世代</t>
        </is>
      </c>
      <c r="O365" s="21" t="n">
        <v>0.4</v>
      </c>
      <c r="P365" s="18" t="n">
        <v>791000</v>
      </c>
      <c r="Q365" s="18">
        <f>Z365*1.05</f>
        <v/>
      </c>
      <c r="R365" s="20">
        <f>Z365/(AB365+AD365+AC365)</f>
        <v/>
      </c>
      <c r="S365" s="21" t="inlineStr">
        <is>
          <t>视频</t>
        </is>
      </c>
      <c r="T365" s="21" t="n">
        <v>0.43</v>
      </c>
      <c r="U365" s="21" t="n">
        <v>0.32</v>
      </c>
      <c r="V365" s="21" t="n">
        <v>0.32</v>
      </c>
      <c r="W365" s="21" t="n">
        <v>0.06</v>
      </c>
      <c r="X365" s="18" t="n"/>
      <c r="Y365" s="18" t="n"/>
      <c r="Z365" s="18" t="n">
        <v>58000</v>
      </c>
      <c r="AA365" s="154">
        <f>SUM((Z365/P365)*1000)</f>
        <v/>
      </c>
      <c r="AB365" s="18" t="n">
        <v>8772</v>
      </c>
      <c r="AC365" s="18" t="n">
        <v>446</v>
      </c>
      <c r="AD365" s="18" t="n">
        <v>259</v>
      </c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</row>
    <row r="366" ht="37.9" customHeight="1" s="151">
      <c r="A366" s="17" t="n">
        <v>46100</v>
      </c>
      <c r="B366" s="18" t="n"/>
      <c r="C366" s="18" t="n"/>
      <c r="D366" s="18" t="inlineStr">
        <is>
          <t>电商</t>
        </is>
      </c>
      <c r="E366" s="32" t="inlineStr">
        <is>
          <t>家电商单多https://www.douyin.com/video/7502650496201608505</t>
        </is>
      </c>
      <c r="F366" s="18" t="inlineStr">
        <is>
          <t>木易杨杨装修记</t>
        </is>
      </c>
      <c r="G366" s="18" t="inlineStr">
        <is>
          <t>https://www.xingtu.cn/ad/creator/author-homepage/douyin-video/6987411860874067999?market_track_id=5A6HOFKFKTHRXB1LHGCR&amp;search_session_id=7618859456377798683&amp;possessStarId</t>
        </is>
      </c>
      <c r="H366" s="18" t="inlineStr">
        <is>
          <t>https://www.douyin.com/user/MS4wLjABAAAAGOEfeInhypUd-0QGtWmsetKH74tyUv_cWuniOEmZIPsdrKpNkANQPU6NsJkHZnb2</t>
        </is>
      </c>
      <c r="I366" s="18" t="inlineStr">
        <is>
          <t>muyiyangyang47</t>
        </is>
      </c>
      <c r="J366" s="18" t="inlineStr">
        <is>
          <t>家居</t>
        </is>
      </c>
      <c r="K366" s="18" t="inlineStr">
        <is>
          <t>尾部</t>
        </is>
      </c>
      <c r="L366" s="18" t="n">
        <v>16</v>
      </c>
      <c r="M366" s="18" t="inlineStr">
        <is>
          <t>150-2000</t>
        </is>
      </c>
      <c r="N366" s="18" t="inlineStr">
        <is>
          <t>新锐白领
小镇青年
精致妈妈</t>
        </is>
      </c>
      <c r="O366" s="21" t="n">
        <v>0.6</v>
      </c>
      <c r="P366" s="18" t="n">
        <v>502000</v>
      </c>
      <c r="Q366" s="18">
        <f>Z366*1.05</f>
        <v/>
      </c>
      <c r="R366" s="20">
        <f>Z366/(AB366+AD366+AC366)</f>
        <v/>
      </c>
      <c r="S366" s="21" t="inlineStr">
        <is>
          <t>视频</t>
        </is>
      </c>
      <c r="T366" s="21" t="n">
        <v>0.32</v>
      </c>
      <c r="U366" s="21" t="n">
        <v>0.43</v>
      </c>
      <c r="V366" s="21" t="n">
        <v>0.46</v>
      </c>
      <c r="W366" s="21" t="n">
        <v>0.02</v>
      </c>
      <c r="X366" s="18" t="n"/>
      <c r="Y366" s="18" t="n"/>
      <c r="Z366" s="18" t="n">
        <v>23000</v>
      </c>
      <c r="AA366" s="154">
        <f>SUM((Z366/P366)*1000)</f>
        <v/>
      </c>
      <c r="AB366" s="18" t="n">
        <v>17000</v>
      </c>
      <c r="AC366" s="18" t="n">
        <v>406</v>
      </c>
      <c r="AD366" s="18" t="n">
        <v>450</v>
      </c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</row>
    <row r="367" ht="49.5" customHeight="1" s="151">
      <c r="A367" s="17" t="n">
        <v>46100</v>
      </c>
      <c r="B367" s="18" t="n"/>
      <c r="C367" s="18" t="n"/>
      <c r="D367" s="18" t="inlineStr">
        <is>
          <t>电商</t>
        </is>
      </c>
      <c r="E367" s="32" t="inlineStr">
        <is>
          <t>老破大逆袭记 100㎡空中露台+270°环幕窗景 记录一场不顾一切的浪漫改造 装修干货｜家居好物｜窗景日记</t>
        </is>
      </c>
      <c r="F367" s="18" t="inlineStr">
        <is>
          <t>今天在许许家</t>
        </is>
      </c>
      <c r="G367" s="18" t="inlineStr">
        <is>
          <t>https://www.xingtu.cn/ad/creator/author-homepage/douyin-video/7250313631873630220?market_track_id=5A6HOFKFKTHRXB1LHGCR&amp;search_session_id=7618859456377798683&amp;possessStarId</t>
        </is>
      </c>
      <c r="H367" s="18" t="inlineStr">
        <is>
          <t>https://www.douyin.com/user/MS4wLjABAAAAIkXfYvJYbpwFursUnN3Xb6dpIW_l1-i2gZINakgBXajGJx40jqnOJvIK450J1yDA</t>
        </is>
      </c>
      <c r="I367" s="18" t="inlineStr">
        <is>
          <t>shiyue063023</t>
        </is>
      </c>
      <c r="J367" s="18" t="inlineStr">
        <is>
          <t>家居</t>
        </is>
      </c>
      <c r="K367" s="18" t="inlineStr">
        <is>
          <t>腰部</t>
        </is>
      </c>
      <c r="L367" s="18" t="n">
        <v>152</v>
      </c>
      <c r="M367" s="18" t="n">
        <v>0</v>
      </c>
      <c r="N367" s="18" t="inlineStr">
        <is>
          <t>新锐白领
都市蓝领
Z世代</t>
        </is>
      </c>
      <c r="O367" s="21" t="n">
        <v>0.49</v>
      </c>
      <c r="P367" s="18" t="n">
        <v>201000</v>
      </c>
      <c r="Q367" s="18">
        <f>Z367*1.05</f>
        <v/>
      </c>
      <c r="R367" s="20">
        <f>Z367/(AB367+AD367+AC367)</f>
        <v/>
      </c>
      <c r="S367" s="21" t="inlineStr">
        <is>
          <t>视频</t>
        </is>
      </c>
      <c r="T367" s="21" t="n">
        <v>0.5</v>
      </c>
      <c r="U367" s="21" t="n">
        <v>0.27</v>
      </c>
      <c r="V367" s="21" t="n">
        <v>0.42</v>
      </c>
      <c r="W367" s="21" t="n">
        <v>0.14</v>
      </c>
      <c r="X367" s="18" t="n"/>
      <c r="Y367" s="18" t="n"/>
      <c r="Z367" s="18" t="n">
        <v>40000</v>
      </c>
      <c r="AA367" s="154">
        <f>SUM((Z367/P367)*1000)</f>
        <v/>
      </c>
      <c r="AB367" s="18" t="n">
        <v>20000</v>
      </c>
      <c r="AC367" s="18" t="n">
        <v>111</v>
      </c>
      <c r="AD367" s="18" t="n">
        <v>249</v>
      </c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</row>
    <row r="368" ht="50.65" customHeight="1" s="151">
      <c r="A368" s="17" t="n">
        <v>46100</v>
      </c>
      <c r="B368" s="18" t="n"/>
      <c r="C368" s="18" t="n"/>
      <c r="D368" s="18" t="inlineStr">
        <is>
          <t>电商</t>
        </is>
      </c>
      <c r="E368" s="32" t="inlineStr">
        <is>
          <t>大家电爆款：https://www.douyin.com/video/7549046791322422537?previous_page=app_code_link</t>
        </is>
      </c>
      <c r="F368" s="18" t="inlineStr">
        <is>
          <t xml:space="preserve">
大糕的家🍰</t>
        </is>
      </c>
      <c r="G368" s="18" t="inlineStr">
        <is>
          <t>https://www.xingtu.cn/ad/creator/author-homepage/douyin-video/6939722626608660487?market_track_id=5A6HOFKFKTHRXB1LHGCR&amp;search_session_id=7618859456377798683&amp;possessStarId</t>
        </is>
      </c>
      <c r="H368" s="18" t="inlineStr">
        <is>
          <t>https://www.douyin.com/user/MS4wLjABAAAAQvKCftPwz9tTUBAVXz_EdXetudUydGzzRnXjpP1cZlneqWJwKxQH5s3cjobyMEKw</t>
        </is>
      </c>
      <c r="I368" s="18" t="inlineStr">
        <is>
          <t>dagaogao222</t>
        </is>
      </c>
      <c r="J368" s="18" t="inlineStr">
        <is>
          <t>家居</t>
        </is>
      </c>
      <c r="K368" s="18" t="inlineStr">
        <is>
          <t>尾部</t>
        </is>
      </c>
      <c r="L368" s="18" t="n">
        <v>20</v>
      </c>
      <c r="M368" s="18" t="inlineStr">
        <is>
          <t>150-2000</t>
        </is>
      </c>
      <c r="N368" s="18" t="inlineStr">
        <is>
          <t>小镇青年
新锐白领
精致妈妈</t>
        </is>
      </c>
      <c r="O368" s="21" t="n">
        <v>0.4</v>
      </c>
      <c r="P368" s="18" t="n">
        <v>503000</v>
      </c>
      <c r="Q368" s="18">
        <f>Z368*1.05</f>
        <v/>
      </c>
      <c r="R368" s="20">
        <f>Z368/(AB368+AD368+AC368)</f>
        <v/>
      </c>
      <c r="S368" s="21" t="inlineStr">
        <is>
          <t>视频</t>
        </is>
      </c>
      <c r="T368" s="21" t="n">
        <v>0.72</v>
      </c>
      <c r="U368" s="21" t="n">
        <v>0.24</v>
      </c>
      <c r="V368" s="21" t="n">
        <v>0.43</v>
      </c>
      <c r="W368" s="21" t="n">
        <v>0.07000000000000001</v>
      </c>
      <c r="X368" s="18" t="n"/>
      <c r="Y368" s="18" t="n"/>
      <c r="Z368" s="18" t="n">
        <v>21000</v>
      </c>
      <c r="AA368" s="154">
        <f>SUM((Z368/P368)*1000)</f>
        <v/>
      </c>
      <c r="AB368" s="22" t="n">
        <v>3705</v>
      </c>
      <c r="AC368" s="18" t="n">
        <v>886</v>
      </c>
      <c r="AD368" s="18" t="n">
        <v>340</v>
      </c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</row>
    <row r="369" ht="37.9" customHeight="1" s="151">
      <c r="A369" s="17" t="n">
        <v>46100</v>
      </c>
      <c r="B369" s="18" t="n"/>
      <c r="C369" s="18" t="n"/>
      <c r="D369" s="18" t="inlineStr">
        <is>
          <t>电商</t>
        </is>
      </c>
      <c r="E369" s="32" t="inlineStr">
        <is>
          <t>爆款大家电商单：https://www.douyin.com/video/7560640059482279228</t>
        </is>
      </c>
      <c r="F369" s="18" t="inlineStr">
        <is>
          <t>漫夏来</t>
        </is>
      </c>
      <c r="G369" s="18" t="inlineStr">
        <is>
          <t>https://www.xingtu.cn/ad/creator/author-homepage/douyin-video/7049500296354988068?market_track_id=5A6HOFKFKTHRXB1LHGCR&amp;search_session_id=7618864069680332841&amp;possessStarId</t>
        </is>
      </c>
      <c r="H369" s="18" t="inlineStr">
        <is>
          <t>https://www.douyin.com/user/MS4wLjABAAAA93m-zhcEYSb-JvbXJuvs3rgDWdCXc0pgAmyqMVJUTq8</t>
        </is>
      </c>
      <c r="I369" s="18" t="inlineStr">
        <is>
          <t>MXL920805</t>
        </is>
      </c>
      <c r="J369" s="18" t="inlineStr">
        <is>
          <t>家居</t>
        </is>
      </c>
      <c r="K369" s="18" t="inlineStr">
        <is>
          <t>腰部</t>
        </is>
      </c>
      <c r="L369" s="18" t="n">
        <v>60</v>
      </c>
      <c r="M369" s="18" t="n">
        <v>150</v>
      </c>
      <c r="N369" s="18" t="inlineStr">
        <is>
          <t>小镇青年
新锐白领
小镇中老年</t>
        </is>
      </c>
      <c r="O369" s="21" t="n">
        <v>0.3</v>
      </c>
      <c r="P369" s="18" t="n">
        <v>2918000</v>
      </c>
      <c r="Q369" s="18">
        <f>Z369*1.05</f>
        <v/>
      </c>
      <c r="R369" s="20">
        <f>Z369/(AB369+AD369+AC369)</f>
        <v/>
      </c>
      <c r="S369" s="21" t="inlineStr">
        <is>
          <t>视频</t>
        </is>
      </c>
      <c r="T369" s="21" t="n">
        <v>0.34</v>
      </c>
      <c r="U369" s="21" t="n">
        <v>0.18</v>
      </c>
      <c r="V369" s="21" t="n">
        <v>0.4</v>
      </c>
      <c r="W369" s="21" t="n">
        <v>0.25</v>
      </c>
      <c r="X369" s="18" t="n"/>
      <c r="Y369" s="18" t="n"/>
      <c r="Z369" s="18" t="n">
        <v>30000</v>
      </c>
      <c r="AA369" s="154">
        <f>SUM((Z369/P369)*1000)</f>
        <v/>
      </c>
      <c r="AB369" s="18" t="n">
        <v>18000</v>
      </c>
      <c r="AC369" s="18" t="n">
        <v>793</v>
      </c>
      <c r="AD369" s="18" t="n">
        <v>639</v>
      </c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</row>
    <row r="370" ht="24.75" customHeight="1" s="151">
      <c r="A370" s="17" t="n">
        <v>46100</v>
      </c>
      <c r="B370" s="18" t="n"/>
      <c r="C370" s="18" t="n"/>
      <c r="D370" s="18" t="inlineStr">
        <is>
          <t>电商</t>
        </is>
      </c>
      <c r="E370" s="32" t="inlineStr">
        <is>
          <t>风格自然清新，植入不生硬，大家电合作经验</t>
        </is>
      </c>
      <c r="F370" s="18" t="inlineStr">
        <is>
          <t>super波儿呀</t>
        </is>
      </c>
      <c r="G370" s="18" t="inlineStr">
        <is>
          <t>https://www.xingtu.cn/ad/creator/author-homepage/douyin-video/6935817485073514508?market_track_id=5A6HOFKFKTHRXB1LHGCR&amp;search_session_id=7618864069680332841&amp;possessStarId</t>
        </is>
      </c>
      <c r="H370" s="18" t="inlineStr">
        <is>
          <t>https://www.douyin.com/user/MS4wLjABAAAA_zJrUsUWCyjzUnAhIaWJh4ru2K76ZAxGZldIYVeBKxf0GeflVeChcxSNb95zkuUb</t>
        </is>
      </c>
      <c r="I370" s="18" t="inlineStr">
        <is>
          <t>boo577</t>
        </is>
      </c>
      <c r="J370" s="18" t="inlineStr">
        <is>
          <t>家居</t>
        </is>
      </c>
      <c r="K370" s="18" t="inlineStr">
        <is>
          <t>尾部</t>
        </is>
      </c>
      <c r="L370" s="18" t="n">
        <v>29</v>
      </c>
      <c r="M370" s="18" t="inlineStr">
        <is>
          <t>150-2000</t>
        </is>
      </c>
      <c r="N370" s="18" t="inlineStr">
        <is>
          <t>小镇青年
新锐白领
精致妈妈</t>
        </is>
      </c>
      <c r="O370" s="21" t="n">
        <v>0.38</v>
      </c>
      <c r="P370" s="18" t="n">
        <v>662000</v>
      </c>
      <c r="Q370" s="18">
        <f>Z370*1.05</f>
        <v/>
      </c>
      <c r="R370" s="20">
        <f>Z370/(AB370+AD370+AC370)</f>
        <v/>
      </c>
      <c r="S370" s="21" t="inlineStr">
        <is>
          <t>视频</t>
        </is>
      </c>
      <c r="T370" s="21" t="n">
        <v>0.64</v>
      </c>
      <c r="U370" s="21" t="n">
        <v>0.34</v>
      </c>
      <c r="V370" s="21" t="n">
        <v>0.41</v>
      </c>
      <c r="W370" s="21" t="n">
        <v>0.07000000000000001</v>
      </c>
      <c r="X370" s="18" t="n"/>
      <c r="Y370" s="18" t="n"/>
      <c r="Z370" s="18" t="n">
        <v>21000</v>
      </c>
      <c r="AA370" s="154">
        <f>SUM((Z370/P370)*1000)</f>
        <v/>
      </c>
      <c r="AB370" s="22" t="n">
        <v>3018</v>
      </c>
      <c r="AC370" s="18" t="n">
        <v>161</v>
      </c>
      <c r="AD370" s="18" t="n">
        <v>128</v>
      </c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</row>
    <row r="371" ht="37.9" customHeight="1" s="151">
      <c r="A371" s="17" t="n">
        <v>46100</v>
      </c>
      <c r="B371" s="18" t="n"/>
      <c r="C371" s="18" t="n"/>
      <c r="D371" s="18" t="inlineStr">
        <is>
          <t>品牌</t>
        </is>
      </c>
      <c r="E371" s="32" t="inlineStr">
        <is>
          <t>蒸烤箱商单：https://www.douyin.com/video/7352081067588750604</t>
        </is>
      </c>
      <c r="F371" s="18" t="inlineStr">
        <is>
          <t>马化云JP</t>
        </is>
      </c>
      <c r="G371" s="18" t="inlineStr">
        <is>
          <t>https://www.xingtu.cn/ad/creator/author-homepage/douyin-video/6674506731407540237?market_track_id=5A6HOFKFKTHRXB1LHGCR&amp;search_session_id=7618867037276061732&amp;possessStarId</t>
        </is>
      </c>
      <c r="H371" s="18" t="inlineStr">
        <is>
          <t>https://www.douyin.com/user/MS4wLjABAAAAbTQPjm6Xw3KZpsezM992HYPQaIAGZPw58qHG6vk1orE</t>
        </is>
      </c>
      <c r="I371" s="18" t="n">
        <v>1049380947</v>
      </c>
      <c r="J371" s="18" t="inlineStr">
        <is>
          <t>家居</t>
        </is>
      </c>
      <c r="K371" s="18" t="inlineStr">
        <is>
          <t>腰部</t>
        </is>
      </c>
      <c r="L371" s="18" t="n">
        <v>58</v>
      </c>
      <c r="M371" s="18" t="n">
        <v>150</v>
      </c>
      <c r="N371" s="18" t="inlineStr">
        <is>
          <t>新锐白领
小镇青年
都市蓝领</t>
        </is>
      </c>
      <c r="O371" s="21" t="n">
        <v>0.45</v>
      </c>
      <c r="P371" s="18" t="n">
        <v>803000</v>
      </c>
      <c r="Q371" s="18">
        <f>Z371*1.05</f>
        <v/>
      </c>
      <c r="R371" s="20">
        <f>Z371/(AB371+AD371+AC371)</f>
        <v/>
      </c>
      <c r="S371" s="21" t="inlineStr">
        <is>
          <t>视频</t>
        </is>
      </c>
      <c r="T371" s="21" t="n">
        <v>0.2</v>
      </c>
      <c r="U371" s="21" t="n">
        <v>0.31</v>
      </c>
      <c r="V371" s="21" t="n">
        <v>0.43</v>
      </c>
      <c r="W371" s="21" t="n">
        <v>0.08</v>
      </c>
      <c r="X371" s="18" t="n"/>
      <c r="Y371" s="18" t="n"/>
      <c r="Z371" s="18" t="n">
        <v>20000</v>
      </c>
      <c r="AA371" s="154">
        <f>SUM((Z371/P371)*1000)</f>
        <v/>
      </c>
      <c r="AB371" s="18" t="n">
        <v>5114</v>
      </c>
      <c r="AC371" s="18" t="n">
        <v>138</v>
      </c>
      <c r="AD371" s="18" t="n">
        <v>936</v>
      </c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</row>
    <row r="372" ht="24.75" customHeight="1" s="151">
      <c r="A372" s="17" t="n">
        <v>46100</v>
      </c>
      <c r="B372" s="18" t="n"/>
      <c r="C372" s="18" t="n"/>
      <c r="D372" s="18" t="inlineStr">
        <is>
          <t>品牌</t>
        </is>
      </c>
      <c r="E372" s="32" t="inlineStr">
        <is>
          <t>硬核干货，用参数解决油烟倒灌痛点。</t>
        </is>
      </c>
      <c r="F372" s="32" t="inlineStr">
        <is>
          <t xml:space="preserve">一口的装修日记 </t>
        </is>
      </c>
      <c r="G372" s="36" t="inlineStr">
        <is>
          <t>https://www.xingtu.cn/ad/creator/author/douyin/7035148598673145893</t>
        </is>
      </c>
      <c r="H372" s="18" t="inlineStr">
        <is>
          <t>https://www.douyin.com/user/MS4wLjABAAAAXsGCC7lQH6QEZlSFR0IMjIusmJ797ycDSJ7i2-xuNVI</t>
        </is>
      </c>
      <c r="I372" s="32" t="inlineStr">
        <is>
          <t>Yikou192</t>
        </is>
      </c>
      <c r="J372" s="32" t="inlineStr">
        <is>
          <t>家电测评</t>
        </is>
      </c>
      <c r="K372" s="32" t="inlineStr">
        <is>
          <t>腰部</t>
        </is>
      </c>
      <c r="L372" s="32" t="n">
        <v>100.7</v>
      </c>
      <c r="M372" s="32" t="n"/>
      <c r="N372" s="32" t="n"/>
      <c r="O372" s="32" t="n"/>
      <c r="P372" s="32" t="n">
        <v>1829000</v>
      </c>
      <c r="Q372" s="32">
        <f>Z372*1.05</f>
        <v/>
      </c>
      <c r="R372" s="32" t="n">
        <v>3.11</v>
      </c>
      <c r="S372" s="18" t="inlineStr">
        <is>
          <t>视频</t>
        </is>
      </c>
      <c r="T372" s="46" t="n">
        <v>0.471</v>
      </c>
      <c r="U372" s="47" t="n">
        <v>0.27</v>
      </c>
      <c r="V372" s="47" t="n">
        <v>0.44</v>
      </c>
      <c r="W372" s="47" t="n">
        <v>0.08</v>
      </c>
      <c r="X372" s="47" t="n"/>
      <c r="Y372" s="47" t="n"/>
      <c r="Z372" s="32" t="n">
        <v>49800</v>
      </c>
      <c r="AA372" s="32" t="n">
        <v>27.23</v>
      </c>
      <c r="AB372" s="32" t="n">
        <v>12000</v>
      </c>
      <c r="AC372" s="48" t="n">
        <v>1553</v>
      </c>
      <c r="AD372" s="48" t="n">
        <v>2457</v>
      </c>
      <c r="AE372" s="20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</row>
    <row r="373" ht="37.9" customHeight="1" s="151">
      <c r="A373" s="17" t="n">
        <v>46100</v>
      </c>
      <c r="B373" s="32" t="n"/>
      <c r="C373" s="18" t="n"/>
      <c r="D373" s="18" t="inlineStr">
        <is>
          <t>电商</t>
        </is>
      </c>
      <c r="E373" s="32" t="inlineStr">
        <is>
          <t>萌宠+居家日常，大家电爆单：https://www.douyin.com/video/7566112373561949177</t>
        </is>
      </c>
      <c r="F373" s="18" t="inlineStr">
        <is>
          <t xml:space="preserve">猫哩三小郎 </t>
        </is>
      </c>
      <c r="G373" s="18" t="inlineStr">
        <is>
          <t>https://www.xingtu.cn/ad/creator/author-homepage/douyin-video/6802195315425280008?market_track_id=I3AXFCO2FFOA5SYPCT78&amp;search_session_id=7605461670957154354&amp;possessStarId</t>
        </is>
      </c>
      <c r="H373" s="18" t="inlineStr">
        <is>
          <t>https://www.douyin.com/user/MS4wLjABAAAAlSz3mcmyAGG0yhJn26N7Q51TJVEmSIt5wFl8dJbQBNgbOYDsnizQJ15y0-ub0MBe</t>
        </is>
      </c>
      <c r="I373" s="18" t="inlineStr">
        <is>
          <t>MLsanxiaolang</t>
        </is>
      </c>
      <c r="J373" s="18" t="inlineStr">
        <is>
          <t>家居</t>
        </is>
      </c>
      <c r="K373" s="18" t="inlineStr">
        <is>
          <t>尾部</t>
        </is>
      </c>
      <c r="L373" s="18" t="n">
        <v>34.7</v>
      </c>
      <c r="M373" s="18" t="n"/>
      <c r="N373" s="18" t="n"/>
      <c r="O373" s="18" t="n"/>
      <c r="P373" s="18" t="n">
        <v>508000</v>
      </c>
      <c r="Q373" s="18">
        <f>SUM(Z373*1.05)</f>
        <v/>
      </c>
      <c r="R373" s="20">
        <f>SUM(Z373/(AB373+AC373+AD373))</f>
        <v/>
      </c>
      <c r="S373" s="18" t="inlineStr">
        <is>
          <t>视频</t>
        </is>
      </c>
      <c r="T373" s="21" t="n">
        <v>0.68</v>
      </c>
      <c r="U373" s="21" t="n">
        <v>0.34</v>
      </c>
      <c r="V373" s="21" t="n">
        <v>0.41</v>
      </c>
      <c r="W373" s="21" t="n">
        <v>0.04</v>
      </c>
      <c r="X373" s="21" t="n"/>
      <c r="Y373" s="21" t="n"/>
      <c r="Z373" s="18" t="n">
        <v>24000</v>
      </c>
      <c r="AA373" s="154">
        <f>SUM((Z373/P373)*1000)</f>
        <v/>
      </c>
      <c r="AB373" s="18" t="n">
        <v>4523</v>
      </c>
      <c r="AC373" s="18" t="n">
        <v>219</v>
      </c>
      <c r="AD373" s="18" t="n">
        <v>458</v>
      </c>
      <c r="AE373" s="20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</row>
    <row r="374" ht="37.15" customHeight="1" s="151">
      <c r="A374" s="17" t="n">
        <v>46100</v>
      </c>
      <c r="B374" s="18" t="n"/>
      <c r="C374" s="18" t="n"/>
      <c r="D374" s="18" t="inlineStr">
        <is>
          <t>电商</t>
        </is>
      </c>
      <c r="E374" s="32" t="inlineStr">
        <is>
          <t>以“美食做饭+生活解压”为特色，内容风格幽默犀利，能通过“反差感场景”打破家电推广的刻板印象。</t>
        </is>
      </c>
      <c r="F374" s="18" t="inlineStr">
        <is>
          <t xml:space="preserve">想退休的W </t>
        </is>
      </c>
      <c r="G374" s="18" t="inlineStr">
        <is>
          <t>https://www.xingtu.cn/ad/creator/author-homepage/douyin-video/7056697681633673254?market_track_id=5MSRLKT79NBF9NI0VRJU&amp;search_session_id=7605882072573870089&amp;possessStarId</t>
        </is>
      </c>
      <c r="H374" s="18" t="inlineStr">
        <is>
          <t>https://www.douyin.com/user/MS4wLjABAAAAGMRZ4QN-LI4wGhJlz6QYxBmj8wo9EV9ehqyzHZvon3DoJucSdZL6W2iIXsWGjl2i</t>
        </is>
      </c>
      <c r="I374" s="18" t="inlineStr">
        <is>
          <t>xtxdw2050</t>
        </is>
      </c>
      <c r="J374" s="18" t="inlineStr">
        <is>
          <t>美食</t>
        </is>
      </c>
      <c r="K374" s="18" t="inlineStr">
        <is>
          <t>腰部</t>
        </is>
      </c>
      <c r="L374" s="18" t="n">
        <v>100</v>
      </c>
      <c r="M374" s="18" t="n"/>
      <c r="N374" s="18" t="n"/>
      <c r="O374" s="18" t="n"/>
      <c r="P374" s="18" t="n">
        <v>340000</v>
      </c>
      <c r="Q374" s="18">
        <f>SUM(Z374*1.05)</f>
        <v/>
      </c>
      <c r="R374" s="20">
        <f>SUM(Z374/(AB374+AC374+AD374))</f>
        <v/>
      </c>
      <c r="S374" s="18" t="inlineStr">
        <is>
          <t>视频</t>
        </is>
      </c>
      <c r="T374" s="21" t="n">
        <v>0.5600000000000001</v>
      </c>
      <c r="U374" s="21" t="n">
        <v>0.38</v>
      </c>
      <c r="V374" s="21" t="n">
        <v>0.22</v>
      </c>
      <c r="W374" s="21" t="n">
        <v>0.05</v>
      </c>
      <c r="X374" s="21" t="n"/>
      <c r="Y374" s="21" t="n"/>
      <c r="Z374" s="18" t="n">
        <v>26000</v>
      </c>
      <c r="AA374" s="154">
        <f>SUM((Z374/P374)*1000)</f>
        <v/>
      </c>
      <c r="AB374" s="18" t="n">
        <v>5740</v>
      </c>
      <c r="AC374" s="18" t="n">
        <v>220</v>
      </c>
      <c r="AD374" s="18" t="n">
        <v>1431</v>
      </c>
      <c r="AE374" s="20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</row>
    <row r="375">
      <c r="A375" s="17" t="n">
        <v>46100</v>
      </c>
      <c r="B375" s="18" t="n"/>
      <c r="C375" s="18" t="n"/>
      <c r="D375" s="18" t="inlineStr">
        <is>
          <t>电商</t>
        </is>
      </c>
      <c r="E375" s="19" t="inlineStr">
        <is>
          <t xml:space="preserve">记录两人一狗在小城市的生活 </t>
        </is>
      </c>
      <c r="F375" s="18" t="inlineStr">
        <is>
          <t xml:space="preserve">橙子味柠檬水 </t>
        </is>
      </c>
      <c r="G375" s="18" t="inlineStr">
        <is>
          <t>https://www.xingtu.cn/ad/creator/author-homepage/douyin-video/7144302846098276383?market_track_id=57AK8QJ7796S4R61FYUD&amp;search_session_id=7612529862233899054&amp;possessStarId</t>
        </is>
      </c>
      <c r="H375" s="18" t="inlineStr">
        <is>
          <t>https://www.douyin.com/user/MS4wLjABAAAADpWLYF7Frwaj4FHsza8dnXlbdTvG_edRvEBZWw3j71o-83zgeU9rWf1A62iQ0y6h</t>
        </is>
      </c>
      <c r="I375" s="18" t="n">
        <v>79933948137</v>
      </c>
      <c r="J375" s="18" t="inlineStr">
        <is>
          <t>记录生活</t>
        </is>
      </c>
      <c r="K375" s="18" t="inlineStr">
        <is>
          <t>腰部</t>
        </is>
      </c>
      <c r="L375" s="18" t="n">
        <v>50</v>
      </c>
      <c r="M375" s="18" t="inlineStr">
        <is>
          <t>20000-100000</t>
        </is>
      </c>
      <c r="N375" s="18" t="inlineStr">
        <is>
          <t>小镇青年
精致妈妈
新锐白领</t>
        </is>
      </c>
      <c r="O375" s="21" t="n">
        <v>0.4</v>
      </c>
      <c r="P375" s="18" t="n">
        <v>1641000</v>
      </c>
      <c r="Q375" s="18">
        <f>SUM(Z375*1.05)</f>
        <v/>
      </c>
      <c r="R375" s="20">
        <f>Z375/(AB375+AD375+AC375)</f>
        <v/>
      </c>
      <c r="S375" s="18" t="inlineStr">
        <is>
          <t>视频</t>
        </is>
      </c>
      <c r="T375" s="21" t="n">
        <v>0.9399999999999999</v>
      </c>
      <c r="U375" s="21" t="n">
        <v>0.4</v>
      </c>
      <c r="V375" s="21" t="n">
        <v>0.31</v>
      </c>
      <c r="W375" s="21" t="n">
        <v>0.02</v>
      </c>
      <c r="X375" s="21" t="n"/>
      <c r="Y375" s="21" t="n"/>
      <c r="Z375" s="18" t="n">
        <v>38000</v>
      </c>
      <c r="AA375" s="154">
        <f>SUM((Z375/P375)*1000)</f>
        <v/>
      </c>
      <c r="AB375" s="18" t="n">
        <v>27000</v>
      </c>
      <c r="AC375" s="18" t="n">
        <v>1013</v>
      </c>
      <c r="AD375" s="18" t="n">
        <v>1469</v>
      </c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</row>
    <row r="376">
      <c r="A376" s="17" t="n">
        <v>46100</v>
      </c>
      <c r="B376" s="18" t="n"/>
      <c r="C376" s="18" t="n"/>
      <c r="D376" s="18" t="inlineStr">
        <is>
          <t>品牌</t>
        </is>
      </c>
      <c r="E376" s="32" t="inlineStr">
        <is>
          <t>专业测评博主，直击产品卖点</t>
        </is>
      </c>
      <c r="F376" s="18" t="inlineStr">
        <is>
          <t>大佳小家</t>
        </is>
      </c>
      <c r="G376" s="18" t="inlineStr">
        <is>
          <t>https://www.xingtu.cn/ad/creator/author-homepage/douyin-video/7434138094598619162?market_track_id=5A6HOFKFKTHRXB1LHGCR&amp;search_session_id=7618867037276061732&amp;possessStarId</t>
        </is>
      </c>
      <c r="H376" s="18" t="inlineStr">
        <is>
          <t>https://www.douyin.com/user/MS4wLjABAAAAbusgPpOwOK7QsvRW8ek83TxhrTbyj4Y_P-EY_9cDAWYhaBQeeQYJdny4yLYGUdcc</t>
        </is>
      </c>
      <c r="I376" s="18" t="inlineStr">
        <is>
          <t>tuomengxiaowei</t>
        </is>
      </c>
      <c r="J376" s="18" t="inlineStr">
        <is>
          <t>家电</t>
        </is>
      </c>
      <c r="K376" s="18" t="inlineStr">
        <is>
          <t>尾部</t>
        </is>
      </c>
      <c r="L376" s="18" t="n">
        <v>29</v>
      </c>
      <c r="M376" s="18" t="inlineStr">
        <is>
          <t>150-2000</t>
        </is>
      </c>
      <c r="N376" s="18" t="inlineStr">
        <is>
          <t>资深中产
小镇青年
新锐白领</t>
        </is>
      </c>
      <c r="O376" s="21" t="n">
        <v>0.48</v>
      </c>
      <c r="P376" s="18" t="n">
        <v>483000</v>
      </c>
      <c r="Q376" s="18">
        <f>SUM(Z376*1.05)</f>
        <v/>
      </c>
      <c r="R376" s="20">
        <f>Z376/(AB376+AD376+AC376)</f>
        <v/>
      </c>
      <c r="S376" s="18" t="inlineStr">
        <is>
          <t>视频</t>
        </is>
      </c>
      <c r="T376" s="21" t="n">
        <v>0.58</v>
      </c>
      <c r="U376" s="21" t="n">
        <v>0.1</v>
      </c>
      <c r="V376" s="21" t="n">
        <v>0.51</v>
      </c>
      <c r="W376" s="21" t="n">
        <v>0.27</v>
      </c>
      <c r="X376" s="18" t="n"/>
      <c r="Y376" s="18" t="n"/>
      <c r="Z376" s="18" t="n">
        <v>25800</v>
      </c>
      <c r="AA376" s="154">
        <f>SUM((Z376/P376)*1000)</f>
        <v/>
      </c>
      <c r="AB376" s="18" t="n">
        <v>4062</v>
      </c>
      <c r="AC376" s="18" t="n">
        <v>433</v>
      </c>
      <c r="AD376" s="18" t="n">
        <v>183</v>
      </c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</row>
    <row r="377" ht="24.75" customHeight="1" s="151">
      <c r="A377" s="17" t="n">
        <v>46100</v>
      </c>
      <c r="B377" s="18" t="n"/>
      <c r="C377" s="18" t="n"/>
      <c r="D377" s="18" t="inlineStr">
        <is>
          <t>电商</t>
        </is>
      </c>
      <c r="E377" s="32" t="inlineStr">
        <is>
          <t>奶油风装修，场景干净明亮，场景适配</t>
        </is>
      </c>
      <c r="F377" s="18" t="inlineStr">
        <is>
          <t xml:space="preserve">
阿宁家 </t>
        </is>
      </c>
      <c r="G377" s="18" t="inlineStr">
        <is>
          <t>https://www.xingtu.cn/ad/creator/author-homepage/douyin-video/6870163126906519565?market_track_id=FLCBD4RXT5HYWEMG7UHR&amp;search_session_id=7611812381207265326&amp;possessStarId</t>
        </is>
      </c>
      <c r="H377" s="18" t="inlineStr">
        <is>
          <t>https://www.douyin.com/user/MS4wLjABAAAAytQ5bEH0kqRGdZKusd4gNP8-Hpu2cStRb0eBe4zkekw</t>
        </is>
      </c>
      <c r="I377" s="18" t="inlineStr">
        <is>
          <t>s888288I</t>
        </is>
      </c>
      <c r="J377" s="18" t="inlineStr">
        <is>
          <t>家居</t>
        </is>
      </c>
      <c r="K377" s="18" t="inlineStr">
        <is>
          <t>腰部</t>
        </is>
      </c>
      <c r="L377" s="18" t="n">
        <v>138</v>
      </c>
      <c r="M377" s="18" t="n"/>
      <c r="N377" s="18" t="n"/>
      <c r="O377" s="155" t="n"/>
      <c r="P377" s="155" t="n">
        <v>726000</v>
      </c>
      <c r="Q377" s="18">
        <f>SUM(Z377*1.05)</f>
        <v/>
      </c>
      <c r="R377" s="20">
        <f>SUM(Z377/(AB377+AC377+AD377))</f>
        <v/>
      </c>
      <c r="S377" s="18" t="inlineStr">
        <is>
          <t>视频</t>
        </is>
      </c>
      <c r="T377" s="21" t="n">
        <v>0.4</v>
      </c>
      <c r="U377" s="21" t="n">
        <v>0.3</v>
      </c>
      <c r="V377" s="21" t="n">
        <v>0.43</v>
      </c>
      <c r="W377" s="21" t="n">
        <v>0.11</v>
      </c>
      <c r="X377" s="21" t="n"/>
      <c r="Y377" s="21" t="n"/>
      <c r="Z377" s="18" t="n">
        <v>45000</v>
      </c>
      <c r="AA377" s="154">
        <f>SUM((Z377/P377)*1000)</f>
        <v/>
      </c>
      <c r="AB377" s="22" t="n">
        <v>6621</v>
      </c>
      <c r="AC377" s="18" t="n">
        <v>298</v>
      </c>
      <c r="AD377" s="18" t="n">
        <v>151</v>
      </c>
      <c r="AE377" s="20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</row>
    <row r="378" ht="37.15" customHeight="1" s="151">
      <c r="A378" s="17" t="n">
        <v>46100</v>
      </c>
      <c r="B378" s="18" t="n"/>
      <c r="C378" s="18" t="n"/>
      <c r="D378" s="18" t="inlineStr">
        <is>
          <t>品牌</t>
        </is>
      </c>
      <c r="E378" s="32" t="inlineStr">
        <is>
          <t>极简空间大师，超薄平嵌释放小户型厨房。</t>
        </is>
      </c>
      <c r="F378" s="32" t="inlineStr">
        <is>
          <t xml:space="preserve">趁路 </t>
        </is>
      </c>
      <c r="G378" s="36" t="inlineStr">
        <is>
          <t>https://www.xingtu.cn/ad/creator/author/douyin/7187717265784045571</t>
        </is>
      </c>
      <c r="H378" s="18" t="inlineStr">
        <is>
          <t>https://www.douyin.com/user/MS4wLjABAAAA36ygQUleS8zQJWN96YBvSNwcASyhmwtmalAqx_BXrhQ</t>
        </is>
      </c>
      <c r="I378" s="32" t="n">
        <v>34219753</v>
      </c>
      <c r="J378" s="32" t="inlineStr">
        <is>
          <t>智能家居</t>
        </is>
      </c>
      <c r="K378" s="32" t="inlineStr">
        <is>
          <t>尾部</t>
        </is>
      </c>
      <c r="L378" s="32" t="n">
        <v>32.3</v>
      </c>
      <c r="M378" s="18" t="inlineStr">
        <is>
          <t>150-2000</t>
        </is>
      </c>
      <c r="N378" s="32" t="inlineStr">
        <is>
          <t>新锐白领
资深中产
精致妈妈</t>
        </is>
      </c>
      <c r="O378" s="47" t="n">
        <v>0.75</v>
      </c>
      <c r="P378" s="32" t="n">
        <v>843000</v>
      </c>
      <c r="Q378" s="32">
        <f>Z378*1.05</f>
        <v/>
      </c>
      <c r="R378" s="32" t="n">
        <v>6.59</v>
      </c>
      <c r="S378" s="18" t="inlineStr">
        <is>
          <t>视频</t>
        </is>
      </c>
      <c r="T378" s="46" t="n">
        <v>0.636</v>
      </c>
      <c r="U378" s="47" t="n">
        <v>0.22</v>
      </c>
      <c r="V378" s="47" t="n">
        <v>0.38</v>
      </c>
      <c r="W378" s="47" t="n">
        <v>0.14</v>
      </c>
      <c r="X378" s="47" t="n"/>
      <c r="Y378" s="47" t="n"/>
      <c r="Z378" s="32" t="n">
        <v>25800</v>
      </c>
      <c r="AA378" s="32" t="n">
        <v>30.6</v>
      </c>
      <c r="AB378" s="48" t="n">
        <v>3144</v>
      </c>
      <c r="AC378" s="32" t="n">
        <v>258</v>
      </c>
      <c r="AD378" s="32" t="n">
        <v>514</v>
      </c>
      <c r="AE378" s="20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</row>
    <row r="379" ht="24.75" customHeight="1" s="151">
      <c r="A379" s="17" t="n">
        <v>46100</v>
      </c>
      <c r="B379" s="18" t="n"/>
      <c r="C379" s="18" t="n"/>
      <c r="D379" s="18" t="inlineStr">
        <is>
          <t>品牌</t>
        </is>
      </c>
      <c r="E379" s="32" t="inlineStr">
        <is>
          <t>专业测评博主，垂类精准，家电数码测评，符合品效要求</t>
        </is>
      </c>
      <c r="F379" s="18" t="inlineStr">
        <is>
          <t xml:space="preserve">何同学开测啦 </t>
        </is>
      </c>
      <c r="G379" s="18" t="inlineStr">
        <is>
          <t>https://www.xingtu.cn/ad/creator/author-homepage/douyin-video/6845479040711655437?market_track_id=FLCBD4RXT5HYWEMG7UHR&amp;search_session_id=7611816153388367918&amp;possessStarId</t>
        </is>
      </c>
      <c r="H379" s="18" t="inlineStr">
        <is>
          <t>https://www.douyin.com/user/MS4wLjABAAAAHidCXCW5lERrbOCVnFNYPYPgMDo-3ABhbupZNm8loQHeB6nGV9d98e77DVqKhwLz</t>
        </is>
      </c>
      <c r="I379" s="18" t="inlineStr">
        <is>
          <t>htx2233</t>
        </is>
      </c>
      <c r="J379" s="18" t="inlineStr">
        <is>
          <t>测评</t>
        </is>
      </c>
      <c r="K379" s="18" t="inlineStr">
        <is>
          <t>腰部</t>
        </is>
      </c>
      <c r="L379" s="18" t="n">
        <v>253</v>
      </c>
      <c r="M379" s="18" t="inlineStr">
        <is>
          <t>2000-20000</t>
        </is>
      </c>
      <c r="N379" s="18" t="inlineStr">
        <is>
          <t>新锐白领
小镇青年
都市蓝领</t>
        </is>
      </c>
      <c r="O379" s="21" t="n">
        <v>0.37</v>
      </c>
      <c r="P379" s="18" t="n">
        <v>1676000</v>
      </c>
      <c r="Q379" s="18">
        <f>SUM(Z379*1.05)</f>
        <v/>
      </c>
      <c r="R379" s="20">
        <f>SUM(Z379/(AB379+AC379+AD379))</f>
        <v/>
      </c>
      <c r="S379" s="18" t="inlineStr">
        <is>
          <t>视频</t>
        </is>
      </c>
      <c r="T379" s="21" t="n">
        <v>0.4</v>
      </c>
      <c r="U379" s="21" t="n">
        <v>0.23</v>
      </c>
      <c r="V379" s="21" t="n">
        <v>0.15</v>
      </c>
      <c r="W379" s="21" t="n">
        <v>0.14</v>
      </c>
      <c r="X379" s="21" t="n"/>
      <c r="Y379" s="21" t="n"/>
      <c r="Z379" s="18" t="n">
        <v>42000</v>
      </c>
      <c r="AA379" s="154">
        <f>SUM((Z379/P379)*1000)</f>
        <v/>
      </c>
      <c r="AB379" s="18" t="n">
        <v>6750</v>
      </c>
      <c r="AC379" s="18" t="n">
        <v>235</v>
      </c>
      <c r="AD379" s="18" t="n">
        <v>56</v>
      </c>
      <c r="AE379" s="20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</row>
    <row r="380" ht="24.75" customHeight="1" s="151">
      <c r="A380" s="17" t="n">
        <v>46100</v>
      </c>
      <c r="B380" s="18" t="n"/>
      <c r="C380" s="18" t="n"/>
      <c r="D380" s="18" t="inlineStr">
        <is>
          <t>电商</t>
        </is>
      </c>
      <c r="E380" s="32" t="inlineStr">
        <is>
          <t>家务省力神器，一抹即净契合高效生活。</t>
        </is>
      </c>
      <c r="F380" s="32" t="inlineStr">
        <is>
          <t xml:space="preserve">璐璐的家🍉 </t>
        </is>
      </c>
      <c r="G380" s="36" t="inlineStr">
        <is>
          <t>https://www.xingtu.cn/ad/creator/author/douyin/6986582519093149727</t>
        </is>
      </c>
      <c r="H380" s="18" t="inlineStr">
        <is>
          <t>https://www.douyin.com/user/MS4wLjABAAAAiqXKqFZq0zlTPzqTlkrc2n76duP8WLouphqLRgLEswk</t>
        </is>
      </c>
      <c r="I380" s="32" t="inlineStr">
        <is>
          <t>luludejia0826</t>
        </is>
      </c>
      <c r="J380" s="32" t="inlineStr">
        <is>
          <t>家电测评</t>
        </is>
      </c>
      <c r="K380" s="32" t="inlineStr">
        <is>
          <t>腰部</t>
        </is>
      </c>
      <c r="L380" s="32" t="n">
        <v>63.7</v>
      </c>
      <c r="M380" s="32" t="n"/>
      <c r="N380" s="32" t="n"/>
      <c r="O380" s="32" t="n"/>
      <c r="P380" s="32" t="n">
        <v>588000</v>
      </c>
      <c r="Q380" s="32">
        <f>Z380*1.05</f>
        <v/>
      </c>
      <c r="R380" s="32" t="n">
        <v>9.99</v>
      </c>
      <c r="S380" s="18" t="inlineStr">
        <is>
          <t>视频</t>
        </is>
      </c>
      <c r="T380" s="46" t="n">
        <v>0.627</v>
      </c>
      <c r="U380" s="47" t="n">
        <v>0.25</v>
      </c>
      <c r="V380" s="47" t="n">
        <v>0.43</v>
      </c>
      <c r="W380" s="47" t="n">
        <v>0.13</v>
      </c>
      <c r="X380" s="47" t="n"/>
      <c r="Y380" s="47" t="n"/>
      <c r="Z380" s="32" t="n">
        <v>35000</v>
      </c>
      <c r="AA380" s="32" t="n">
        <v>59.52</v>
      </c>
      <c r="AB380" s="48" t="n">
        <v>2697</v>
      </c>
      <c r="AC380" s="32" t="n">
        <v>159</v>
      </c>
      <c r="AD380" s="32" t="n">
        <v>646</v>
      </c>
      <c r="AE380" s="20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</row>
    <row r="381" ht="49.5" customHeight="1" s="151">
      <c r="A381" s="17" t="n">
        <v>46100</v>
      </c>
      <c r="B381" s="18" t="n"/>
      <c r="C381" s="18" t="n"/>
      <c r="D381" s="18" t="inlineStr">
        <is>
          <t>品牌</t>
        </is>
      </c>
      <c r="E381" s="32" t="inlineStr">
        <is>
          <t>擅长家电测评与改造。适合深度拆解洗碗机参数（如水压、烘干技术），用通俗语言解析“中式重油污清洗效果”，建立专业可信度。</t>
        </is>
      </c>
      <c r="F381" s="18" t="inlineStr">
        <is>
          <t xml:space="preserve">懒叔带你品 </t>
        </is>
      </c>
      <c r="G381" s="18" t="inlineStr">
        <is>
          <t>https://www.xingtu.cn/ad/creator/author-homepage/douyin-video/6870165875882721288?market_track_id=28IV43G9Y3MLDF90H43F&amp;search_session_id=7605449129901080603&amp;possessStarId</t>
        </is>
      </c>
      <c r="H381" s="18" t="inlineStr">
        <is>
          <t>https://www.douyin.com/user/MS4wLjABAAAAHEZvl70FPnX_9i3jFHyJUQcIer7Hz2124cXXeOlxAgs</t>
        </is>
      </c>
      <c r="I381" s="18" t="inlineStr">
        <is>
          <t>wonghousiI</t>
        </is>
      </c>
      <c r="J381" s="18" t="inlineStr">
        <is>
          <t>家电测评</t>
        </is>
      </c>
      <c r="K381" s="18" t="inlineStr">
        <is>
          <t>尾部</t>
        </is>
      </c>
      <c r="L381" s="18" t="n">
        <v>30.3</v>
      </c>
      <c r="M381" s="18" t="inlineStr">
        <is>
          <t>150-2000</t>
        </is>
      </c>
      <c r="N381" s="18" t="inlineStr">
        <is>
          <t>新锐白领
小镇青年
都市蓝领</t>
        </is>
      </c>
      <c r="O381" s="21" t="n">
        <v>0.42</v>
      </c>
      <c r="P381" s="18" t="n">
        <v>669000</v>
      </c>
      <c r="Q381" s="18">
        <f>SUM(Z381*1.05)</f>
        <v/>
      </c>
      <c r="R381" s="20">
        <f>SUM(Z381/(AB381+AC381+AD381))</f>
        <v/>
      </c>
      <c r="S381" s="18" t="inlineStr">
        <is>
          <t>视频</t>
        </is>
      </c>
      <c r="T381" s="21" t="n">
        <v>0.3</v>
      </c>
      <c r="U381" s="21" t="n">
        <v>0.32</v>
      </c>
      <c r="V381" s="21" t="n">
        <v>0.37</v>
      </c>
      <c r="W381" s="21" t="n">
        <v>0.05</v>
      </c>
      <c r="X381" s="21" t="n"/>
      <c r="Y381" s="21" t="n"/>
      <c r="Z381" s="18" t="n">
        <v>24800</v>
      </c>
      <c r="AA381" s="154">
        <f>SUM((Z381/P381)*1000)</f>
        <v/>
      </c>
      <c r="AB381" s="18" t="n">
        <v>11000</v>
      </c>
      <c r="AC381" s="18" t="n">
        <v>150</v>
      </c>
      <c r="AD381" s="18" t="n">
        <v>98</v>
      </c>
      <c r="AE381" s="20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</row>
    <row r="382">
      <c r="A382" s="17" t="n">
        <v>46100</v>
      </c>
      <c r="B382" s="18" t="n"/>
      <c r="C382" s="18" t="n"/>
      <c r="D382" s="18" t="inlineStr">
        <is>
          <t>品牌</t>
        </is>
      </c>
      <c r="E382" s="32" t="inlineStr">
        <is>
          <t xml:space="preserve">聚焦产品测评 干货型博主 </t>
        </is>
      </c>
      <c r="F382" s="18" t="inlineStr">
        <is>
          <t xml:space="preserve">孙扒皮 </t>
        </is>
      </c>
      <c r="G382" s="18" t="inlineStr">
        <is>
          <t>https://www.xingtu.cn/ad/creator/author-homepage/douyin-video/6795431243358928903?market_track_id=23A7DS8IV3VZ3BZD3ORA&amp;search_session_id=7605567873494908978&amp;possessStarId</t>
        </is>
      </c>
      <c r="H382" s="18" t="inlineStr">
        <is>
          <t>https://www.douyin.com/user/MS4wLjABAAAAst53hCwDJvgLvx0QuB5nt9Ev23U_06ghD9oYzN5YIx8</t>
        </is>
      </c>
      <c r="I382" s="18" t="inlineStr">
        <is>
          <t>SBP999</t>
        </is>
      </c>
      <c r="J382" s="18" t="inlineStr">
        <is>
          <t>家电测评</t>
        </is>
      </c>
      <c r="K382" s="18" t="inlineStr">
        <is>
          <t>肩部</t>
        </is>
      </c>
      <c r="L382" s="18" t="n">
        <v>274</v>
      </c>
      <c r="M382" s="18" t="inlineStr">
        <is>
          <t>2000-20000</t>
        </is>
      </c>
      <c r="N382" s="18" t="inlineStr">
        <is>
          <t>新锐白领
小镇青年
都市蓝领</t>
        </is>
      </c>
      <c r="O382" s="21" t="n">
        <v>0.4</v>
      </c>
      <c r="P382" s="18" t="n">
        <v>1500000</v>
      </c>
      <c r="Q382" s="18">
        <f>Z382*1.05</f>
        <v/>
      </c>
      <c r="R382" s="20">
        <f>SUM(Z382/(AB382+AC382+AD382))</f>
        <v/>
      </c>
      <c r="S382" s="18" t="inlineStr">
        <is>
          <t>视频</t>
        </is>
      </c>
      <c r="T382" s="21" t="n">
        <v>0.31</v>
      </c>
      <c r="U382" s="21" t="n">
        <v>0.28</v>
      </c>
      <c r="V382" s="21" t="n">
        <v>0.43</v>
      </c>
      <c r="W382" s="21" t="n">
        <v>0.08</v>
      </c>
      <c r="X382" s="21" t="n"/>
      <c r="Y382" s="21" t="n"/>
      <c r="Z382" s="18" t="n">
        <v>56800</v>
      </c>
      <c r="AA382" s="154">
        <f>SUM((Z382/P382)*1000)</f>
        <v/>
      </c>
      <c r="AB382" s="18" t="n">
        <v>30000</v>
      </c>
      <c r="AC382" s="18" t="n">
        <v>200</v>
      </c>
      <c r="AD382" s="18" t="n">
        <v>1500</v>
      </c>
      <c r="AE382" s="20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</row>
    <row r="383" ht="24.75" customHeight="1" s="151">
      <c r="A383" s="17" t="n">
        <v>46100</v>
      </c>
      <c r="B383" s="18" t="n"/>
      <c r="C383" s="18" t="n"/>
      <c r="D383" s="18" t="inlineStr">
        <is>
          <t>电商</t>
        </is>
      </c>
      <c r="E383" s="32" t="inlineStr">
        <is>
          <t>家庭生活达人A3指数高，粉丝受众精准</t>
        </is>
      </c>
      <c r="F383" s="18" t="inlineStr">
        <is>
          <t xml:space="preserve">
杠金 </t>
        </is>
      </c>
      <c r="G383" s="18" t="inlineStr">
        <is>
          <t>https://www.xingtu.cn/ad/creator/author-homepage/douyin-video/7427403870072111155?market_track_id=JHTNBEGQO60RJNOU4K0V&amp;search_session_id=7612612744516632585&amp;possessStarId</t>
        </is>
      </c>
      <c r="H383" s="18" t="inlineStr">
        <is>
          <t>https://www.douyin.com/user/MS4wLjABAAAAvTAJb8dJVKxeMB1JkonLZFg0RomZgtjxb05Ya0FR4H4</t>
        </is>
      </c>
      <c r="I383" s="18" t="n">
        <v>24299565616</v>
      </c>
      <c r="J383" s="18" t="inlineStr">
        <is>
          <t>家庭</t>
        </is>
      </c>
      <c r="K383" s="18" t="inlineStr">
        <is>
          <t>尾部</t>
        </is>
      </c>
      <c r="L383" s="18" t="n">
        <v>11</v>
      </c>
      <c r="M383" s="18" t="inlineStr">
        <is>
          <t>20000-100000</t>
        </is>
      </c>
      <c r="N383" s="18" t="inlineStr">
        <is>
          <t>新锐白领
精致妈妈
小镇青年</t>
        </is>
      </c>
      <c r="O383" s="21" t="n">
        <v>0.6</v>
      </c>
      <c r="P383" s="18" t="n">
        <v>759000</v>
      </c>
      <c r="Q383" s="18">
        <f>Z383*1.05</f>
        <v/>
      </c>
      <c r="R383" s="20">
        <f>Z383/(AB383+AD383+AC383)</f>
        <v/>
      </c>
      <c r="S383" s="18" t="inlineStr">
        <is>
          <t>视频</t>
        </is>
      </c>
      <c r="T383" s="21" t="n">
        <v>0.82</v>
      </c>
      <c r="U383" s="21" t="n">
        <v>0.35</v>
      </c>
      <c r="V383" s="21" t="n">
        <v>0.4</v>
      </c>
      <c r="W383" s="21" t="n">
        <v>0.06</v>
      </c>
      <c r="X383" s="21" t="n"/>
      <c r="Y383" s="21" t="n"/>
      <c r="Z383" s="18" t="n">
        <v>30000</v>
      </c>
      <c r="AA383" s="154">
        <f>SUM((Z383/P383)*1000)</f>
        <v/>
      </c>
      <c r="AB383" s="18" t="n">
        <v>6260</v>
      </c>
      <c r="AC383" s="18" t="n">
        <v>756</v>
      </c>
      <c r="AD383" s="18" t="n">
        <v>464</v>
      </c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</row>
    <row r="384" ht="24.75" customHeight="1" s="151">
      <c r="A384" s="17" t="n">
        <v>46100</v>
      </c>
      <c r="B384" s="18" t="n"/>
      <c r="C384" s="18" t="n"/>
      <c r="D384" s="18" t="inlineStr">
        <is>
          <t>电商</t>
        </is>
      </c>
      <c r="E384" s="32" t="inlineStr">
        <is>
          <t>三大核心人群占比60%+，近期数据好，投放效果好</t>
        </is>
      </c>
      <c r="F384" s="18" t="inlineStr">
        <is>
          <t xml:space="preserve">爱折腾的稀瓜 </t>
        </is>
      </c>
      <c r="G384" s="18" t="inlineStr">
        <is>
          <t>https://www.xingtu.cn/ad/creator/author-homepage/douyin-video/7475264104974778406?market_track_id=ZWASKBQKMRJE74YLWW0T&amp;search_session_id=7612933352894545947&amp;possessStarId</t>
        </is>
      </c>
      <c r="H384" s="18" t="inlineStr">
        <is>
          <t>https://www.douyin.com/user/MS4wLjABAAAA-k56s429UgYVRVj7_ppi7YZ171L9zDXOkdM1Kl46PqQ</t>
        </is>
      </c>
      <c r="I384" s="18" t="inlineStr">
        <is>
          <t>winter105piao</t>
        </is>
      </c>
      <c r="J384" s="18" t="inlineStr">
        <is>
          <t>生活家居</t>
        </is>
      </c>
      <c r="K384" s="18" t="inlineStr">
        <is>
          <t>尾部</t>
        </is>
      </c>
      <c r="L384" s="18" t="n">
        <v>23.4</v>
      </c>
      <c r="M384" s="18" t="inlineStr">
        <is>
          <t>2000-20000</t>
        </is>
      </c>
      <c r="N384" s="18" t="inlineStr">
        <is>
          <t>新锐白领
小镇青年
资深中产</t>
        </is>
      </c>
      <c r="O384" s="35" t="n">
        <v>0.608</v>
      </c>
      <c r="P384" s="18" t="n">
        <v>2153000</v>
      </c>
      <c r="Q384" s="18">
        <f>Z384*1.05</f>
        <v/>
      </c>
      <c r="R384" s="20">
        <f>Z384/(AB384+AD384+AC384)</f>
        <v/>
      </c>
      <c r="S384" s="18" t="inlineStr">
        <is>
          <t>视频</t>
        </is>
      </c>
      <c r="T384" s="35" t="n">
        <v>0.505</v>
      </c>
      <c r="U384" s="21" t="n">
        <v>0.32</v>
      </c>
      <c r="V384" s="21" t="n">
        <v>0.43</v>
      </c>
      <c r="W384" s="21" t="n">
        <v>0.12</v>
      </c>
      <c r="X384" s="21" t="n"/>
      <c r="Y384" s="21" t="n"/>
      <c r="Z384" s="18" t="n">
        <v>29500</v>
      </c>
      <c r="AA384" s="154">
        <f>SUM((Z384/P384)*1000)</f>
        <v/>
      </c>
      <c r="AB384" s="18" t="n">
        <v>32000</v>
      </c>
      <c r="AC384" s="18" t="n">
        <v>895</v>
      </c>
      <c r="AD384" s="18" t="n">
        <v>24000</v>
      </c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</row>
    <row r="385">
      <c r="A385" s="17" t="n">
        <v>46100</v>
      </c>
      <c r="B385" s="18" t="n"/>
      <c r="C385" s="18" t="n"/>
      <c r="D385" s="18" t="inlineStr">
        <is>
          <t>电商</t>
        </is>
      </c>
      <c r="E385" s="32" t="inlineStr">
        <is>
          <t>核心投放粉丝契合度高</t>
        </is>
      </c>
      <c r="F385" s="18" t="inlineStr">
        <is>
          <t xml:space="preserve">
心心的小蜗居</t>
        </is>
      </c>
      <c r="G385" s="18" t="inlineStr">
        <is>
          <t>https://www.xingtu.cn/ad/creator/author-homepage/douyin-video/7209600735070126136?market_track_id=N9IQ7NEJKRBGPYRMSWWF&amp;search_session_id=7612939479762698291&amp;possessStarId</t>
        </is>
      </c>
      <c r="H385" s="18" t="inlineStr">
        <is>
          <t>https://www.douyin.com/user/MS4wLjABAAAAP6YjZLD6MkDQVfiFvhCKdWpPJNz959om7-SO1HklBfwyJSwZLmJIVFC83Gh5_01z</t>
        </is>
      </c>
      <c r="I385" s="18" t="inlineStr">
        <is>
          <t>zkx20221102</t>
        </is>
      </c>
      <c r="J385" s="18" t="inlineStr">
        <is>
          <t>生活家居</t>
        </is>
      </c>
      <c r="K385" s="18" t="inlineStr">
        <is>
          <t>尾部</t>
        </is>
      </c>
      <c r="L385" s="18" t="n">
        <v>14.8</v>
      </c>
      <c r="M385" s="18" t="inlineStr">
        <is>
          <t>2000-20000</t>
        </is>
      </c>
      <c r="N385" s="18" t="inlineStr">
        <is>
          <t>新锐白领
小镇青年
精致妈妈</t>
        </is>
      </c>
      <c r="O385" s="35" t="n">
        <v>0.507</v>
      </c>
      <c r="P385" s="18" t="n">
        <v>743000</v>
      </c>
      <c r="Q385" s="18">
        <f>Z385*1.05</f>
        <v/>
      </c>
      <c r="R385" s="20">
        <f>Z385/(AB385+AD385+AC385)</f>
        <v/>
      </c>
      <c r="S385" s="18" t="inlineStr">
        <is>
          <t>视频</t>
        </is>
      </c>
      <c r="T385" s="21" t="n">
        <v>0.74</v>
      </c>
      <c r="U385" s="21" t="n">
        <v>0.32</v>
      </c>
      <c r="V385" s="21" t="n">
        <v>0.45</v>
      </c>
      <c r="W385" s="21" t="n">
        <v>0.05</v>
      </c>
      <c r="X385" s="21" t="n"/>
      <c r="Y385" s="21" t="n"/>
      <c r="Z385" s="18" t="n">
        <v>19800</v>
      </c>
      <c r="AA385" s="154">
        <f>SUM((Z385/P385)*1000)</f>
        <v/>
      </c>
      <c r="AB385" s="18" t="n">
        <v>6464</v>
      </c>
      <c r="AC385" s="18" t="n">
        <v>98</v>
      </c>
      <c r="AD385" s="18" t="n">
        <v>129</v>
      </c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</row>
    <row r="386" ht="37.15" customHeight="1" s="151">
      <c r="A386" s="17" t="n">
        <v>46100</v>
      </c>
      <c r="B386" s="18" t="n"/>
      <c r="C386" s="18" t="n"/>
      <c r="D386" s="18" t="inlineStr">
        <is>
          <t>品牌</t>
        </is>
      </c>
      <c r="E386" s="32" t="inlineStr">
        <is>
          <t xml:space="preserve">95后已婚美术生|绘画|阅读|戏精甜酷girl ｜👩🏻‍❤️‍👨🏻➕🐶快乐宅家记 </t>
        </is>
      </c>
      <c r="F386" s="18" t="inlineStr">
        <is>
          <t xml:space="preserve">大耳图的舒适窝 </t>
        </is>
      </c>
      <c r="G386" s="18" t="inlineStr">
        <is>
          <t>https://www.xingtu.cn/ad/creator/author-homepage/douyin-video/7371376725386756150?market_track_id=V3SVRVAZNICLFPE0J6SJ&amp;search_session_id=7617737280752582665&amp;possessStarId</t>
        </is>
      </c>
      <c r="H386" s="18" t="inlineStr">
        <is>
          <t>https://www.douyin.com/user/MS4wLjABAAAAH6EuhbI0HTnZCrZS3_rhDHJ_L9-oLfolS-ufm5CQ_dM</t>
        </is>
      </c>
      <c r="I386" s="18" t="inlineStr">
        <is>
          <t>xuan17809</t>
        </is>
      </c>
      <c r="J386" s="18" t="inlineStr">
        <is>
          <t>生活</t>
        </is>
      </c>
      <c r="K386" s="18" t="inlineStr">
        <is>
          <t>腰部</t>
        </is>
      </c>
      <c r="L386" s="18" t="n">
        <v>116</v>
      </c>
      <c r="M386" s="18" t="inlineStr">
        <is>
          <t>2000-20000</t>
        </is>
      </c>
      <c r="N386" s="18" t="inlineStr">
        <is>
          <t>新锐白领
都市蓝领
小镇青年</t>
        </is>
      </c>
      <c r="O386" s="21" t="n">
        <v>0.44</v>
      </c>
      <c r="P386" s="18" t="n">
        <v>547000</v>
      </c>
      <c r="Q386" s="18">
        <f>Z386*1.05</f>
        <v/>
      </c>
      <c r="R386" s="20">
        <f>Z386/(AB386+AD386+AC386)</f>
        <v/>
      </c>
      <c r="S386" s="18" t="inlineStr">
        <is>
          <t>视频</t>
        </is>
      </c>
      <c r="T386" s="21" t="n">
        <v>0.55</v>
      </c>
      <c r="U386" s="21" t="n">
        <v>0.25</v>
      </c>
      <c r="V386" s="21" t="n">
        <v>0.42</v>
      </c>
      <c r="W386" s="21" t="n">
        <v>0.11</v>
      </c>
      <c r="X386" s="18" t="n"/>
      <c r="Y386" s="18" t="n"/>
      <c r="Z386" s="18" t="n">
        <v>39800</v>
      </c>
      <c r="AA386" s="20">
        <f>Z386/P386*1000</f>
        <v/>
      </c>
      <c r="AB386" s="22" t="n">
        <v>8278</v>
      </c>
      <c r="AC386" s="18" t="n">
        <v>257</v>
      </c>
      <c r="AD386" s="18" t="n">
        <v>170</v>
      </c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</row>
    <row r="387">
      <c r="A387" s="17" t="n">
        <v>46100</v>
      </c>
      <c r="B387" s="18" t="n"/>
      <c r="C387" s="18" t="n"/>
      <c r="D387" s="18" t="inlineStr">
        <is>
          <t>品牌</t>
        </is>
      </c>
      <c r="E387" s="32" t="inlineStr">
        <is>
          <t>探家博主，创意新颖有趣</t>
        </is>
      </c>
      <c r="F387" s="18" t="inlineStr">
        <is>
          <t xml:space="preserve">叮咚十一 </t>
        </is>
      </c>
      <c r="G387" s="18" t="inlineStr">
        <is>
          <t>https://www.xingtu.cn/ad/creator/author-homepage/douyin-video/6629723068413509639?market_track_id=V3SVRVAZNICLFPE0J6SJ&amp;search_session_id=7617738312274591794&amp;possessStarId</t>
        </is>
      </c>
      <c r="H387" s="18" t="inlineStr">
        <is>
          <t>https://www.douyin.com/user/MS4wLjABAAAAV6vN5b6cqiaBT9CHFwNKh4-RBAXe5G3CEEVMltxeCyQ</t>
        </is>
      </c>
      <c r="I387" s="18" t="n">
        <v>1061108558</v>
      </c>
      <c r="J387" s="18" t="inlineStr">
        <is>
          <t>生活</t>
        </is>
      </c>
      <c r="K387" s="18" t="inlineStr">
        <is>
          <t>头部</t>
        </is>
      </c>
      <c r="L387" s="18" t="n">
        <v>446</v>
      </c>
      <c r="M387" s="18" t="inlineStr">
        <is>
          <t>2000-20000</t>
        </is>
      </c>
      <c r="N387" s="18" t="inlineStr">
        <is>
          <t>小镇青年
都市银发
新锐白领</t>
        </is>
      </c>
      <c r="O387" s="21" t="n">
        <v>0.4</v>
      </c>
      <c r="P387" s="18" t="n">
        <v>818000</v>
      </c>
      <c r="Q387" s="18">
        <f>Z387*1.05</f>
        <v/>
      </c>
      <c r="R387" s="20">
        <f>Z387/(AB387+AD387+AC387)</f>
        <v/>
      </c>
      <c r="S387" s="18" t="inlineStr">
        <is>
          <t>视频</t>
        </is>
      </c>
      <c r="T387" s="21" t="n">
        <v>0.66</v>
      </c>
      <c r="U387" s="21" t="n">
        <v>0.2</v>
      </c>
      <c r="V387" s="21" t="n">
        <v>0.38</v>
      </c>
      <c r="W387" s="21" t="n">
        <v>0.21</v>
      </c>
      <c r="X387" s="18" t="n"/>
      <c r="Y387" s="18" t="n"/>
      <c r="Z387" s="18" t="n">
        <v>68000</v>
      </c>
      <c r="AA387" s="20">
        <f>Z387/P387*1000</f>
        <v/>
      </c>
      <c r="AB387" s="18" t="n">
        <v>4581</v>
      </c>
      <c r="AC387" s="18" t="n">
        <v>168</v>
      </c>
      <c r="AD387" s="18" t="n">
        <v>462</v>
      </c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</row>
    <row r="388" ht="37.15" customHeight="1" s="151">
      <c r="A388" s="17" t="n">
        <v>46100</v>
      </c>
      <c r="B388" s="18" t="n"/>
      <c r="C388" s="18" t="n"/>
      <c r="D388" s="18" t="inlineStr">
        <is>
          <t>品牌</t>
        </is>
      </c>
      <c r="E388" s="32" t="inlineStr">
        <is>
          <t>2岁一儿一女 自带一楼带院和一梯一户 住进Dream house的日常点滴 家居｜亲子｜好物｜生活｜干货</t>
        </is>
      </c>
      <c r="F388" s="18" t="inlineStr">
        <is>
          <t xml:space="preserve">
朱朱爱折腾 </t>
        </is>
      </c>
      <c r="G388" s="18" t="inlineStr">
        <is>
          <t>https://www.xingtu.cn/ad/creator/author-homepage/douyin-video/7307089287776829477?market_track_id=V3SVRVAZNICLFPE0J6SJ&amp;search_session_id=7617739065844465702&amp;possessStarId</t>
        </is>
      </c>
      <c r="H388" s="18" t="inlineStr">
        <is>
          <t>https://www.douyin.com/user/MS4wLjABAAAAzqS_PBshcJ_aSZNxIPkqZ_gBhrJq6KzsNRQjjU8aZRI</t>
        </is>
      </c>
      <c r="I388" s="18" t="inlineStr">
        <is>
          <t>zhuzhu.lovehome</t>
        </is>
      </c>
      <c r="J388" s="18" t="inlineStr">
        <is>
          <t>家居</t>
        </is>
      </c>
      <c r="K388" s="18" t="inlineStr">
        <is>
          <t>腰部</t>
        </is>
      </c>
      <c r="L388" s="18" t="n">
        <v>138</v>
      </c>
      <c r="M388" s="18" t="inlineStr">
        <is>
          <t>150-2000</t>
        </is>
      </c>
      <c r="N388" s="18" t="inlineStr">
        <is>
          <t>小镇青年
新锐白领
都市蓝领</t>
        </is>
      </c>
      <c r="O388" s="21" t="n">
        <v>0.4</v>
      </c>
      <c r="P388" s="18" t="n">
        <v>885000</v>
      </c>
      <c r="Q388" s="18">
        <f>Z388*1.05</f>
        <v/>
      </c>
      <c r="R388" s="20">
        <f>Z388/(AB388+AD388+AC388)</f>
        <v/>
      </c>
      <c r="S388" s="18" t="inlineStr">
        <is>
          <t>视频</t>
        </is>
      </c>
      <c r="T388" s="21" t="n">
        <v>0.52</v>
      </c>
      <c r="U388" s="21" t="n">
        <v>0.27</v>
      </c>
      <c r="V388" s="21" t="n">
        <v>0.36</v>
      </c>
      <c r="W388" s="21" t="n">
        <v>0.12</v>
      </c>
      <c r="X388" s="18" t="n"/>
      <c r="Y388" s="18" t="n"/>
      <c r="Z388" s="18" t="n">
        <v>47800</v>
      </c>
      <c r="AA388" s="20">
        <f>Z388/P388*1000</f>
        <v/>
      </c>
      <c r="AB388" s="18" t="n">
        <v>13000</v>
      </c>
      <c r="AC388" s="18" t="n">
        <v>145</v>
      </c>
      <c r="AD388" s="18" t="n">
        <v>729</v>
      </c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</row>
    <row r="389" ht="24.75" customHeight="1" s="151">
      <c r="A389" s="17" t="n">
        <v>46100</v>
      </c>
      <c r="B389" s="18" t="n"/>
      <c r="C389" s="18" t="n"/>
      <c r="D389" s="18" t="inlineStr">
        <is>
          <t>品牌</t>
        </is>
      </c>
      <c r="E389" s="32" t="inlineStr">
        <is>
          <t>从魔都逃离回成都定居的北方大妞， 有娃有狗有小院</t>
        </is>
      </c>
      <c r="F389" s="18" t="inlineStr">
        <is>
          <t xml:space="preserve">梁闹闹的花园一楼 </t>
        </is>
      </c>
      <c r="G389" s="18" t="inlineStr">
        <is>
          <t>https://www.xingtu.cn/ad/creator/author-homepage/douyin-video/7382884261608554506?market_track_id=V3SVRVAZNICLFPE0J6SJ&amp;search_session_id=7617739489735016498&amp;possessStarId</t>
        </is>
      </c>
      <c r="H389" s="18" t="inlineStr">
        <is>
          <t>https://www.douyin.com/user/MS4wLjABAAAA7lplVpa2j83bnjUKoVbuBMmgeQBKxzINNNpCl1MsIew</t>
        </is>
      </c>
      <c r="I389" s="18" t="inlineStr">
        <is>
          <t>TaiCang10</t>
        </is>
      </c>
      <c r="J389" s="18" t="inlineStr">
        <is>
          <t>家居</t>
        </is>
      </c>
      <c r="K389" s="18" t="inlineStr">
        <is>
          <t>腰部</t>
        </is>
      </c>
      <c r="L389" s="18" t="n">
        <v>189</v>
      </c>
      <c r="M389" s="18" t="inlineStr">
        <is>
          <t>150-2000</t>
        </is>
      </c>
      <c r="N389" s="18" t="inlineStr">
        <is>
          <t>小镇青年
新锐白领
资深中产</t>
        </is>
      </c>
      <c r="O389" s="21" t="n">
        <v>0.45</v>
      </c>
      <c r="P389" s="18" t="n">
        <v>1089000</v>
      </c>
      <c r="Q389" s="18">
        <f>Z389*1.05</f>
        <v/>
      </c>
      <c r="R389" s="20">
        <f>Z389/(AB389+AD389+AC389)</f>
        <v/>
      </c>
      <c r="S389" s="18" t="inlineStr">
        <is>
          <t>视频</t>
        </is>
      </c>
      <c r="T389" s="21" t="n">
        <v>0.25</v>
      </c>
      <c r="U389" s="21" t="n">
        <v>0.26</v>
      </c>
      <c r="V389" s="21" t="n">
        <v>0.39</v>
      </c>
      <c r="W389" s="21" t="n">
        <v>0.19</v>
      </c>
      <c r="X389" s="18" t="n"/>
      <c r="Y389" s="18" t="n"/>
      <c r="Z389" s="18" t="n">
        <v>65000</v>
      </c>
      <c r="AA389" s="20">
        <f>Z389/P389*1000</f>
        <v/>
      </c>
      <c r="AB389" s="22" t="n">
        <v>4923</v>
      </c>
      <c r="AC389" s="18" t="n">
        <v>1080</v>
      </c>
      <c r="AD389" s="18" t="n">
        <v>475</v>
      </c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</row>
    <row r="390" ht="37.15" customHeight="1" s="151">
      <c r="A390" s="17" t="n">
        <v>46100</v>
      </c>
      <c r="B390" s="18" t="n"/>
      <c r="C390" s="18" t="n"/>
      <c r="D390" s="18" t="inlineStr">
        <is>
          <t>品牌</t>
        </is>
      </c>
      <c r="E390" s="32" t="inlineStr">
        <is>
          <t xml:space="preserve"> 家居分享 ｜记录生活｜日常vlog｜亲子生活 一家三口的极简2房100平小复式</t>
        </is>
      </c>
      <c r="F390" s="18" t="inlineStr">
        <is>
          <t xml:space="preserve">花麦麦的家 </t>
        </is>
      </c>
      <c r="G390" s="18" t="inlineStr">
        <is>
          <t>https://www.xingtu.cn/ad/creator/author-homepage/douyin-video/7367182371520512037?market_track_id=V3SVRVAZNICLFPE0J6SJ&amp;search_session_id=7617739828616888347&amp;possessStarId</t>
        </is>
      </c>
      <c r="H390" s="18" t="inlineStr">
        <is>
          <t>https://www.douyin.com/user/MS4wLjABAAAASXNhw5qC3BgFGgRjVaj_KUtNG0sb1r1fHNwNFtfGrac</t>
        </is>
      </c>
      <c r="I390" s="18" t="n">
        <v>85693513602</v>
      </c>
      <c r="J390" s="18" t="inlineStr">
        <is>
          <t>家居</t>
        </is>
      </c>
      <c r="K390" s="18" t="inlineStr">
        <is>
          <t>腰部</t>
        </is>
      </c>
      <c r="L390" s="18" t="n">
        <v>95</v>
      </c>
      <c r="M390" s="18" t="inlineStr">
        <is>
          <t>近一个月无商单数据</t>
        </is>
      </c>
      <c r="N390" s="18" t="inlineStr">
        <is>
          <t>小镇青年
都市银发
都市蓝领</t>
        </is>
      </c>
      <c r="O390" s="21" t="n">
        <v>0.3</v>
      </c>
      <c r="P390" s="18" t="n">
        <v>1100000</v>
      </c>
      <c r="Q390" s="18">
        <f>Z390*1.05</f>
        <v/>
      </c>
      <c r="R390" s="20">
        <f>Z390/(AB390+AD390+AC390)</f>
        <v/>
      </c>
      <c r="S390" s="18" t="inlineStr">
        <is>
          <t>视频</t>
        </is>
      </c>
      <c r="T390" s="21" t="n">
        <v>0.61</v>
      </c>
      <c r="U390" s="21" t="n">
        <v>0.2</v>
      </c>
      <c r="V390" s="21" t="n">
        <v>0.35</v>
      </c>
      <c r="W390" s="21" t="n">
        <v>0.09</v>
      </c>
      <c r="X390" s="18" t="n"/>
      <c r="Y390" s="18" t="n"/>
      <c r="Z390" s="18" t="n">
        <v>43800</v>
      </c>
      <c r="AA390" s="20">
        <f>Z390/P390*1000</f>
        <v/>
      </c>
      <c r="AB390" s="18" t="n">
        <v>16000</v>
      </c>
      <c r="AC390" s="18" t="n">
        <v>288</v>
      </c>
      <c r="AD390" s="18" t="n">
        <v>1752</v>
      </c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</row>
    <row r="391" ht="24.75" customHeight="1" s="151">
      <c r="A391" s="17" t="n">
        <v>46100</v>
      </c>
      <c r="B391" s="18" t="n"/>
      <c r="C391" s="18" t="n"/>
      <c r="D391" s="18" t="inlineStr">
        <is>
          <t>品牌</t>
        </is>
      </c>
      <c r="E391" s="32" t="inlineStr">
        <is>
          <t>👫🏻90后小夫妻第一套房 🏠123平 | 套内102平 ✨家居 | 日常 | 情侣</t>
        </is>
      </c>
      <c r="F391" s="18" t="inlineStr">
        <is>
          <t xml:space="preserve">郭七七的窝 </t>
        </is>
      </c>
      <c r="G391" s="18" t="inlineStr">
        <is>
          <t>https://www.xingtu.cn/ad/creator/author-homepage/douyin-video/7195808519419854909?market_track_id=V3SVRVAZNICLFPE0J6SJ&amp;search_session_id=7617739828616888347&amp;possessStarId</t>
        </is>
      </c>
      <c r="H391" s="18" t="inlineStr">
        <is>
          <t>https://www.douyin.com/user/MS4wLjABAAAAKVLBXglsD4wE2hlHYXoyq7LmT07Ftub19OjfZAh_x7moAdZdpvsVVTtUls2prYUb</t>
        </is>
      </c>
      <c r="I391" s="18" t="n">
        <v>21030137922</v>
      </c>
      <c r="J391" s="18" t="inlineStr">
        <is>
          <t>家居</t>
        </is>
      </c>
      <c r="K391" s="18" t="inlineStr">
        <is>
          <t>尾部</t>
        </is>
      </c>
      <c r="L391" s="18" t="n">
        <v>45.3</v>
      </c>
      <c r="M391" s="18" t="inlineStr">
        <is>
          <t>150-2000</t>
        </is>
      </c>
      <c r="N391" s="18" t="inlineStr">
        <is>
          <t>新锐白领
小镇青年
精致妈妈</t>
        </is>
      </c>
      <c r="O391" s="21" t="n">
        <v>0.66</v>
      </c>
      <c r="P391" s="18" t="n">
        <v>1242000</v>
      </c>
      <c r="Q391" s="18">
        <f>Z391*1.05</f>
        <v/>
      </c>
      <c r="R391" s="20">
        <f>Z391/(AB391+AD391+AC391)</f>
        <v/>
      </c>
      <c r="S391" s="18" t="inlineStr">
        <is>
          <t>视频</t>
        </is>
      </c>
      <c r="T391" s="21" t="n">
        <v>0.53</v>
      </c>
      <c r="U391" s="21" t="n">
        <v>0.32</v>
      </c>
      <c r="V391" s="21" t="n">
        <v>0.45</v>
      </c>
      <c r="W391" s="21" t="n">
        <v>0.12</v>
      </c>
      <c r="X391" s="18" t="n"/>
      <c r="Y391" s="18" t="n"/>
      <c r="Z391" s="18" t="n">
        <v>29800</v>
      </c>
      <c r="AA391" s="20">
        <f>Z391/P391*1000</f>
        <v/>
      </c>
      <c r="AB391" s="22" t="n">
        <v>4614</v>
      </c>
      <c r="AC391" s="18" t="n">
        <v>138</v>
      </c>
      <c r="AD391" s="18" t="n">
        <v>193</v>
      </c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</row>
    <row r="392" ht="24.75" customHeight="1" s="151">
      <c r="A392" s="17" t="n">
        <v>46100</v>
      </c>
      <c r="B392" s="18" t="n"/>
      <c r="C392" s="18" t="n"/>
      <c r="D392" s="18" t="inlineStr">
        <is>
          <t>品牌</t>
        </is>
      </c>
      <c r="E392" s="32" t="inlineStr">
        <is>
          <t>慢生活的家居园艺爱好者 🌷拥有一个小森林的家</t>
        </is>
      </c>
      <c r="F392" s="18" t="inlineStr">
        <is>
          <t xml:space="preserve">Miss.福子的温馨小屋 </t>
        </is>
      </c>
      <c r="G392" s="18" t="inlineStr">
        <is>
          <t>https://www.xingtu.cn/ad/creator/author-homepage/douyin-video/6791285912912265230?market_track_id=V3SVRVAZNICLFPE0J6SJ&amp;search_session_id=7617739828616888347&amp;possessStarId</t>
        </is>
      </c>
      <c r="H392" s="18" t="inlineStr">
        <is>
          <t>https://www.douyin.com/user/MS4wLjABAAAAaNkxnzLGYv4rEIP52cuiWtdlvz11ZjOU6mJ0R4_QWWE</t>
        </is>
      </c>
      <c r="I392" s="18" t="inlineStr">
        <is>
          <t>RRananan.....</t>
        </is>
      </c>
      <c r="J392" s="18" t="inlineStr">
        <is>
          <t>家居</t>
        </is>
      </c>
      <c r="K392" s="18" t="inlineStr">
        <is>
          <t>腰部</t>
        </is>
      </c>
      <c r="L392" s="18" t="n">
        <v>87</v>
      </c>
      <c r="M392" s="18" t="inlineStr">
        <is>
          <t>150-2000</t>
        </is>
      </c>
      <c r="N392" s="18" t="inlineStr">
        <is>
          <t>新锐白领
小镇青年
精致妈妈</t>
        </is>
      </c>
      <c r="O392" s="21" t="n">
        <v>0.67</v>
      </c>
      <c r="P392" s="18" t="n">
        <v>1002000</v>
      </c>
      <c r="Q392" s="18">
        <f>Z392*1.05</f>
        <v/>
      </c>
      <c r="R392" s="20">
        <f>Z392/(AB392+AD392+AC392)</f>
        <v/>
      </c>
      <c r="S392" s="18" t="inlineStr">
        <is>
          <t>视频</t>
        </is>
      </c>
      <c r="T392" s="21" t="n">
        <v>0.6</v>
      </c>
      <c r="U392" s="21" t="n">
        <v>0.42</v>
      </c>
      <c r="V392" s="21" t="n">
        <v>0.32</v>
      </c>
      <c r="W392" s="21" t="n">
        <v>0.14</v>
      </c>
      <c r="X392" s="18" t="n"/>
      <c r="Y392" s="18" t="n"/>
      <c r="Z392" s="18" t="n">
        <v>35000</v>
      </c>
      <c r="AA392" s="20">
        <f>Z392/P392*1000</f>
        <v/>
      </c>
      <c r="AB392" s="22" t="n">
        <v>3195</v>
      </c>
      <c r="AC392" s="18" t="n">
        <v>119</v>
      </c>
      <c r="AD392" s="18" t="n">
        <v>66</v>
      </c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</row>
    <row r="393">
      <c r="A393" s="17" t="n">
        <v>46100</v>
      </c>
      <c r="B393" s="18" t="n"/>
      <c r="C393" s="18" t="n"/>
      <c r="D393" s="18" t="inlineStr">
        <is>
          <t>品牌</t>
        </is>
      </c>
      <c r="E393" s="32" t="inlineStr">
        <is>
          <t>创意性手工DIY达人</t>
        </is>
      </c>
      <c r="F393" s="18" t="inlineStr">
        <is>
          <t xml:space="preserve">🍟薯条 </t>
        </is>
      </c>
      <c r="G393" s="18" t="inlineStr">
        <is>
          <t>https://www.xingtu.cn/ad/creator/author-homepage/douyin-video/7079471717306859560?market_track_id=3OS0HM7OVN3SYN0IJITL&amp;search_session_id=7617741635262185510&amp;possessStarId</t>
        </is>
      </c>
      <c r="H393" s="18" t="inlineStr">
        <is>
          <t>https://www.douyin.com/user/MS4wLjABAAAAZWtX6HzX5NTPTBxcoqx0xd48bIzbJbqEibYqhmXToOo</t>
        </is>
      </c>
      <c r="I393" s="18" t="inlineStr">
        <is>
          <t>Mr.ShuTiao</t>
        </is>
      </c>
      <c r="J393" s="18" t="inlineStr">
        <is>
          <t>家居</t>
        </is>
      </c>
      <c r="K393" s="18" t="inlineStr">
        <is>
          <t>尾部</t>
        </is>
      </c>
      <c r="L393" s="18" t="n">
        <v>38</v>
      </c>
      <c r="M393" s="18" t="inlineStr">
        <is>
          <t>2000-20000</t>
        </is>
      </c>
      <c r="N393" s="18" t="inlineStr">
        <is>
          <t>新锐白领
小镇青年
Z世代</t>
        </is>
      </c>
      <c r="O393" s="21" t="n">
        <v>0.4</v>
      </c>
      <c r="P393" s="18" t="n">
        <v>564000</v>
      </c>
      <c r="Q393" s="18">
        <f>Z393*1.05</f>
        <v/>
      </c>
      <c r="R393" s="20">
        <f>Z393/(AB393+AD393+AC393)</f>
        <v/>
      </c>
      <c r="S393" s="18" t="inlineStr">
        <is>
          <t>视频</t>
        </is>
      </c>
      <c r="T393" s="21" t="n">
        <v>0.52</v>
      </c>
      <c r="U393" s="21" t="n">
        <v>0.35</v>
      </c>
      <c r="V393" s="21" t="n">
        <v>0.3</v>
      </c>
      <c r="W393" s="21" t="n">
        <v>0.05</v>
      </c>
      <c r="X393" s="18" t="n"/>
      <c r="Y393" s="18" t="n"/>
      <c r="Z393" s="18" t="n">
        <v>39000</v>
      </c>
      <c r="AA393" s="20">
        <f>Z393/P393*1000</f>
        <v/>
      </c>
      <c r="AB393" s="22" t="n">
        <v>4704</v>
      </c>
      <c r="AC393" s="18" t="n">
        <v>752</v>
      </c>
      <c r="AD393" s="18" t="n">
        <v>966</v>
      </c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</row>
    <row r="394">
      <c r="A394" s="17" t="n">
        <v>46100</v>
      </c>
      <c r="B394" s="18" t="n"/>
      <c r="C394" s="18" t="n"/>
      <c r="D394" s="18" t="inlineStr">
        <is>
          <t>品牌</t>
        </is>
      </c>
      <c r="E394" s="32" t="inlineStr">
        <is>
          <t>记录自装VLOG</t>
        </is>
      </c>
      <c r="F394" s="18" t="inlineStr">
        <is>
          <t xml:space="preserve">东仔的340平装修日记 </t>
        </is>
      </c>
      <c r="G394" s="18" t="inlineStr">
        <is>
          <t>https://www.xingtu.cn/ad/creator/author-homepage/douyin-video/6966856536920424461?market_track_id=3OS0HM7OVN3SYN0IJITL&amp;search_session_id=7617742245093507081&amp;possessStarId</t>
        </is>
      </c>
      <c r="H394" s="18" t="inlineStr">
        <is>
          <t>https://www.douyin.com/user/MS4wLjABAAAAra1iK76STi4Qgd7gH5Zwr38SJb41Opbw3ZOlpUU0d90</t>
        </is>
      </c>
      <c r="I394" s="18" t="inlineStr">
        <is>
          <t>00800080F</t>
        </is>
      </c>
      <c r="J394" s="18" t="inlineStr">
        <is>
          <t>家居</t>
        </is>
      </c>
      <c r="K394" s="18" t="inlineStr">
        <is>
          <t>尾部</t>
        </is>
      </c>
      <c r="L394" s="18" t="n">
        <v>21</v>
      </c>
      <c r="M394" s="18" t="inlineStr">
        <is>
          <t>150-2000</t>
        </is>
      </c>
      <c r="N394" s="18" t="inlineStr">
        <is>
          <t>新锐白领
小镇青年
精致妈妈</t>
        </is>
      </c>
      <c r="O394" s="21" t="n">
        <v>0.65</v>
      </c>
      <c r="P394" s="18" t="n">
        <v>759000</v>
      </c>
      <c r="Q394" s="18">
        <f>Z394*1.05</f>
        <v/>
      </c>
      <c r="R394" s="20">
        <f>Z394/(AB394+AD394+AC394)</f>
        <v/>
      </c>
      <c r="S394" s="18" t="inlineStr">
        <is>
          <t>视频</t>
        </is>
      </c>
      <c r="T394" s="21" t="n">
        <v>0.42</v>
      </c>
      <c r="U394" s="21" t="n">
        <v>0.35</v>
      </c>
      <c r="V394" s="21" t="n">
        <v>0.47</v>
      </c>
      <c r="W394" s="21" t="n">
        <v>0.06</v>
      </c>
      <c r="X394" s="18" t="n"/>
      <c r="Y394" s="18" t="n"/>
      <c r="Z394" s="18" t="n">
        <v>20000</v>
      </c>
      <c r="AA394" s="20">
        <f>Z394/P394*1000</f>
        <v/>
      </c>
      <c r="AB394" s="22" t="n">
        <v>2801</v>
      </c>
      <c r="AC394" s="18" t="n">
        <v>119</v>
      </c>
      <c r="AD394" s="18" t="n">
        <v>467</v>
      </c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</row>
    <row r="395" ht="24.75" customHeight="1" s="151">
      <c r="A395" s="17" t="n">
        <v>46100</v>
      </c>
      <c r="B395" s="18" t="n"/>
      <c r="C395" s="18" t="n"/>
      <c r="D395" s="18" t="inlineStr">
        <is>
          <t>品牌</t>
        </is>
      </c>
      <c r="E395" s="32" t="inlineStr">
        <is>
          <t xml:space="preserve">别墅室内300平 花园400平 定期分享别墅中的生活日常 </t>
        </is>
      </c>
      <c r="F395" s="18" t="inlineStr">
        <is>
          <t xml:space="preserve">Tim的快乐生活 </t>
        </is>
      </c>
      <c r="G395" s="18" t="inlineStr">
        <is>
          <t>https://www.xingtu.cn/ad/creator/author-homepage/douyin-video/7285762799337209917?market_track_id=3OS0HM7OVN3SYN0IJITL&amp;search_session_id=7617742245093507081&amp;possessStarId</t>
        </is>
      </c>
      <c r="H395" s="18" t="inlineStr">
        <is>
          <t>https://www.douyin.com/user/MS4wLjABAAAA8ew5kbML45thNTQRBofUnhpRIutWPuepUzPtYXqkwI5nefgJDAXFX13p4MKCUeha</t>
        </is>
      </c>
      <c r="I395" s="18" t="inlineStr">
        <is>
          <t>Tim8888888</t>
        </is>
      </c>
      <c r="J395" s="18" t="inlineStr">
        <is>
          <t>家居</t>
        </is>
      </c>
      <c r="K395" s="18" t="inlineStr">
        <is>
          <t>尾部</t>
        </is>
      </c>
      <c r="L395" s="18" t="n">
        <v>37</v>
      </c>
      <c r="M395" s="18" t="inlineStr">
        <is>
          <t>2000-20000</t>
        </is>
      </c>
      <c r="N395" s="18" t="inlineStr">
        <is>
          <t>新锐白领
小镇青年
都市蓝领</t>
        </is>
      </c>
      <c r="O395" s="21" t="n">
        <v>0.52</v>
      </c>
      <c r="P395" s="18" t="n">
        <v>411000</v>
      </c>
      <c r="Q395" s="18">
        <f>Z395*1.05</f>
        <v/>
      </c>
      <c r="R395" s="20">
        <f>Z395/(AB395+AD395+AC395)</f>
        <v/>
      </c>
      <c r="S395" s="18" t="inlineStr">
        <is>
          <t>视频</t>
        </is>
      </c>
      <c r="T395" s="21" t="n">
        <v>0.45</v>
      </c>
      <c r="U395" s="21" t="n">
        <v>0.2</v>
      </c>
      <c r="V395" s="21" t="n">
        <v>0.62</v>
      </c>
      <c r="W395" s="21" t="n">
        <v>0.03</v>
      </c>
      <c r="X395" s="18" t="n"/>
      <c r="Y395" s="18" t="n"/>
      <c r="Z395" s="18" t="n">
        <v>50000</v>
      </c>
      <c r="AA395" s="20">
        <f>Z395/P395*1000</f>
        <v/>
      </c>
      <c r="AB395" s="22" t="n">
        <v>8747</v>
      </c>
      <c r="AC395" s="18" t="n">
        <v>1117</v>
      </c>
      <c r="AD395" s="18" t="n">
        <v>842</v>
      </c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</row>
    <row r="396">
      <c r="A396" s="17" t="n">
        <v>46100</v>
      </c>
      <c r="B396" s="18" t="n"/>
      <c r="C396" s="18" t="n"/>
      <c r="D396" s="18" t="inlineStr">
        <is>
          <t>品牌</t>
        </is>
      </c>
      <c r="E396" s="32" t="inlineStr">
        <is>
          <t>手工自装房屋软装</t>
        </is>
      </c>
      <c r="F396" s="18" t="inlineStr">
        <is>
          <t xml:space="preserve">橙汁小酥 </t>
        </is>
      </c>
      <c r="G396" s="18" t="inlineStr">
        <is>
          <t>https://www.xingtu.cn/ad/creator/author-homepage/douyin-video/7457923151943434267?market_track_id=3OS0HM7OVN3SYN0IJITL&amp;search_session_id=7617742853069946890&amp;possessStarId</t>
        </is>
      </c>
      <c r="H396" s="18" t="inlineStr">
        <is>
          <t>https://www.douyin.com/user/MS4wLjABAAAABHg-x5mJj6Kc2i_UlK4sT7_RLcCqqYpuw61Rx4ZCGo86YZUFhI8ULO8GypR_bsqn</t>
        </is>
      </c>
      <c r="I396" s="18" t="n">
        <v>30600544391</v>
      </c>
      <c r="J396" s="18" t="inlineStr">
        <is>
          <t>家居</t>
        </is>
      </c>
      <c r="K396" s="18" t="inlineStr">
        <is>
          <t>尾部</t>
        </is>
      </c>
      <c r="L396" s="18" t="n">
        <v>32</v>
      </c>
      <c r="M396" s="18" t="inlineStr">
        <is>
          <t>2000-20000</t>
        </is>
      </c>
      <c r="N396" s="18" t="inlineStr">
        <is>
          <t>小镇青年
新锐白领
Z世代</t>
        </is>
      </c>
      <c r="O396" s="21" t="n">
        <v>0.4</v>
      </c>
      <c r="P396" s="18" t="n">
        <v>586000</v>
      </c>
      <c r="Q396" s="18">
        <f>Z396*1.05</f>
        <v/>
      </c>
      <c r="R396" s="20">
        <f>Z396/(AB396+AD396+AC396)</f>
        <v/>
      </c>
      <c r="S396" s="18" t="inlineStr">
        <is>
          <t>视频</t>
        </is>
      </c>
      <c r="T396" s="21" t="n">
        <v>0.55</v>
      </c>
      <c r="U396" s="21" t="n">
        <v>0.31</v>
      </c>
      <c r="V396" s="21" t="n">
        <v>0.42</v>
      </c>
      <c r="W396" s="21" t="n">
        <v>0.07000000000000001</v>
      </c>
      <c r="X396" s="18" t="n"/>
      <c r="Y396" s="18" t="n"/>
      <c r="Z396" s="18" t="n">
        <v>32800</v>
      </c>
      <c r="AA396" s="20">
        <f>Z396/P396*1000</f>
        <v/>
      </c>
      <c r="AB396" s="22" t="n">
        <v>5818</v>
      </c>
      <c r="AC396" s="18" t="n">
        <v>552</v>
      </c>
      <c r="AD396" s="18" t="n">
        <v>1502</v>
      </c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</row>
    <row r="397">
      <c r="A397" s="17" t="n">
        <v>46100</v>
      </c>
      <c r="B397" s="18" t="n"/>
      <c r="C397" s="18" t="n"/>
      <c r="D397" s="18" t="inlineStr">
        <is>
          <t>品牌</t>
        </is>
      </c>
      <c r="E397" s="32" t="inlineStr">
        <is>
          <t>产夫妻的质感生活样本</t>
        </is>
      </c>
      <c r="F397" s="18" t="inlineStr">
        <is>
          <t xml:space="preserve">园周率夫妇 </t>
        </is>
      </c>
      <c r="G397" s="18" t="inlineStr">
        <is>
          <t>https://www.xingtu.cn/ad/creator/author-homepage/douyin-video/6853263318207954952?market_track_id=3OS0HM7OVN3SYN0IJITL&amp;search_session_id=7617743943477575730&amp;possessStarId</t>
        </is>
      </c>
      <c r="H397" s="18" t="inlineStr">
        <is>
          <t>https://www.douyin.com/user/MS4wLjABAAAAttQnThYYvUttbHudM3Qo80LYIZxA3EmOHZ4xqHMmILbkMZhLh7ZEbw5uJAMQF-my</t>
        </is>
      </c>
      <c r="I397" s="18" t="inlineStr">
        <is>
          <t>shishangaimi</t>
        </is>
      </c>
      <c r="J397" s="18" t="inlineStr">
        <is>
          <t>家庭生活</t>
        </is>
      </c>
      <c r="K397" s="18" t="inlineStr">
        <is>
          <t>腰部</t>
        </is>
      </c>
      <c r="L397" s="18" t="n">
        <v>102</v>
      </c>
      <c r="M397" s="18" t="inlineStr">
        <is>
          <t>2000-20000</t>
        </is>
      </c>
      <c r="N397" s="18" t="inlineStr">
        <is>
          <t>都市蓝领
新锐白领
精致妈妈</t>
        </is>
      </c>
      <c r="O397" s="21" t="n">
        <v>0.38</v>
      </c>
      <c r="P397" s="18" t="n">
        <v>1201000</v>
      </c>
      <c r="Q397" s="18">
        <f>Z397*1.05</f>
        <v/>
      </c>
      <c r="R397" s="20">
        <f>Z397/(AB397+AD397+AC397)</f>
        <v/>
      </c>
      <c r="S397" s="18" t="inlineStr">
        <is>
          <t>视频</t>
        </is>
      </c>
      <c r="T397" s="21" t="n">
        <v>0.72</v>
      </c>
      <c r="U397" s="21" t="n">
        <v>0.27</v>
      </c>
      <c r="V397" s="21" t="n">
        <v>0.41</v>
      </c>
      <c r="W397" s="21" t="n">
        <v>0.1</v>
      </c>
      <c r="X397" s="18" t="n"/>
      <c r="Y397" s="18" t="n"/>
      <c r="Z397" s="18" t="n">
        <v>60000</v>
      </c>
      <c r="AA397" s="20">
        <f>Z397/P397*1000</f>
        <v/>
      </c>
      <c r="AB397" s="18" t="n">
        <v>23000</v>
      </c>
      <c r="AC397" s="18" t="n">
        <v>441</v>
      </c>
      <c r="AD397" s="18" t="n">
        <v>1910</v>
      </c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</row>
    <row r="398" ht="24.75" customHeight="1" s="151">
      <c r="A398" s="17" t="n">
        <v>46100</v>
      </c>
      <c r="B398" s="18" t="n"/>
      <c r="C398" s="18" t="n"/>
      <c r="D398" s="18" t="inlineStr">
        <is>
          <t>品牌</t>
        </is>
      </c>
      <c r="E398" s="32" t="inlineStr">
        <is>
          <t>拥有150平轻奢大平层，多款家居植入经验丰富</t>
        </is>
      </c>
      <c r="F398" s="18" t="inlineStr">
        <is>
          <t xml:space="preserve">爱笑露娜 </t>
        </is>
      </c>
      <c r="G398" s="18" t="inlineStr">
        <is>
          <t>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</t>
        </is>
      </c>
      <c r="H398" s="18" t="inlineStr">
        <is>
          <t>https://www.douyin.com/user/MS4wLjABAAAAxXgHKJ1FHUF1zt6f9FXSjPzFf_sN29TLoQs8UBWRxHI</t>
        </is>
      </c>
      <c r="I398" s="18" t="inlineStr">
        <is>
          <t>lunar520668</t>
        </is>
      </c>
      <c r="J398" s="18" t="inlineStr">
        <is>
          <t>生活</t>
        </is>
      </c>
      <c r="K398" s="18" t="inlineStr">
        <is>
          <t>腰部</t>
        </is>
      </c>
      <c r="L398" s="18" t="n">
        <v>152</v>
      </c>
      <c r="M398" s="18" t="inlineStr">
        <is>
          <t>2000-20000</t>
        </is>
      </c>
      <c r="N398" s="18" t="inlineStr">
        <is>
          <t>新锐白领
小镇青年
精致妈妈</t>
        </is>
      </c>
      <c r="O398" s="21" t="n">
        <v>0.44</v>
      </c>
      <c r="P398" s="18" t="n">
        <v>662000</v>
      </c>
      <c r="Q398" s="18">
        <f>SUM(Z398*1.05)</f>
        <v/>
      </c>
      <c r="R398" s="20">
        <f>Z398/(AB398+AD398+AC398)</f>
        <v/>
      </c>
      <c r="S398" s="18" t="inlineStr">
        <is>
          <t>视频</t>
        </is>
      </c>
      <c r="T398" s="21" t="n">
        <v>0.76</v>
      </c>
      <c r="U398" s="21" t="n">
        <v>0.29</v>
      </c>
      <c r="V398" s="21" t="n">
        <v>0.34</v>
      </c>
      <c r="W398" s="21" t="n">
        <v>0.1</v>
      </c>
      <c r="X398" s="18" t="n"/>
      <c r="Y398" s="18" t="n"/>
      <c r="Z398" s="18" t="n">
        <v>65000</v>
      </c>
      <c r="AA398" s="154">
        <f>SUM((Z398/P398)*1000)</f>
        <v/>
      </c>
      <c r="AB398" s="18" t="n">
        <v>20000</v>
      </c>
      <c r="AC398" s="18" t="n">
        <v>249</v>
      </c>
      <c r="AD398" s="18" t="n">
        <v>473</v>
      </c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</row>
    <row r="399">
      <c r="A399" s="17" t="n">
        <v>46100</v>
      </c>
      <c r="B399" s="18" t="n"/>
      <c r="C399" s="18" t="n"/>
      <c r="D399" s="18" t="inlineStr">
        <is>
          <t>品牌</t>
        </is>
      </c>
      <c r="E399" s="32" t="inlineStr">
        <is>
          <t>画像适配，粉丝购买力强</t>
        </is>
      </c>
      <c r="F399" s="18" t="inlineStr">
        <is>
          <t xml:space="preserve">华灯初上 </t>
        </is>
      </c>
      <c r="G399" s="18" t="inlineStr">
        <is>
          <t>https://www.xingtu.cn/ad/creator/author-homepage/douyin-video/7235217904738926596?market_track_id=2KVOMPJN4QSG01E4YUAX&amp;search_session_id=7613672629345452082&amp;possessStarId</t>
        </is>
      </c>
      <c r="H399" s="18" t="inlineStr">
        <is>
          <t>https://www.douyin.com/user/MS4wLjABAAAAtR50iDXDnqRgvZGtkakkoNhbJvAL145MBUi55rnGd4CooXaFwC5zmcfTfPJctKY9</t>
        </is>
      </c>
      <c r="I399" s="18" t="inlineStr">
        <is>
          <t>Luoxh202006</t>
        </is>
      </c>
      <c r="J399" s="18" t="inlineStr">
        <is>
          <t>家居</t>
        </is>
      </c>
      <c r="K399" s="18" t="inlineStr">
        <is>
          <t>尾部</t>
        </is>
      </c>
      <c r="L399" s="18" t="n">
        <v>18</v>
      </c>
      <c r="M399" s="18" t="inlineStr">
        <is>
          <t>2000-20000</t>
        </is>
      </c>
      <c r="N399" s="18" t="inlineStr">
        <is>
          <t>资深中产
都市银发
精致妈妈</t>
        </is>
      </c>
      <c r="O399" s="21" t="n">
        <v>0.51</v>
      </c>
      <c r="P399" s="18" t="n">
        <v>352000</v>
      </c>
      <c r="Q399" s="18">
        <f>SUM(Z399*1.05)</f>
        <v/>
      </c>
      <c r="R399" s="20">
        <f>Z399/(AB399+AD399+AC399)</f>
        <v/>
      </c>
      <c r="S399" s="18" t="inlineStr">
        <is>
          <t>视频</t>
        </is>
      </c>
      <c r="T399" s="21" t="n">
        <v>0.86</v>
      </c>
      <c r="U399" s="21" t="n">
        <v>0.1</v>
      </c>
      <c r="V399" s="21" t="n">
        <v>0.4</v>
      </c>
      <c r="W399" s="21" t="n">
        <v>0.32</v>
      </c>
      <c r="X399" s="18" t="n"/>
      <c r="Y399" s="18" t="n"/>
      <c r="Z399" s="18" t="n">
        <v>40000</v>
      </c>
      <c r="AA399" s="154">
        <f>SUM((Z399/P399)*1000)</f>
        <v/>
      </c>
      <c r="AB399" s="22" t="n">
        <v>9748</v>
      </c>
      <c r="AC399" s="18" t="n">
        <v>464</v>
      </c>
      <c r="AD399" s="18" t="n">
        <v>2126</v>
      </c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</row>
    <row r="400">
      <c r="A400" s="17" t="n">
        <v>46100</v>
      </c>
      <c r="B400" s="18" t="n"/>
      <c r="C400" s="18" t="n"/>
      <c r="D400" s="18" t="inlineStr">
        <is>
          <t>品牌</t>
        </is>
      </c>
      <c r="E400" s="32" t="inlineStr">
        <is>
          <t>精致妈妈和A3指数高</t>
        </is>
      </c>
      <c r="F400" s="18" t="inlineStr">
        <is>
          <t xml:space="preserve">Mico麻麻 </t>
        </is>
      </c>
      <c r="G400" s="18" t="inlineStr">
        <is>
          <t>https://www.xingtu.cn/ad/creator/author-homepage/douyin-video/7270897124420616248?market_track_id=7P11BU0QH3JUILEBBP4A&amp;search_session_id=7614054949244190758&amp;possessStarId</t>
        </is>
      </c>
      <c r="H400" s="18" t="inlineStr">
        <is>
          <t>https://www.douyin.com/user/MS4wLjABAAAAg8Mg_d7hgLjyA9uAtaqiTvttWPKZ5yWHuoIODMrmP44HvVKzkPwWZqK19nFJ1WeF</t>
        </is>
      </c>
      <c r="I400" s="18" t="n">
        <v>54155640911</v>
      </c>
      <c r="J400" s="18" t="inlineStr">
        <is>
          <t>家居</t>
        </is>
      </c>
      <c r="K400" s="18" t="inlineStr">
        <is>
          <t>腰部</t>
        </is>
      </c>
      <c r="L400" s="18" t="n">
        <v>67</v>
      </c>
      <c r="M400" s="18" t="inlineStr">
        <is>
          <t>20000-100000</t>
        </is>
      </c>
      <c r="N400" s="18" t="inlineStr">
        <is>
          <t>小镇青年
新锐白领
精致妈妈</t>
        </is>
      </c>
      <c r="O400" s="21" t="n">
        <v>0.45</v>
      </c>
      <c r="P400" s="18" t="n">
        <v>320000</v>
      </c>
      <c r="Q400" s="18">
        <f>SUM(Z400*1.05)</f>
        <v/>
      </c>
      <c r="R400" s="20">
        <f>Z400/(AB400+AD400+AC400)</f>
        <v/>
      </c>
      <c r="S400" s="18" t="inlineStr">
        <is>
          <t>视频</t>
        </is>
      </c>
      <c r="T400" s="21" t="n">
        <v>0.68</v>
      </c>
      <c r="U400" s="21" t="n">
        <v>0.33</v>
      </c>
      <c r="V400" s="21" t="n">
        <v>0.45</v>
      </c>
      <c r="W400" s="21" t="n">
        <v>0.07000000000000001</v>
      </c>
      <c r="X400" s="18" t="n"/>
      <c r="Y400" s="18" t="n"/>
      <c r="Z400" s="18" t="n">
        <v>32000</v>
      </c>
      <c r="AA400" s="154">
        <f>SUM((Z400/P400)*1000)</f>
        <v/>
      </c>
      <c r="AB400" s="22" t="n">
        <v>4747</v>
      </c>
      <c r="AC400" s="18" t="n">
        <v>33</v>
      </c>
      <c r="AD400" s="18" t="n">
        <v>177</v>
      </c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</row>
    <row r="401">
      <c r="A401" s="17" t="n">
        <v>46100</v>
      </c>
      <c r="B401" s="18" t="n"/>
      <c r="C401" s="18" t="n"/>
      <c r="D401" s="18" t="inlineStr">
        <is>
          <t>品牌</t>
        </is>
      </c>
      <c r="E401" s="32" t="inlineStr">
        <is>
          <t>精致妈妈占比多</t>
        </is>
      </c>
      <c r="F401" s="18" t="inlineStr">
        <is>
          <t xml:space="preserve">二柒宝妈 </t>
        </is>
      </c>
      <c r="G401" s="18" t="inlineStr">
        <is>
          <t>https://www.xingtu.cn/ad/creator/author-homepage/douyin-video/6904928031547064335?market_track_id=NHDHIZHMWY3LDTI1FTJQ&amp;search_session_id=7614064463817539610&amp;possessStarId</t>
        </is>
      </c>
      <c r="H401" s="18" t="inlineStr">
        <is>
          <t>https://www.douyin.com/user/MS4wLjABAAAA4BllNusuuP22r0wVxSBWvVleCtUAvfEKlWx_vHMFjP8</t>
        </is>
      </c>
      <c r="I401" s="18" t="inlineStr">
        <is>
          <t>Honey3646</t>
        </is>
      </c>
      <c r="J401" s="18" t="inlineStr">
        <is>
          <t>美食</t>
        </is>
      </c>
      <c r="K401" s="18" t="inlineStr">
        <is>
          <t>腰部</t>
        </is>
      </c>
      <c r="L401" s="18" t="n">
        <v>83</v>
      </c>
      <c r="M401" s="18" t="inlineStr">
        <is>
          <t>2000-20000</t>
        </is>
      </c>
      <c r="N401" s="18" t="inlineStr">
        <is>
          <t>小镇青年
精致妈妈
新锐白领</t>
        </is>
      </c>
      <c r="O401" s="21" t="n">
        <v>0.51</v>
      </c>
      <c r="P401" s="18" t="n">
        <v>368000</v>
      </c>
      <c r="Q401" s="18">
        <f>SUM(Z401*1.05)</f>
        <v/>
      </c>
      <c r="R401" s="20">
        <f>Z401/(AB401+AD401+AC401)</f>
        <v/>
      </c>
      <c r="S401" s="18" t="inlineStr">
        <is>
          <t>视频</t>
        </is>
      </c>
      <c r="T401" s="21" t="n">
        <v>0.83</v>
      </c>
      <c r="U401" s="21" t="n">
        <v>0.25</v>
      </c>
      <c r="V401" s="21" t="n">
        <v>0.45</v>
      </c>
      <c r="W401" s="21" t="n">
        <v>0.14</v>
      </c>
      <c r="X401" s="18" t="n"/>
      <c r="Y401" s="18" t="n"/>
      <c r="Z401" s="18" t="n">
        <v>45000</v>
      </c>
      <c r="AA401" s="154">
        <f>SUM((Z401/P401)*1000)</f>
        <v/>
      </c>
      <c r="AB401" s="22" t="n">
        <v>4122</v>
      </c>
      <c r="AC401" s="18" t="n">
        <v>337</v>
      </c>
      <c r="AD401" s="18" t="n">
        <v>2140</v>
      </c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</row>
    <row r="402" ht="37.9" customHeight="1" s="151">
      <c r="A402" s="17" t="n">
        <v>46100</v>
      </c>
      <c r="B402" s="18" t="n"/>
      <c r="C402" s="18" t="n"/>
      <c r="D402" s="18" t="inlineStr">
        <is>
          <t>品牌</t>
        </is>
      </c>
      <c r="E402" s="32" t="inlineStr">
        <is>
          <t>精致妈妈占比高，大家电商单https://www.douyin.com/video/7553536649356119359</t>
        </is>
      </c>
      <c r="F402" s="18" t="inlineStr">
        <is>
          <t xml:space="preserve">范奶奶向前冲 </t>
        </is>
      </c>
      <c r="G402" s="18" t="inlineStr">
        <is>
          <t>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</t>
        </is>
      </c>
      <c r="H402" s="18" t="inlineStr">
        <is>
          <t>https://www.douyin.com/user/MS4wLjABAAAAiN15qBuxq9JWH-8-zX4vmzMSSPoRvRUcOQze7Z3ORzs</t>
        </is>
      </c>
      <c r="I402" s="18" t="n">
        <v>73025786001</v>
      </c>
      <c r="J402" s="18" t="inlineStr">
        <is>
          <t>美食</t>
        </is>
      </c>
      <c r="K402" s="18" t="inlineStr">
        <is>
          <t>尾部</t>
        </is>
      </c>
      <c r="L402" s="18" t="n">
        <v>22</v>
      </c>
      <c r="M402" s="18" t="inlineStr">
        <is>
          <t>2000-20000</t>
        </is>
      </c>
      <c r="N402" s="18" t="inlineStr">
        <is>
          <t>小镇青年
精致妈妈
新锐白领</t>
        </is>
      </c>
      <c r="O402" s="21" t="n">
        <v>0.38</v>
      </c>
      <c r="P402" s="18" t="n">
        <v>121000</v>
      </c>
      <c r="Q402" s="18">
        <f>SUM(Z402*1.05)</f>
        <v/>
      </c>
      <c r="R402" s="20">
        <f>Z402/(AB402+AD402+AC402)</f>
        <v/>
      </c>
      <c r="S402" s="18" t="inlineStr">
        <is>
          <t>视频</t>
        </is>
      </c>
      <c r="T402" s="21" t="n">
        <v>0.83</v>
      </c>
      <c r="U402" s="21" t="n">
        <v>0.32</v>
      </c>
      <c r="V402" s="21" t="n">
        <v>0.36</v>
      </c>
      <c r="W402" s="21" t="n">
        <v>0.14</v>
      </c>
      <c r="X402" s="18" t="n"/>
      <c r="Y402" s="18" t="n"/>
      <c r="Z402" s="18" t="n">
        <v>12000</v>
      </c>
      <c r="AA402" s="154">
        <f>SUM((Z402/P402)*1000)</f>
        <v/>
      </c>
      <c r="AB402" s="22" t="n">
        <v>2251</v>
      </c>
      <c r="AC402" s="18" t="n">
        <v>159</v>
      </c>
      <c r="AD402" s="18" t="n">
        <v>751</v>
      </c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</row>
    <row r="403" ht="37.9" customHeight="1" s="151">
      <c r="A403" s="17" t="n">
        <v>46100</v>
      </c>
      <c r="B403" s="18" t="n"/>
      <c r="C403" s="18" t="n"/>
      <c r="D403" s="18" t="inlineStr">
        <is>
          <t>品牌</t>
        </is>
      </c>
      <c r="E403" s="32" t="inlineStr">
        <is>
          <t>大家电商单https://www.douyin.com/video/7599622349101647537</t>
        </is>
      </c>
      <c r="F403" s="18" t="inlineStr">
        <is>
          <t xml:space="preserve">是大宝的家 </t>
        </is>
      </c>
      <c r="G403" s="18" t="inlineStr">
        <is>
          <t>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</t>
        </is>
      </c>
      <c r="H403" s="18" t="inlineStr">
        <is>
          <t>https://www.douyin.com/user/MS4wLjABAAAACtgEdFXImTysoKNBtymQvAFIpFUR1girZ-l6HWP7_JaZeR8_4AoYkHtonTFqCcYx</t>
        </is>
      </c>
      <c r="I403" s="18" t="inlineStr">
        <is>
          <t>bao033261</t>
        </is>
      </c>
      <c r="J403" s="18" t="inlineStr">
        <is>
          <t>家居</t>
        </is>
      </c>
      <c r="K403" s="18" t="inlineStr">
        <is>
          <t>尾部</t>
        </is>
      </c>
      <c r="L403" s="18" t="n">
        <v>26</v>
      </c>
      <c r="M403" s="18" t="inlineStr">
        <is>
          <t>150-2000</t>
        </is>
      </c>
      <c r="N403" s="18" t="inlineStr">
        <is>
          <t>新锐白领
小镇青年
精致妈妈</t>
        </is>
      </c>
      <c r="O403" s="21" t="n">
        <v>0.47</v>
      </c>
      <c r="P403" s="18" t="n">
        <v>347000</v>
      </c>
      <c r="Q403" s="18">
        <f>SUM(Z403*1.05)</f>
        <v/>
      </c>
      <c r="R403" s="20">
        <f>Z403/(AB403+AD403+AC403)</f>
        <v/>
      </c>
      <c r="S403" s="18" t="inlineStr">
        <is>
          <t>视频</t>
        </is>
      </c>
      <c r="T403" s="21" t="n">
        <v>0.5600000000000001</v>
      </c>
      <c r="U403" s="21" t="n">
        <v>0.3</v>
      </c>
      <c r="V403" s="21" t="n">
        <v>0.46</v>
      </c>
      <c r="W403" s="21" t="n">
        <v>0.09</v>
      </c>
      <c r="X403" s="18" t="n"/>
      <c r="Y403" s="18" t="n"/>
      <c r="Z403" s="18" t="n">
        <v>23800</v>
      </c>
      <c r="AA403" s="154">
        <f>SUM((Z403/P403)*1000)</f>
        <v/>
      </c>
      <c r="AB403" s="22" t="n">
        <v>3237</v>
      </c>
      <c r="AC403" s="18" t="n">
        <v>456</v>
      </c>
      <c r="AD403" s="18" t="n">
        <v>228</v>
      </c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</row>
    <row r="404" ht="37.9" customHeight="1" s="151">
      <c r="A404" s="17" t="n">
        <v>46100</v>
      </c>
      <c r="B404" s="18" t="n"/>
      <c r="C404" s="18" t="n"/>
      <c r="D404" s="18" t="inlineStr">
        <is>
          <t>品牌</t>
        </is>
      </c>
      <c r="E404" s="32" t="inlineStr">
        <is>
          <t>女粉精致妈妈占比高，https://www.douyin.com/video/7502782095450869019</t>
        </is>
      </c>
      <c r="F404" s="18" t="inlineStr">
        <is>
          <t xml:space="preserve">小么随记 </t>
        </is>
      </c>
      <c r="G404" s="18" t="inlineStr">
        <is>
          <t>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</t>
        </is>
      </c>
      <c r="H404" s="18" t="inlineStr">
        <is>
          <t>https://www.douyin.com/user/MS4wLjABAAAAhmWBGlEtnFXYP_l2mPtSVcAIWU7XFHRkw1uhSXKHmwo</t>
        </is>
      </c>
      <c r="I404" s="18" t="inlineStr">
        <is>
          <t>Forest_0815</t>
        </is>
      </c>
      <c r="J404" s="18" t="inlineStr">
        <is>
          <t>家居</t>
        </is>
      </c>
      <c r="K404" s="18" t="inlineStr">
        <is>
          <t>尾部</t>
        </is>
      </c>
      <c r="L404" s="18" t="n">
        <v>22</v>
      </c>
      <c r="M404" s="18" t="inlineStr">
        <is>
          <t>2000-20000</t>
        </is>
      </c>
      <c r="N404" s="18" t="inlineStr">
        <is>
          <t>精致妈妈
新锐白领
小镇青年</t>
        </is>
      </c>
      <c r="O404" s="21" t="n">
        <v>0.6</v>
      </c>
      <c r="P404" s="18" t="n">
        <v>164000</v>
      </c>
      <c r="Q404" s="18">
        <f>SUM(Z404*1.05)</f>
        <v/>
      </c>
      <c r="R404" s="20">
        <f>Z404/(AB404+AD404+AC404)</f>
        <v/>
      </c>
      <c r="S404" s="18" t="inlineStr">
        <is>
          <t>视频</t>
        </is>
      </c>
      <c r="T404" s="21" t="n">
        <v>0.85</v>
      </c>
      <c r="U404" s="21" t="n">
        <v>0.28</v>
      </c>
      <c r="V404" s="21" t="n">
        <v>0.38</v>
      </c>
      <c r="W404" s="21" t="n">
        <v>0.15</v>
      </c>
      <c r="X404" s="18" t="n"/>
      <c r="Y404" s="18" t="n"/>
      <c r="Z404" s="18" t="n">
        <v>14500</v>
      </c>
      <c r="AA404" s="154">
        <f>SUM((Z404/P404)*1000)</f>
        <v/>
      </c>
      <c r="AB404" s="22" t="n">
        <v>1972</v>
      </c>
      <c r="AC404" s="18" t="n">
        <v>75</v>
      </c>
      <c r="AD404" s="18" t="n">
        <v>525</v>
      </c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</row>
    <row r="405" ht="63" customHeight="1" s="151">
      <c r="A405" s="17" t="n">
        <v>46100</v>
      </c>
      <c r="B405" s="18" t="n"/>
      <c r="C405" s="18" t="n"/>
      <c r="D405" s="18" t="inlineStr">
        <is>
          <t>品牌</t>
        </is>
      </c>
      <c r="E405" s="32" t="inlineStr">
        <is>
          <t>情侣博主，活人感强千万大家电爆款商单https://www.douyin.com/video/7559897109244316985?previous_page=app_code_link</t>
        </is>
      </c>
      <c r="F405" s="18" t="inlineStr">
        <is>
          <t xml:space="preserve">川阅日记 </t>
        </is>
      </c>
      <c r="G405" s="18" t="inlineStr">
        <is>
          <t>https://www.xingtu.cn/ad/creator/author-homepage/douyin-video/6920165577600270344?market_track_id=SYU2O2J77PRZD6HSWFO4&amp;search_session_id=7611491430255001609&amp;possessStarId</t>
        </is>
      </c>
      <c r="H405" s="18" t="inlineStr">
        <is>
          <t>https://www.douyin.com/user/MS4wLjABAAAAEvnSjkvkAzbDpQ0caF50IYBkgWOAyJwd-CNfev5tkxAj7GiO0lFBkO07G1LayvKm</t>
        </is>
      </c>
      <c r="I405" s="18" t="inlineStr">
        <is>
          <t xml:space="preserve">dymes2j4tsav
 </t>
        </is>
      </c>
      <c r="J405" s="18" t="inlineStr">
        <is>
          <t>情侣</t>
        </is>
      </c>
      <c r="K405" s="18" t="inlineStr">
        <is>
          <t>腰部</t>
        </is>
      </c>
      <c r="L405" s="18" t="n">
        <v>129</v>
      </c>
      <c r="M405" s="18" t="inlineStr">
        <is>
          <t>20000-100000</t>
        </is>
      </c>
      <c r="N405" s="18" t="inlineStr">
        <is>
          <t>小镇青年
都市蓝领
精致妈妈</t>
        </is>
      </c>
      <c r="O405" s="21" t="n">
        <v>0.32</v>
      </c>
      <c r="P405" s="18" t="n">
        <v>3625000</v>
      </c>
      <c r="Q405" s="18">
        <f>SUM(Z405*1.05)</f>
        <v/>
      </c>
      <c r="R405" s="20">
        <f>Z405/(AB405+AD405+AC405)</f>
        <v/>
      </c>
      <c r="S405" s="18" t="inlineStr">
        <is>
          <t>视频</t>
        </is>
      </c>
      <c r="T405" s="21" t="n">
        <v>0.67</v>
      </c>
      <c r="U405" s="21" t="n">
        <v>0.17</v>
      </c>
      <c r="V405" s="21" t="n">
        <v>0.43</v>
      </c>
      <c r="W405" s="21" t="n">
        <v>0.08</v>
      </c>
      <c r="X405" s="18" t="n"/>
      <c r="Y405" s="18" t="n"/>
      <c r="Z405" s="18" t="n">
        <v>30000</v>
      </c>
      <c r="AA405" s="154">
        <f>SUM((Z405/P405)*1000)</f>
        <v/>
      </c>
      <c r="AB405" s="18" t="n">
        <v>23000</v>
      </c>
      <c r="AC405" s="18" t="n">
        <v>396</v>
      </c>
      <c r="AD405" s="18" t="n">
        <v>1046</v>
      </c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</row>
    <row r="406">
      <c r="A406" s="17" t="n">
        <v>46100</v>
      </c>
      <c r="B406" s="18" t="n"/>
      <c r="C406" s="18" t="n"/>
      <c r="D406" s="18" t="inlineStr">
        <is>
          <t>电商</t>
        </is>
      </c>
      <c r="E406" s="32" t="inlineStr">
        <is>
          <t>粉丝画像适配</t>
        </is>
      </c>
      <c r="F406" s="32" t="inlineStr">
        <is>
          <t xml:space="preserve">叮叮妈妈加油 </t>
        </is>
      </c>
      <c r="G406" s="19" t="inlineStr">
        <is>
          <t>https://www.xingtu.cn/ad/creator/author-homepage/douyin-video/7121607124089569316?market_track_id=CTMSOHG2UEDVFASGDN5K&amp;search_session_id=7613298886794395674&amp;possessStarId</t>
        </is>
      </c>
      <c r="H406" s="19" t="inlineStr">
        <is>
          <t>https://www.douyin.com/user/MS4wLjABAAAA_N4YHaBZG_IZZPlX7oB0vR7z3cTveIodjhr3FXhmnYwo0qy9nnZzVA0idcTMj3-H</t>
        </is>
      </c>
      <c r="I406" s="18" t="inlineStr">
        <is>
          <t>2017Ccdd</t>
        </is>
      </c>
      <c r="J406" s="18" t="inlineStr">
        <is>
          <t>美食</t>
        </is>
      </c>
      <c r="K406" s="18" t="inlineStr">
        <is>
          <t>腰部</t>
        </is>
      </c>
      <c r="L406" s="18" t="n">
        <v>79</v>
      </c>
      <c r="M406" s="18" t="inlineStr">
        <is>
          <t>近一个月未发布商单</t>
        </is>
      </c>
      <c r="N406" s="18" t="inlineStr">
        <is>
          <t>精致妈妈
小镇青年
新锐白领</t>
        </is>
      </c>
      <c r="O406" s="35" t="n">
        <v>0.542</v>
      </c>
      <c r="P406" s="18" t="n">
        <v>175000</v>
      </c>
      <c r="Q406" s="18">
        <f>Z406*1.05</f>
        <v/>
      </c>
      <c r="R406" s="20">
        <f>Z406/(AB406+AD406+AC406)</f>
        <v/>
      </c>
      <c r="S406" s="18" t="inlineStr">
        <is>
          <t>视频</t>
        </is>
      </c>
      <c r="T406" s="21" t="n">
        <v>0.82</v>
      </c>
      <c r="U406" s="21" t="n">
        <v>0.23</v>
      </c>
      <c r="V406" s="21" t="n">
        <v>0.5</v>
      </c>
      <c r="W406" s="21" t="n">
        <v>0.26</v>
      </c>
      <c r="X406" s="21" t="n"/>
      <c r="Y406" s="21" t="n"/>
      <c r="Z406" s="18" t="n">
        <v>28000</v>
      </c>
      <c r="AA406" s="154">
        <f>SUM((Z406/P406)*1000)</f>
        <v/>
      </c>
      <c r="AB406" s="18" t="n">
        <v>5509</v>
      </c>
      <c r="AC406" s="18" t="n">
        <v>232</v>
      </c>
      <c r="AD406" s="18" t="n">
        <v>1091</v>
      </c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</row>
    <row r="407" ht="24.75" customHeight="1" s="151">
      <c r="A407" s="17" t="n">
        <v>46100</v>
      </c>
      <c r="B407" s="18" t="n"/>
      <c r="C407" s="18" t="n"/>
      <c r="D407" s="18" t="inlineStr">
        <is>
          <t>电商</t>
        </is>
      </c>
      <c r="E407" s="32" t="inlineStr">
        <is>
          <t>总体数据较好，曝光量高</t>
        </is>
      </c>
      <c r="F407" s="32" t="inlineStr">
        <is>
          <t xml:space="preserve">
 大姐吖 </t>
        </is>
      </c>
      <c r="G407" s="18" t="inlineStr">
        <is>
          <t>https://www.xingtu.cn/ad/creator/author-homepage/douyin-video/7012557078963159043?market_track_id=T3F09RSZB5J532D966YC&amp;search_session_id=7613303540936818738&amp;possessStarId</t>
        </is>
      </c>
      <c r="H407" s="18" t="inlineStr">
        <is>
          <t>https://www.douyin.com/user/MS4wLjABAAAAfNVPEhjcQudNSFplx0LoYrdvH8rrT7GoYQ_Ij09FMfw</t>
        </is>
      </c>
      <c r="I407" s="18" t="n">
        <v>607324288</v>
      </c>
      <c r="J407" s="18" t="inlineStr">
        <is>
          <t>生活</t>
        </is>
      </c>
      <c r="K407" s="18" t="inlineStr">
        <is>
          <t>腰部</t>
        </is>
      </c>
      <c r="L407" s="18" t="n">
        <v>69</v>
      </c>
      <c r="M407" s="18" t="inlineStr">
        <is>
          <t>100000+</t>
        </is>
      </c>
      <c r="N407" s="18" t="inlineStr">
        <is>
          <t>小镇青年
新锐白领
精致妈妈</t>
        </is>
      </c>
      <c r="O407" s="21" t="n">
        <v>0.46</v>
      </c>
      <c r="P407" s="18" t="n">
        <v>3691000</v>
      </c>
      <c r="Q407" s="18">
        <f>Z407*1.05</f>
        <v/>
      </c>
      <c r="R407" s="20">
        <f>Z407/(AB407+AD407+AC407)</f>
        <v/>
      </c>
      <c r="S407" s="18" t="inlineStr">
        <is>
          <t>视频</t>
        </is>
      </c>
      <c r="T407" s="21" t="n">
        <v>0.77</v>
      </c>
      <c r="U407" s="21" t="n">
        <v>0.34</v>
      </c>
      <c r="V407" s="21" t="n">
        <v>0.4</v>
      </c>
      <c r="W407" s="21" t="n">
        <v>0.07000000000000001</v>
      </c>
      <c r="X407" s="21" t="n"/>
      <c r="Y407" s="21" t="n"/>
      <c r="Z407" s="18" t="n">
        <v>92000</v>
      </c>
      <c r="AA407" s="154">
        <f>SUM((Z407/P407)*1000)</f>
        <v/>
      </c>
      <c r="AB407" s="18" t="n">
        <v>57000</v>
      </c>
      <c r="AC407" s="18" t="n">
        <v>1677</v>
      </c>
      <c r="AD407" s="18" t="n">
        <v>3698</v>
      </c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</row>
    <row r="408">
      <c r="A408" s="17" t="n">
        <v>46100</v>
      </c>
      <c r="B408" s="18" t="n"/>
      <c r="C408" s="18" t="n"/>
      <c r="D408" s="18" t="inlineStr">
        <is>
          <t>电商</t>
        </is>
      </c>
      <c r="E408" s="32" t="inlineStr">
        <is>
          <t>粉丝画像适配性高</t>
        </is>
      </c>
      <c r="F408" s="18" t="inlineStr">
        <is>
          <t xml:space="preserve">小屁妈妈不温柔 </t>
        </is>
      </c>
      <c r="G408" s="18" t="inlineStr">
        <is>
          <t>https://www.xingtu.cn/ad/creator/author-homepage/douyin-video/7381753558883893299?market_track_id=H4ETHBZMFZY3TAGCQ3FA&amp;search_session_id=7613664374527885358&amp;possessStarId</t>
        </is>
      </c>
      <c r="H408" s="18" t="inlineStr">
        <is>
          <t>https://www.douyin.com/user/MS4wLjABAAAAlW6qdt6ZVRhZtUHJNWqoM3xP-TOU3bXaVQyE5UjRTH8uU4lnR0hPF-7LlHozelfw</t>
        </is>
      </c>
      <c r="I408" s="18" t="inlineStr">
        <is>
          <t>bala_memeda</t>
        </is>
      </c>
      <c r="J408" s="18" t="inlineStr">
        <is>
          <t>美食</t>
        </is>
      </c>
      <c r="K408" s="18" t="inlineStr">
        <is>
          <t>腰部</t>
        </is>
      </c>
      <c r="L408" s="18" t="n">
        <v>102</v>
      </c>
      <c r="M408" s="18" t="inlineStr">
        <is>
          <t>2000-20000</t>
        </is>
      </c>
      <c r="N408" s="18" t="inlineStr">
        <is>
          <t>小镇青年
新锐白领
精致妈妈</t>
        </is>
      </c>
      <c r="O408" s="21" t="n">
        <v>0.46</v>
      </c>
      <c r="P408" s="18" t="n">
        <v>380000</v>
      </c>
      <c r="Q408" s="18">
        <f>SUM(Z408*1.05)</f>
        <v/>
      </c>
      <c r="R408" s="20">
        <f>Z408/(AB408+AD408+AC408)</f>
        <v/>
      </c>
      <c r="S408" s="18" t="inlineStr">
        <is>
          <t>视频</t>
        </is>
      </c>
      <c r="T408" s="21" t="n">
        <v>0.8</v>
      </c>
      <c r="U408" s="21" t="n">
        <v>0.28</v>
      </c>
      <c r="V408" s="21" t="n">
        <v>0.44</v>
      </c>
      <c r="W408" s="21" t="n">
        <v>0.1</v>
      </c>
      <c r="X408" s="21" t="n"/>
      <c r="Y408" s="21" t="n"/>
      <c r="Z408" s="18" t="n">
        <v>17000</v>
      </c>
      <c r="AA408" s="154">
        <f>SUM((Z408/P408)*1000)</f>
        <v/>
      </c>
      <c r="AB408" s="22" t="n">
        <v>4946</v>
      </c>
      <c r="AC408" s="18" t="n">
        <v>492</v>
      </c>
      <c r="AD408" s="18" t="n">
        <v>700</v>
      </c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</row>
    <row r="409">
      <c r="A409" s="17" t="n">
        <v>46100</v>
      </c>
      <c r="B409" s="18" t="n"/>
      <c r="C409" s="18" t="n"/>
      <c r="D409" s="18" t="inlineStr">
        <is>
          <t>电商</t>
        </is>
      </c>
      <c r="E409" s="32" t="inlineStr">
        <is>
          <t>女粉和精致妈妈占比多</t>
        </is>
      </c>
      <c r="F409" s="18" t="inlineStr">
        <is>
          <t xml:space="preserve">妍妍宝贝 </t>
        </is>
      </c>
      <c r="G409" s="18" t="inlineStr">
        <is>
          <t>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</t>
        </is>
      </c>
      <c r="H409" s="18" t="inlineStr">
        <is>
          <t>https://www.douyin.com/user/MS4wLjABAAAAP0p19DKAPCeDWTBGWDVpHAsjIRQIlDl3ehczZGtLdZQ</t>
        </is>
      </c>
      <c r="I409" s="18" t="inlineStr">
        <is>
          <t>yanyan939613765</t>
        </is>
      </c>
      <c r="J409" s="18" t="inlineStr">
        <is>
          <t>家居</t>
        </is>
      </c>
      <c r="K409" s="18" t="inlineStr">
        <is>
          <t>尾部</t>
        </is>
      </c>
      <c r="L409" s="18" t="n">
        <v>31</v>
      </c>
      <c r="M409" s="18" t="inlineStr">
        <is>
          <t>150-2000</t>
        </is>
      </c>
      <c r="N409" s="18" t="inlineStr">
        <is>
          <t>新锐白领
小镇青年
精致妈妈</t>
        </is>
      </c>
      <c r="O409" s="21" t="n">
        <v>0.46</v>
      </c>
      <c r="P409" s="18" t="n">
        <v>1155000</v>
      </c>
      <c r="Q409" s="18">
        <f>SUM(Z409*1.05)</f>
        <v/>
      </c>
      <c r="R409" s="20">
        <f>Z409/(AB409+AD409+AC409)</f>
        <v/>
      </c>
      <c r="S409" s="18" t="inlineStr">
        <is>
          <t>视频</t>
        </is>
      </c>
      <c r="T409" s="21" t="n">
        <v>0.46</v>
      </c>
      <c r="U409" s="21" t="n">
        <v>0.3</v>
      </c>
      <c r="V409" s="21" t="n">
        <v>0.48</v>
      </c>
      <c r="W409" s="21" t="n">
        <v>0.05</v>
      </c>
      <c r="X409" s="18" t="n"/>
      <c r="Y409" s="18" t="n"/>
      <c r="Z409" s="18" t="n">
        <v>22800</v>
      </c>
      <c r="AA409" s="154">
        <f>SUM((Z409/P409)*1000)</f>
        <v/>
      </c>
      <c r="AB409" s="18" t="n">
        <v>4100</v>
      </c>
      <c r="AC409" s="18" t="n">
        <v>177</v>
      </c>
      <c r="AD409" s="18" t="n">
        <v>442</v>
      </c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</row>
    <row r="410">
      <c r="A410" s="17" t="n">
        <v>46100</v>
      </c>
      <c r="B410" s="18" t="n"/>
      <c r="C410" s="18" t="n"/>
      <c r="D410" s="18" t="inlineStr">
        <is>
          <t>电商</t>
        </is>
      </c>
      <c r="E410" s="32" t="inlineStr">
        <is>
          <t>中产家庭，生活品质高，调性高</t>
        </is>
      </c>
      <c r="F410" s="18" t="inlineStr">
        <is>
          <t xml:space="preserve">中荷夫妇Evi </t>
        </is>
      </c>
      <c r="G410" s="18" t="inlineStr">
        <is>
          <t>https://www.xingtu.cn/ad/creator/author-homepage/douyin-video/7345359121169776650?market_track_id=7XTIV3268V2E8E5IT2EH&amp;search_session_id=7615464980443709490&amp;possessStarId</t>
        </is>
      </c>
      <c r="H410" s="18" t="inlineStr">
        <is>
          <t>https://www.douyin.com/user/MS4wLjABAAAAoZrfiAPRqnQsecoH9wT6_ghGAHI6xrCobmimGNFnCfyKylgFh9SW4GD3EYEn_r1p</t>
        </is>
      </c>
      <c r="I410" s="18" t="inlineStr">
        <is>
          <t>Weiwei1990_</t>
        </is>
      </c>
      <c r="J410" s="18" t="inlineStr">
        <is>
          <t>家居</t>
        </is>
      </c>
      <c r="K410" s="18" t="inlineStr">
        <is>
          <t>腰部</t>
        </is>
      </c>
      <c r="L410" s="18" t="n">
        <v>153</v>
      </c>
      <c r="M410" s="18" t="inlineStr">
        <is>
          <t>2000-20000</t>
        </is>
      </c>
      <c r="N410" s="18" t="inlineStr">
        <is>
          <t>精致妈妈
新锐白领
都市蓝领</t>
        </is>
      </c>
      <c r="O410" s="21" t="n">
        <v>0.83</v>
      </c>
      <c r="P410" s="18" t="n">
        <v>1861000</v>
      </c>
      <c r="Q410" s="18">
        <f>SUM(Z410*1.05)</f>
        <v/>
      </c>
      <c r="R410" s="20">
        <f>Z410/(AB410+AD410+AC410)</f>
        <v/>
      </c>
      <c r="S410" s="18" t="inlineStr">
        <is>
          <t>视频</t>
        </is>
      </c>
      <c r="T410" s="21" t="n">
        <v>0.77</v>
      </c>
      <c r="U410" s="21" t="n">
        <v>0.29</v>
      </c>
      <c r="V410" s="21" t="n">
        <v>0.62</v>
      </c>
      <c r="W410" s="21" t="n">
        <v>0.02</v>
      </c>
      <c r="X410" s="18" t="n"/>
      <c r="Y410" s="18" t="n"/>
      <c r="Z410" s="18" t="n">
        <v>45000</v>
      </c>
      <c r="AA410" s="154">
        <f>SUM((Z410/P410)*1000)</f>
        <v/>
      </c>
      <c r="AB410" s="18" t="n">
        <v>17000</v>
      </c>
      <c r="AC410" s="18" t="n">
        <v>436</v>
      </c>
      <c r="AD410" s="18" t="n">
        <v>870</v>
      </c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</row>
    <row r="411">
      <c r="A411" s="18" t="n"/>
      <c r="B411" s="18" t="n"/>
      <c r="C411" s="18" t="n"/>
      <c r="D411" s="18" t="n"/>
      <c r="E411" s="32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</row>
    <row r="412">
      <c r="A412" s="18" t="n"/>
      <c r="B412" s="18" t="n"/>
      <c r="C412" s="18" t="n"/>
      <c r="D412" s="18" t="n"/>
      <c r="E412" s="32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</row>
    <row r="413" ht="37.15" customHeight="1" s="151">
      <c r="A413" s="18" t="n"/>
      <c r="B413" s="18" t="n"/>
      <c r="C413" s="18" t="n"/>
      <c r="D413" s="18" t="inlineStr">
        <is>
          <t>电商</t>
        </is>
      </c>
      <c r="E413" s="32" t="inlineStr">
        <is>
          <t>其视频中常涉及大量食材处理和餐具使用，做饭油烟往往是此类视频的“隐形痛点”。</t>
        </is>
      </c>
      <c r="F413" s="18" t="inlineStr">
        <is>
          <t xml:space="preserve">
阿晨吃饱了</t>
        </is>
      </c>
      <c r="G413" s="18" t="inlineStr">
        <is>
          <t>https://www.xingtu.cn/ad/creator/author-homepage/douyin-video/6852032860858089487?market_track_id=I3AXFCO2FFOA5SYPCT78&amp;search_session_id=7605451398251888690&amp;possessStarId</t>
        </is>
      </c>
      <c r="H413" s="18" t="inlineStr">
        <is>
          <t>https://www.douyin.com/user/MS4wLjABAAAA5eWz7uX9robWyIw2haX9428cHpyuIrWUeDqFI1J7mko</t>
        </is>
      </c>
      <c r="I413" s="18" t="n">
        <v>1181235113</v>
      </c>
      <c r="J413" s="18" t="inlineStr">
        <is>
          <t>美食</t>
        </is>
      </c>
      <c r="K413" s="18" t="inlineStr">
        <is>
          <t>尾部</t>
        </is>
      </c>
      <c r="L413" s="18" t="n">
        <v>50</v>
      </c>
      <c r="M413" s="18" t="n"/>
      <c r="N413" s="18" t="n"/>
      <c r="O413" s="155" t="n"/>
      <c r="P413" s="155" t="n">
        <v>554000</v>
      </c>
      <c r="Q413" s="18">
        <f>SUM(Z413*1.05)</f>
        <v/>
      </c>
      <c r="R413" s="20">
        <f>SUM(Z413/(AB413+AC413+AD413))</f>
        <v/>
      </c>
      <c r="S413" s="18" t="inlineStr">
        <is>
          <t>视频</t>
        </is>
      </c>
      <c r="T413" s="21" t="n">
        <v>0.57</v>
      </c>
      <c r="U413" s="21" t="n">
        <v>0.24</v>
      </c>
      <c r="V413" s="21" t="n">
        <v>0.2</v>
      </c>
      <c r="W413" s="21" t="n">
        <v>0.05</v>
      </c>
      <c r="X413" s="21" t="n"/>
      <c r="Y413" s="21" t="n"/>
      <c r="Z413" s="18" t="n">
        <v>21000</v>
      </c>
      <c r="AA413" s="154">
        <f>SUM((Z413/P413)*1000)</f>
        <v/>
      </c>
      <c r="AB413" s="18" t="n">
        <v>13000</v>
      </c>
      <c r="AC413" s="18" t="n">
        <v>450</v>
      </c>
      <c r="AD413" s="18" t="n">
        <v>5500</v>
      </c>
      <c r="AE413" s="20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7" t="n"/>
      <c r="AR413" s="7" t="n"/>
    </row>
    <row r="414" ht="49.5" customHeight="1" s="151">
      <c r="A414" s="18" t="n"/>
      <c r="B414" s="18" t="n"/>
      <c r="C414" s="18" t="n"/>
      <c r="D414" s="18" t="inlineStr">
        <is>
          <t>电商</t>
        </is>
      </c>
      <c r="E414" s="32" t="inlineStr">
        <is>
          <t>粉丝为科技爱好者，关注家电智能化体验。重点突出老板洗碗机APP控制、智能感应等功能，契合其受众对“全屋智能”的追求。</t>
        </is>
      </c>
      <c r="F414" s="18" t="inlineStr">
        <is>
          <t>权志猴（智能家居）</t>
        </is>
      </c>
      <c r="G414" s="18" t="inlineStr">
        <is>
          <t>https://www.xingtu.cn/ad/creator/author-homepage/douyin-video/6896359756827459591?market_track_id=BU8GKV5W3XFJCTREMRGB&amp;search_session_id=7605444486264520755&amp;possessStarId</t>
        </is>
      </c>
      <c r="H414" s="18" t="inlineStr">
        <is>
          <t>https://www.douyin.com/user/MS4wLjABAAAA5iMhOQOEbK1fkp3ALCP3QrUcBfWiw-CElER1wF2ybX4</t>
        </is>
      </c>
      <c r="I414" s="18" t="inlineStr">
        <is>
          <t>quanzhihou</t>
        </is>
      </c>
      <c r="J414" s="18" t="inlineStr">
        <is>
          <t>家居</t>
        </is>
      </c>
      <c r="K414" s="18" t="inlineStr">
        <is>
          <t>腰部</t>
        </is>
      </c>
      <c r="L414" s="18" t="n">
        <v>171</v>
      </c>
      <c r="M414" s="18" t="n"/>
      <c r="N414" s="18" t="n"/>
      <c r="O414" s="155" t="n"/>
      <c r="P414" s="155" t="n">
        <v>2360000</v>
      </c>
      <c r="Q414" s="18">
        <f>SUM(Z414*1.05)</f>
        <v/>
      </c>
      <c r="R414" s="20">
        <f>SUM(Z414/(AB414+AC414+AD414))</f>
        <v/>
      </c>
      <c r="S414" s="18" t="inlineStr">
        <is>
          <t>视频</t>
        </is>
      </c>
      <c r="T414" s="21" t="n">
        <v>0.16</v>
      </c>
      <c r="U414" s="21" t="n">
        <v>0.27</v>
      </c>
      <c r="V414" s="21" t="n">
        <v>0.22</v>
      </c>
      <c r="W414" s="21" t="n">
        <v>0.04</v>
      </c>
      <c r="X414" s="21" t="n"/>
      <c r="Y414" s="21" t="n"/>
      <c r="Z414" s="18" t="n">
        <v>48000</v>
      </c>
      <c r="AA414" s="154">
        <f>SUM((Z414/P414)*1000)</f>
        <v/>
      </c>
      <c r="AB414" s="18" t="n">
        <v>16000</v>
      </c>
      <c r="AC414" s="18" t="n">
        <v>804</v>
      </c>
      <c r="AD414" s="18" t="n">
        <v>3983</v>
      </c>
      <c r="AE414" s="20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7" t="n"/>
      <c r="AR414" s="7" t="n"/>
    </row>
    <row r="415">
      <c r="A415" s="18" t="n"/>
      <c r="B415" s="18" t="n"/>
      <c r="C415" s="18" t="n"/>
      <c r="D415" s="18" t="inlineStr">
        <is>
          <t>电商</t>
        </is>
      </c>
      <c r="E415" s="32" t="inlineStr">
        <is>
          <t>A3偏低，但粉丝画像高度适配</t>
        </is>
      </c>
      <c r="F415" s="18" t="inlineStr">
        <is>
          <t>吴爸爸的早餐日记</t>
        </is>
      </c>
      <c r="G415" s="18" t="inlineStr">
        <is>
          <t>https://www.xingtu.cn/ad/creator/author-homepage/douyin-video/6968524225481015299?market_track_id=H4ETHBZMFZY3TAGCQ3FA&amp;search_session_id=7613665705892266034&amp;possessStarId</t>
        </is>
      </c>
      <c r="H415" s="18" t="inlineStr">
        <is>
          <t>https://www.douyin.com/user/MS4wLjABAAAAvbVySaoiJbUbHymqxLMTMoWoy5m3jybj_ZtILScBFnw</t>
        </is>
      </c>
      <c r="I415" s="18" t="inlineStr">
        <is>
          <t>ddbbwwxx</t>
        </is>
      </c>
      <c r="J415" s="18" t="inlineStr">
        <is>
          <t>美食</t>
        </is>
      </c>
      <c r="K415" s="18" t="inlineStr">
        <is>
          <t>腰部</t>
        </is>
      </c>
      <c r="L415" s="18" t="n">
        <v>215</v>
      </c>
      <c r="M415" s="18" t="inlineStr">
        <is>
          <t>150-2000</t>
        </is>
      </c>
      <c r="N415" s="18" t="inlineStr">
        <is>
          <t>精致妈妈
新锐白领
资深中产</t>
        </is>
      </c>
      <c r="O415" s="21" t="n">
        <v>0.68</v>
      </c>
      <c r="P415" s="18" t="n">
        <v>1215000</v>
      </c>
      <c r="Q415" s="18">
        <f>SUM(Z415*1.05)</f>
        <v/>
      </c>
      <c r="R415" s="20">
        <f>Z415/(AB415+AD415+AC415)</f>
        <v/>
      </c>
      <c r="S415" s="18" t="inlineStr">
        <is>
          <t>视频</t>
        </is>
      </c>
      <c r="T415" s="21" t="n">
        <v>0.78</v>
      </c>
      <c r="U415" s="21" t="n">
        <v>0.23</v>
      </c>
      <c r="V415" s="21" t="n">
        <v>0.51</v>
      </c>
      <c r="W415" s="21" t="n">
        <v>0.15</v>
      </c>
      <c r="X415" s="21" t="n"/>
      <c r="Y415" s="21" t="n"/>
      <c r="Z415" s="18" t="n">
        <v>25000</v>
      </c>
      <c r="AA415" s="154">
        <f>SUM((Z415/P415)*1000)</f>
        <v/>
      </c>
      <c r="AB415" s="22" t="n">
        <v>3252</v>
      </c>
      <c r="AC415" s="18" t="n">
        <v>46</v>
      </c>
      <c r="AD415" s="18" t="n">
        <v>115</v>
      </c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7" t="n"/>
      <c r="AR415" s="7" t="n"/>
    </row>
    <row r="416">
      <c r="A416" s="18" t="n"/>
      <c r="B416" s="18" t="n"/>
      <c r="C416" s="18" t="n"/>
      <c r="D416" s="18" t="inlineStr">
        <is>
          <t>电商</t>
        </is>
      </c>
      <c r="E416" s="32" t="inlineStr">
        <is>
          <t>人群符合</t>
        </is>
      </c>
      <c r="F416" s="18" t="inlineStr">
        <is>
          <t>小君的vlog</t>
        </is>
      </c>
      <c r="G416" s="18" t="inlineStr">
        <is>
          <t>https://www.xingtu.cn/ad/creator/author-homepage/douyin-video/7374012112449830963?market_track_id=SW5R02Z287BG97RJ9TP0&amp;search_session_id=7613708909291520009&amp;possessStarId</t>
        </is>
      </c>
      <c r="H416" s="18" t="inlineStr">
        <is>
          <t>https://www.douyin.com/user/MS4wLjABAAAAWhUtU86K-QcRWDv9sq_jLbAHWRckIXJ5YcHK7qI9pOQ</t>
        </is>
      </c>
      <c r="I416" s="18" t="inlineStr">
        <is>
          <t>xiaojun632</t>
        </is>
      </c>
      <c r="J416" s="18" t="inlineStr">
        <is>
          <t>家居</t>
        </is>
      </c>
      <c r="K416" s="18" t="inlineStr">
        <is>
          <t>尾部</t>
        </is>
      </c>
      <c r="L416" s="18" t="n">
        <v>16</v>
      </c>
      <c r="M416" s="18" t="inlineStr">
        <is>
          <t>20000-100000</t>
        </is>
      </c>
      <c r="N416" s="18" t="inlineStr">
        <is>
          <t>精致妈妈
小镇青年
新锐白领</t>
        </is>
      </c>
      <c r="O416" s="21" t="n">
        <v>0.63</v>
      </c>
      <c r="P416" s="18" t="n">
        <v>748000</v>
      </c>
      <c r="Q416" s="18">
        <f>SUM(Z416*1.05)</f>
        <v/>
      </c>
      <c r="R416" s="20">
        <f>Z416/(AB416+AD416+AC416)</f>
        <v/>
      </c>
      <c r="S416" s="18" t="inlineStr">
        <is>
          <t>视频</t>
        </is>
      </c>
      <c r="T416" s="21" t="n">
        <v>0.86</v>
      </c>
      <c r="U416" s="21" t="n">
        <v>0.34</v>
      </c>
      <c r="V416" s="21" t="n">
        <v>0.5</v>
      </c>
      <c r="W416" s="21" t="n">
        <v>0.05</v>
      </c>
      <c r="X416" s="21" t="n"/>
      <c r="Y416" s="21" t="n"/>
      <c r="Z416" s="18" t="n">
        <v>25000</v>
      </c>
      <c r="AA416" s="154">
        <f>SUM((Z416/P416)*1000)</f>
        <v/>
      </c>
      <c r="AB416" s="22" t="n">
        <v>2238</v>
      </c>
      <c r="AC416" s="18" t="n">
        <v>103</v>
      </c>
      <c r="AD416" s="18" t="n">
        <v>55</v>
      </c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7" t="n"/>
      <c r="AR416" s="7" t="n"/>
    </row>
    <row r="417">
      <c r="A417" s="18" t="n"/>
      <c r="B417" s="18" t="n"/>
      <c r="C417" s="18" t="n"/>
      <c r="D417" s="18" t="inlineStr">
        <is>
          <t>电商</t>
        </is>
      </c>
      <c r="E417" s="32" t="inlineStr">
        <is>
          <t>场景合适，有大家电经验</t>
        </is>
      </c>
      <c r="F417" s="18" t="inlineStr">
        <is>
          <t>kaka嘉伦</t>
        </is>
      </c>
      <c r="G417" s="18" t="inlineStr">
        <is>
          <t>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</t>
        </is>
      </c>
      <c r="H417" s="18" t="inlineStr">
        <is>
          <t>https://www.douyin.com/user/MS4wLjABAAAA7slDjZsDDFxXoscBEUG2oZSUhl0f8x-RhBd5rK2YchuwBEDJD-fXQrisE7VCeOrJ</t>
        </is>
      </c>
      <c r="I417" s="18" t="inlineStr">
        <is>
          <t>kakajialun</t>
        </is>
      </c>
      <c r="J417" s="18" t="inlineStr">
        <is>
          <t>家居</t>
        </is>
      </c>
      <c r="K417" s="18" t="inlineStr">
        <is>
          <t>尾部</t>
        </is>
      </c>
      <c r="L417" s="18" t="n">
        <v>20</v>
      </c>
      <c r="M417" s="18" t="inlineStr">
        <is>
          <t>150-2000</t>
        </is>
      </c>
      <c r="N417" s="18" t="inlineStr">
        <is>
          <t>新锐白领
小镇青年
都市银发</t>
        </is>
      </c>
      <c r="O417" s="21" t="n">
        <v>0.4</v>
      </c>
      <c r="P417" s="18" t="n">
        <v>714000</v>
      </c>
      <c r="Q417" s="18">
        <f>SUM(Z417*1.05)</f>
        <v/>
      </c>
      <c r="R417" s="20">
        <f>Z417/(AB417+AD417+AC417)</f>
        <v/>
      </c>
      <c r="S417" s="18" t="inlineStr">
        <is>
          <t>视频</t>
        </is>
      </c>
      <c r="T417" s="21" t="n">
        <v>0.6</v>
      </c>
      <c r="U417" s="21" t="n">
        <v>0.14</v>
      </c>
      <c r="V417" s="21" t="n">
        <v>0.63</v>
      </c>
      <c r="W417" s="21" t="n">
        <v>0.15</v>
      </c>
      <c r="X417" s="18" t="n"/>
      <c r="Y417" s="18" t="n"/>
      <c r="Z417" s="18" t="n">
        <v>18800</v>
      </c>
      <c r="AA417" s="154">
        <f>SUM((Z417/P417)*1000)</f>
        <v/>
      </c>
      <c r="AB417" s="18" t="n">
        <v>12000</v>
      </c>
      <c r="AC417" s="18" t="n">
        <v>159</v>
      </c>
      <c r="AD417" s="18" t="n">
        <v>221</v>
      </c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7" t="n"/>
      <c r="AR417" s="7" t="n"/>
    </row>
    <row r="418">
      <c r="A418" s="18" t="n"/>
      <c r="B418" s="18" t="n"/>
      <c r="C418" s="18" t="n"/>
      <c r="D418" s="18" t="inlineStr">
        <is>
          <t>电商</t>
        </is>
      </c>
      <c r="E418" s="32" t="inlineStr">
        <is>
          <t>人群符合</t>
        </is>
      </c>
      <c r="F418" s="18" t="inlineStr">
        <is>
          <t>球球和张小丸</t>
        </is>
      </c>
      <c r="G418" s="18" t="inlineStr">
        <is>
          <t>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</t>
        </is>
      </c>
      <c r="H418" s="18" t="inlineStr">
        <is>
          <t>https://www.douyin.com/user/MS4wLjABAAAA0BIOqMlFvRjsOveQoVO6Wq1DaOgs2LMB-wAXHRZeIIg</t>
        </is>
      </c>
      <c r="I418" s="18" t="inlineStr">
        <is>
          <t>wanzi0217</t>
        </is>
      </c>
      <c r="J418" s="18" t="inlineStr">
        <is>
          <t>家居</t>
        </is>
      </c>
      <c r="K418" s="18" t="inlineStr">
        <is>
          <t>尾部</t>
        </is>
      </c>
      <c r="L418" s="18" t="n">
        <v>15</v>
      </c>
      <c r="M418" s="18" t="inlineStr">
        <is>
          <t>2000-20000</t>
        </is>
      </c>
      <c r="N418" s="18" t="inlineStr">
        <is>
          <t>新锐白领
精致妈妈
小镇青年</t>
        </is>
      </c>
      <c r="O418" s="21" t="n">
        <v>0.6</v>
      </c>
      <c r="P418" s="18" t="n">
        <v>148000</v>
      </c>
      <c r="Q418" s="18">
        <f>SUM(Z418*1.05)</f>
        <v/>
      </c>
      <c r="R418" s="20">
        <f>Z418/(AB418+AD418+AC418)</f>
        <v/>
      </c>
      <c r="S418" s="18" t="inlineStr">
        <is>
          <t>视频</t>
        </is>
      </c>
      <c r="T418" s="21" t="n">
        <v>0.79</v>
      </c>
      <c r="U418" s="21" t="n">
        <v>0.34</v>
      </c>
      <c r="V418" s="21" t="n">
        <v>0.38</v>
      </c>
      <c r="W418" s="21" t="n">
        <v>0.12</v>
      </c>
      <c r="X418" s="18" t="n"/>
      <c r="Y418" s="18" t="n"/>
      <c r="Z418" s="18" t="n">
        <v>8000</v>
      </c>
      <c r="AA418" s="154">
        <f>SUM((Z418/P418)*1000)</f>
        <v/>
      </c>
      <c r="AB418" s="18" t="n">
        <v>2649</v>
      </c>
      <c r="AC418" s="18" t="n">
        <v>103</v>
      </c>
      <c r="AD418" s="18" t="n">
        <v>611</v>
      </c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7" t="n"/>
      <c r="AR418" s="7" t="n"/>
    </row>
    <row r="419" ht="24.75" customHeight="1" s="151">
      <c r="A419" s="18" t="n"/>
      <c r="B419" s="18" t="n"/>
      <c r="C419" s="18" t="n"/>
      <c r="D419" s="18" t="inlineStr">
        <is>
          <t>电商</t>
        </is>
      </c>
      <c r="E419" s="32" t="inlineStr">
        <is>
          <t>人群符合核心要求，创意性高，可结合产品特点定制视频</t>
        </is>
      </c>
      <c r="F419" s="18" t="inlineStr">
        <is>
          <t>冯小厨的菜谱</t>
        </is>
      </c>
      <c r="G419" s="18" t="inlineStr">
        <is>
          <t>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</t>
        </is>
      </c>
      <c r="H419" s="18" t="inlineStr">
        <is>
          <t>https://www.douyin.com/user/MS4wLjABAAAAi0Z66aFzn6W5NeNnoo3rJeN1JxHSs4ltPgW616-pL2Bv1fTfgd_AdyyBauGPe1xm</t>
        </is>
      </c>
      <c r="I419" s="18" t="inlineStr">
        <is>
          <t>fengxiaochu</t>
        </is>
      </c>
      <c r="J419" s="18" t="inlineStr">
        <is>
          <t>美食</t>
        </is>
      </c>
      <c r="K419" s="18" t="inlineStr">
        <is>
          <t>尾部</t>
        </is>
      </c>
      <c r="L419" s="18" t="n">
        <v>28</v>
      </c>
      <c r="M419" s="18" t="inlineStr">
        <is>
          <t>150-2000</t>
        </is>
      </c>
      <c r="N419" s="18" t="inlineStr">
        <is>
          <t>精致妈妈
新锐白领
资深中产</t>
        </is>
      </c>
      <c r="O419" s="21" t="n">
        <v>0.59</v>
      </c>
      <c r="P419" s="18" t="n">
        <v>151000</v>
      </c>
      <c r="Q419" s="18">
        <f>SUM(Z419*1.05)</f>
        <v/>
      </c>
      <c r="R419" s="20">
        <f>Z419/(AB419+AD419+AC419)</f>
        <v/>
      </c>
      <c r="S419" s="18" t="inlineStr">
        <is>
          <t>视频</t>
        </is>
      </c>
      <c r="T419" s="21" t="n">
        <v>0.73</v>
      </c>
      <c r="U419" s="21" t="n">
        <v>0.19</v>
      </c>
      <c r="V419" s="21" t="n">
        <v>0.48</v>
      </c>
      <c r="W419" s="21" t="n">
        <v>0.19</v>
      </c>
      <c r="X419" s="18" t="n"/>
      <c r="Y419" s="18" t="n"/>
      <c r="Z419" s="18" t="n">
        <v>9000</v>
      </c>
      <c r="AA419" s="154">
        <f>SUM((Z419/P419)*1000)</f>
        <v/>
      </c>
      <c r="AB419" s="18" t="n">
        <v>2908</v>
      </c>
      <c r="AC419" s="18" t="n">
        <v>68</v>
      </c>
      <c r="AD419" s="18" t="n">
        <v>139</v>
      </c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7" t="n"/>
      <c r="AR419" s="7" t="n"/>
    </row>
    <row r="420">
      <c r="A420" s="18" t="n"/>
      <c r="B420" s="18" t="n"/>
      <c r="C420" s="18" t="n"/>
      <c r="D420" s="18" t="inlineStr">
        <is>
          <t>电商</t>
        </is>
      </c>
      <c r="E420" s="32" t="inlineStr">
        <is>
          <t>人群符合</t>
        </is>
      </c>
      <c r="F420" s="18" t="inlineStr">
        <is>
          <t>跃层顾二叔</t>
        </is>
      </c>
      <c r="G420" s="18" t="inlineStr">
        <is>
          <t>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</t>
        </is>
      </c>
      <c r="H420" s="18" t="inlineStr">
        <is>
          <t>https://www.douyin.com/user/MS4wLjABAAAAw62OndX7mTNjejKQRh6SQYU_9TjuHI_GsCqDZCEiz9c</t>
        </is>
      </c>
      <c r="I420" s="18" t="inlineStr">
        <is>
          <t>ershulaile</t>
        </is>
      </c>
      <c r="J420" s="18" t="inlineStr">
        <is>
          <t>家居</t>
        </is>
      </c>
      <c r="K420" s="18" t="inlineStr">
        <is>
          <t>腰部</t>
        </is>
      </c>
      <c r="L420" s="18" t="n">
        <v>100</v>
      </c>
      <c r="M420" s="18" t="inlineStr">
        <is>
          <t>150-2000</t>
        </is>
      </c>
      <c r="N420" s="18" t="inlineStr">
        <is>
          <t>新锐白领
小镇青年
精致妈妈</t>
        </is>
      </c>
      <c r="O420" s="21" t="n">
        <v>0.41</v>
      </c>
      <c r="P420" s="18" t="n">
        <v>341000</v>
      </c>
      <c r="Q420" s="18">
        <f>SUM(Z420*1.05)</f>
        <v/>
      </c>
      <c r="R420" s="20">
        <f>Z420/(AB420+AD420+AC420)</f>
        <v/>
      </c>
      <c r="S420" s="18" t="inlineStr">
        <is>
          <t>视频</t>
        </is>
      </c>
      <c r="T420" s="21" t="n">
        <v>0.76</v>
      </c>
      <c r="U420" s="21" t="n">
        <v>0.27</v>
      </c>
      <c r="V420" s="21" t="n">
        <v>0.4</v>
      </c>
      <c r="W420" s="21" t="n">
        <v>0.1</v>
      </c>
      <c r="X420" s="18" t="n"/>
      <c r="Y420" s="18" t="n"/>
      <c r="Z420" s="18" t="n">
        <v>26800</v>
      </c>
      <c r="AA420" s="154">
        <f>SUM((Z420/P420)*1000)</f>
        <v/>
      </c>
      <c r="AB420" s="18" t="n">
        <v>11000</v>
      </c>
      <c r="AC420" s="18" t="n">
        <v>104</v>
      </c>
      <c r="AD420" s="18" t="n">
        <v>392</v>
      </c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7" t="n"/>
      <c r="AR420" s="7" t="n"/>
    </row>
    <row r="421" ht="24.75" customHeight="1" s="151">
      <c r="A421" s="17" t="n"/>
      <c r="B421" s="18" t="n"/>
      <c r="C421" s="18" t="n"/>
      <c r="D421" s="18" t="inlineStr">
        <is>
          <t>电商</t>
        </is>
      </c>
      <c r="E421" s="32" t="inlineStr">
        <is>
          <t>自己设计的第一套房子
95后对抗路情侣的备婚生活</t>
        </is>
      </c>
      <c r="F421" s="18" t="inlineStr">
        <is>
          <t>生活主理人杨杨</t>
        </is>
      </c>
      <c r="G421" s="18" t="inlineStr">
        <is>
          <t>https://www.xingtu.cn/ad/creator/author-homepage/douyin-video/7215526602636001283?market_track_id=2HPQ3HRNLPZF3O2NNCPK&amp;search_session_id=7615456741454544923&amp;possessStarId</t>
        </is>
      </c>
      <c r="H421" s="18" t="inlineStr">
        <is>
          <t>https://www.douyin.com/user/MS4wLjABAAAAvLnzMrcSjaXfkhP2RsN54q3z2FdcxAf-CCFnJ9PrfMM</t>
        </is>
      </c>
      <c r="I421" s="18" t="inlineStr">
        <is>
          <t>BY666520BY</t>
        </is>
      </c>
      <c r="J421" s="18" t="inlineStr">
        <is>
          <t>家居</t>
        </is>
      </c>
      <c r="K421" s="18" t="inlineStr">
        <is>
          <t>腰部</t>
        </is>
      </c>
      <c r="L421" s="18" t="n">
        <v>94.8</v>
      </c>
      <c r="M421" s="18" t="inlineStr">
        <is>
          <t>2000-20000</t>
        </is>
      </c>
      <c r="N421" s="18" t="inlineStr">
        <is>
          <t>新锐白领
精致妈妈
小镇青年</t>
        </is>
      </c>
      <c r="O421" s="21" t="n">
        <v>0.82</v>
      </c>
      <c r="P421" s="18" t="n">
        <v>1748000</v>
      </c>
      <c r="Q421" s="18">
        <f>SUM(Z421*1.05)</f>
        <v/>
      </c>
      <c r="R421" s="20">
        <f>Z421/(AB421+AD421+AC421)</f>
        <v/>
      </c>
      <c r="S421" s="18" t="inlineStr">
        <is>
          <t>视频</t>
        </is>
      </c>
      <c r="T421" s="21" t="n">
        <v>0.58</v>
      </c>
      <c r="U421" s="21" t="n">
        <v>0.33</v>
      </c>
      <c r="V421" s="21" t="n">
        <v>0.49</v>
      </c>
      <c r="W421" s="21" t="n">
        <v>0.05</v>
      </c>
      <c r="X421" s="18" t="n"/>
      <c r="Y421" s="18" t="n"/>
      <c r="Z421" s="18" t="n">
        <v>50000</v>
      </c>
      <c r="AA421" s="154">
        <f>SUM((Z421/P421)*1000)</f>
        <v/>
      </c>
      <c r="AB421" s="18" t="n">
        <v>28000</v>
      </c>
      <c r="AC421" s="18" t="n">
        <v>212</v>
      </c>
      <c r="AD421" s="18" t="n">
        <v>80</v>
      </c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7" t="n"/>
      <c r="AR421" s="7" t="n"/>
    </row>
    <row r="422" ht="24.75" customHeight="1" s="151">
      <c r="A422" s="17" t="n"/>
      <c r="B422" s="18" t="n"/>
      <c r="C422" s="18" t="n"/>
      <c r="D422" s="18" t="inlineStr">
        <is>
          <t>电商</t>
        </is>
      </c>
      <c r="E422" s="32" t="inlineStr">
        <is>
          <t xml:space="preserve">装修经验 Ⅰ 家居好物 Ⅰ 智能家电 Ⅰ 生活小技巧 </t>
        </is>
      </c>
      <c r="F422" s="18" t="inlineStr">
        <is>
          <t>虫儿的家</t>
        </is>
      </c>
      <c r="G422" s="18" t="inlineStr">
        <is>
          <t>https://www.xingtu.cn/ad/creator/author-homepage/douyin-video/7284525791256412216?market_track_id=2HPQ3HRNLPZF3O2NNCPK&amp;search_session_id=7615457725783031846&amp;possessStarId</t>
        </is>
      </c>
      <c r="H422" s="18" t="inlineStr">
        <is>
          <t>https://www.douyin.com/user/MS4wLjABAAAAE02CEEZR-G8X-daREUFZiMOepruk8UmM1XuGjYLEm1Iq_aUvDbhnHG8wsz-x5kYZ</t>
        </is>
      </c>
      <c r="I422" s="18" t="inlineStr">
        <is>
          <t>lccdj668jy</t>
        </is>
      </c>
      <c r="J422" s="18" t="inlineStr">
        <is>
          <t>家居</t>
        </is>
      </c>
      <c r="K422" s="18" t="inlineStr">
        <is>
          <t>尾部</t>
        </is>
      </c>
      <c r="L422" s="18" t="n">
        <v>30.7</v>
      </c>
      <c r="M422" s="18" t="inlineStr">
        <is>
          <t>2000-20000</t>
        </is>
      </c>
      <c r="N422" s="18" t="inlineStr">
        <is>
          <t>新锐白领
小镇青年
精致妈妈</t>
        </is>
      </c>
      <c r="O422" s="21" t="n">
        <v>0.58</v>
      </c>
      <c r="P422" s="18" t="n">
        <v>1199000</v>
      </c>
      <c r="Q422" s="18">
        <f>SUM(Z422*1.05)</f>
        <v/>
      </c>
      <c r="R422" s="20">
        <f>Z422/(AB422+AD422+AC422)</f>
        <v/>
      </c>
      <c r="S422" s="18" t="inlineStr">
        <is>
          <t>视频</t>
        </is>
      </c>
      <c r="T422" s="21" t="n">
        <v>0.58</v>
      </c>
      <c r="U422" s="21" t="n">
        <v>0.35</v>
      </c>
      <c r="V422" s="21" t="n">
        <v>0.48</v>
      </c>
      <c r="W422" s="21" t="n">
        <v>0.03</v>
      </c>
      <c r="X422" s="18" t="n"/>
      <c r="Y422" s="18" t="n"/>
      <c r="Z422" s="18" t="n">
        <v>23800</v>
      </c>
      <c r="AA422" s="154">
        <f>SUM((Z422/P422)*1000)</f>
        <v/>
      </c>
      <c r="AB422" s="22" t="n">
        <v>1163</v>
      </c>
      <c r="AC422" s="18" t="n">
        <v>213</v>
      </c>
      <c r="AD422" s="18" t="n">
        <v>652</v>
      </c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7" t="n"/>
      <c r="AR422" s="7" t="n"/>
    </row>
    <row r="423">
      <c r="A423" s="17" t="n"/>
      <c r="B423" s="18" t="n"/>
      <c r="C423" s="18" t="n"/>
      <c r="D423" s="18" t="inlineStr">
        <is>
          <t>电商</t>
        </is>
      </c>
      <c r="E423" s="32" t="n"/>
      <c r="F423" s="18" t="inlineStr">
        <is>
          <t xml:space="preserve">
西米好宅</t>
        </is>
      </c>
      <c r="G423" s="18" t="inlineStr">
        <is>
          <t>https://www.xingtu.cn/ad/creator/author-homepage/douyin-video/6870170334209769479?market_track_id=2HPQ3HRNLPZF3O2NNCPK&amp;search_session_id=7615457725783031846&amp;possessStarId</t>
        </is>
      </c>
      <c r="H423" s="18" t="inlineStr">
        <is>
          <t>https://www.douyin.com/user/MS4wLjABAAAAsvKZAG9tg8xDWUM7kYrWLBjCK9xzFPoY5mHwGl2nd4Na-EHLIOqis9AKbu5RITbY</t>
        </is>
      </c>
      <c r="I423" s="18" t="inlineStr">
        <is>
          <t>ximihaozhai</t>
        </is>
      </c>
      <c r="J423" s="18" t="inlineStr">
        <is>
          <t>家居</t>
        </is>
      </c>
      <c r="K423" s="18" t="inlineStr">
        <is>
          <t>腰部</t>
        </is>
      </c>
      <c r="L423" s="18" t="n">
        <v>98</v>
      </c>
      <c r="M423" s="18" t="inlineStr">
        <is>
          <t>2000-20000</t>
        </is>
      </c>
      <c r="N423" s="18" t="inlineStr">
        <is>
          <t>新锐白领
小镇青年
Z世代</t>
        </is>
      </c>
      <c r="O423" s="21" t="n">
        <v>0.52</v>
      </c>
      <c r="P423" s="18" t="n">
        <v>3730000</v>
      </c>
      <c r="Q423" s="18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7" t="n"/>
      <c r="AR423" s="7" t="n"/>
    </row>
    <row r="424">
      <c r="A424" s="17" t="n"/>
      <c r="B424" s="18" t="n"/>
      <c r="C424" s="18" t="n"/>
      <c r="D424" s="18" t="inlineStr">
        <is>
          <t>电商</t>
        </is>
      </c>
      <c r="E424" s="32" t="n"/>
      <c r="F424" s="18" t="inlineStr">
        <is>
          <t>徐志麻手</t>
        </is>
      </c>
      <c r="G424" s="18" t="inlineStr">
        <is>
          <t>https://www.xingtu.cn/ad/creator/author-homepage/douyin-video/6870163502879735815?market_track_id=7XTIV3268V2E8E5IT2EH&amp;search_session_id=7615463195943927858&amp;possessStarId</t>
        </is>
      </c>
      <c r="H424" s="18" t="inlineStr">
        <is>
          <t>https://www.douyin.com/user/MS4wLjABAAAATWFDIem4wHJK5WvRisrwahjXdK1bD_lsJ6ptOhWcZ24</t>
        </is>
      </c>
      <c r="I424" s="18" t="inlineStr">
        <is>
          <t>xuzhimo891021</t>
        </is>
      </c>
      <c r="J424" s="18" t="inlineStr">
        <is>
          <t>家居</t>
        </is>
      </c>
      <c r="K424" s="18" t="inlineStr">
        <is>
          <t>尾部</t>
        </is>
      </c>
      <c r="L424" s="18" t="n">
        <v>49</v>
      </c>
      <c r="M424" s="18" t="inlineStr">
        <is>
          <t>150-2000</t>
        </is>
      </c>
      <c r="N424" s="18" t="inlineStr">
        <is>
          <t>新锐白领
小镇青年
精致妈妈</t>
        </is>
      </c>
      <c r="O424" s="21" t="n">
        <v>0.42</v>
      </c>
      <c r="P424" s="18" t="n">
        <v>1607000</v>
      </c>
      <c r="Q424" s="18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7" t="n"/>
      <c r="AR424" s="7" t="n"/>
    </row>
    <row r="425" ht="37.15" customHeight="1" s="151">
      <c r="A425" s="17" t="n"/>
      <c r="B425" s="18" t="n"/>
      <c r="C425" s="18" t="n"/>
      <c r="D425" s="18" t="inlineStr">
        <is>
          <t>电商</t>
        </is>
      </c>
      <c r="E425" s="32" t="inlineStr">
        <is>
          <t>210平的意式简约风
有个很酷的电竞房 还有个很大的客厅</t>
        </is>
      </c>
      <c r="F425" s="18" t="inlineStr">
        <is>
          <t xml:space="preserve">
张吉利</t>
        </is>
      </c>
      <c r="G425" s="18" t="inlineStr">
        <is>
          <t>https://www.xingtu.cn/ad/creator/author-homepage/douyin-video/7055226032839884807?market_track_id=7XTIV3268V2E8E5IT2EH&amp;search_session_id=7615466233768443954&amp;possessStarId</t>
        </is>
      </c>
      <c r="H425" s="18" t="inlineStr">
        <is>
          <t>https://www.douyin.com/user/MS4wLjABAAAAsySP850WwppMDK6QAq7ZCuhOhbUYsRLYn0GqD63aYk4</t>
        </is>
      </c>
      <c r="I425" s="18" t="inlineStr">
        <is>
          <t>yzyw1016</t>
        </is>
      </c>
      <c r="J425" s="18" t="inlineStr">
        <is>
          <t>家居</t>
        </is>
      </c>
      <c r="K425" s="18" t="inlineStr">
        <is>
          <t>尾部</t>
        </is>
      </c>
      <c r="L425" s="18" t="n">
        <v>20.8</v>
      </c>
      <c r="M425" s="18" t="inlineStr">
        <is>
          <t>150-2000</t>
        </is>
      </c>
      <c r="N425" s="18" t="inlineStr">
        <is>
          <t>新锐白领
小镇青年
精致妈妈</t>
        </is>
      </c>
      <c r="O425" s="21" t="n">
        <v>0.54</v>
      </c>
      <c r="P425" s="18" t="n">
        <v>407000</v>
      </c>
      <c r="Q425" s="18">
        <f>SUM(Z425*1.05)</f>
        <v/>
      </c>
      <c r="R425" s="20">
        <f>Z425/(AB425+AD425+AC425)</f>
        <v/>
      </c>
      <c r="S425" s="18" t="inlineStr">
        <is>
          <t>视频</t>
        </is>
      </c>
      <c r="T425" s="21" t="n">
        <v>0.77</v>
      </c>
      <c r="U425" s="21" t="n">
        <v>0.45</v>
      </c>
      <c r="V425" s="21" t="n">
        <v>0.27</v>
      </c>
      <c r="W425" s="21" t="n">
        <v>0.05</v>
      </c>
      <c r="X425" s="18" t="n"/>
      <c r="Y425" s="18" t="n"/>
      <c r="Z425" s="18" t="n">
        <v>16800</v>
      </c>
      <c r="AA425" s="154">
        <f>SUM((Z425/P425)*1000)</f>
        <v/>
      </c>
      <c r="AB425" s="18" t="n">
        <v>3167</v>
      </c>
      <c r="AC425" s="18" t="n">
        <v>195</v>
      </c>
      <c r="AD425" s="18" t="n">
        <v>667</v>
      </c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7" t="n"/>
      <c r="AR425" s="7" t="n"/>
    </row>
    <row r="426">
      <c r="A426" s="17" t="n"/>
      <c r="B426" s="18" t="n"/>
      <c r="C426" s="18" t="n"/>
      <c r="D426" s="18" t="inlineStr">
        <is>
          <t>电商</t>
        </is>
      </c>
      <c r="E426" s="32" t="inlineStr">
        <is>
          <t>家居好物｜智能生活｜装修经验</t>
        </is>
      </c>
      <c r="F426" s="18" t="inlineStr">
        <is>
          <t xml:space="preserve">
氧气冰</t>
        </is>
      </c>
      <c r="G426" s="18" t="inlineStr">
        <is>
          <t>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</t>
        </is>
      </c>
      <c r="H426" s="18" t="inlineStr">
        <is>
          <t>https://www.douyin.com/user/MS4wLjABAAAAfYU-pzQ1R1LkhnEswzQeTah8XvAze2T-j9gmANn6w2E</t>
        </is>
      </c>
      <c r="I426" s="18" t="inlineStr">
        <is>
          <t>bg156785459</t>
        </is>
      </c>
      <c r="J426" s="18" t="inlineStr">
        <is>
          <t>家居</t>
        </is>
      </c>
      <c r="K426" s="18" t="inlineStr">
        <is>
          <t>腰部</t>
        </is>
      </c>
      <c r="L426" s="18" t="n">
        <v>117</v>
      </c>
      <c r="M426" s="18" t="inlineStr">
        <is>
          <t>150-2000</t>
        </is>
      </c>
      <c r="N426" s="18" t="inlineStr">
        <is>
          <t>小镇青年
新锐白领
精致妈妈</t>
        </is>
      </c>
      <c r="O426" s="21" t="n">
        <v>0.4</v>
      </c>
      <c r="P426" s="18" t="n">
        <v>2374000</v>
      </c>
      <c r="Q426" s="18">
        <f>SUM(Z426*1.05)</f>
        <v/>
      </c>
      <c r="R426" s="20">
        <f>Z426/(AB426+AD426+AC426)</f>
        <v/>
      </c>
      <c r="S426" s="18" t="inlineStr">
        <is>
          <t>视频</t>
        </is>
      </c>
      <c r="T426" s="21" t="n">
        <v>0.77</v>
      </c>
      <c r="U426" s="21" t="n">
        <v>0.27</v>
      </c>
      <c r="V426" s="21" t="n">
        <v>0.35</v>
      </c>
      <c r="W426" s="21" t="n">
        <v>0.06</v>
      </c>
      <c r="X426" s="18" t="n"/>
      <c r="Y426" s="18" t="n"/>
      <c r="Z426" s="18" t="n">
        <v>55000</v>
      </c>
      <c r="AA426" s="154">
        <f>SUM((Z426/P426)*1000)</f>
        <v/>
      </c>
      <c r="AB426" s="18" t="n">
        <v>53000</v>
      </c>
      <c r="AC426" s="18" t="n">
        <v>231</v>
      </c>
      <c r="AD426" s="18" t="n">
        <v>822</v>
      </c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7" t="n"/>
      <c r="AR426" s="7" t="n"/>
    </row>
    <row r="427">
      <c r="A427" s="17" t="n"/>
      <c r="B427" s="18" t="n"/>
      <c r="C427" s="18" t="n"/>
      <c r="D427" s="18" t="inlineStr">
        <is>
          <t>电商</t>
        </is>
      </c>
      <c r="E427" s="32" t="inlineStr">
        <is>
          <t>110平北欧风软装魔法改造进行中</t>
        </is>
      </c>
      <c r="F427" s="18" t="inlineStr">
        <is>
          <t>梅子青青</t>
        </is>
      </c>
      <c r="G427" s="18" t="inlineStr">
        <is>
          <t>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</t>
        </is>
      </c>
      <c r="H427" s="18" t="inlineStr">
        <is>
          <t>https://www.douyin.com/user/MS4wLjABAAAA3qWxZw2BoHAJqcOlbTuiy9r6cAA4wtPJFmDXbEtp9mM</t>
        </is>
      </c>
      <c r="I427" s="18" t="inlineStr">
        <is>
          <t>zishu60448</t>
        </is>
      </c>
      <c r="J427" s="18" t="inlineStr">
        <is>
          <t>家居</t>
        </is>
      </c>
      <c r="K427" s="18" t="inlineStr">
        <is>
          <t>腰部</t>
        </is>
      </c>
      <c r="L427" s="18" t="n">
        <v>45</v>
      </c>
      <c r="M427" s="18" t="inlineStr">
        <is>
          <t>2000-20000</t>
        </is>
      </c>
      <c r="N427" s="18" t="inlineStr">
        <is>
          <t>新锐白领
精致妈妈
小镇青年</t>
        </is>
      </c>
      <c r="O427" s="21" t="n">
        <v>0.6</v>
      </c>
      <c r="P427" s="18" t="n">
        <v>1943000</v>
      </c>
      <c r="Q427" s="18">
        <f>SUM(Z427*1.05)</f>
        <v/>
      </c>
      <c r="R427" s="20">
        <f>Z427/(AB427+AD427+AC427)</f>
        <v/>
      </c>
      <c r="S427" s="18" t="inlineStr">
        <is>
          <t>视频</t>
        </is>
      </c>
      <c r="T427" s="21" t="n">
        <v>0.87</v>
      </c>
      <c r="U427" s="21" t="n">
        <v>0.34</v>
      </c>
      <c r="V427" s="21" t="n">
        <v>0.41</v>
      </c>
      <c r="W427" s="21" t="n">
        <v>0.03</v>
      </c>
      <c r="X427" s="18" t="n"/>
      <c r="Y427" s="18" t="n"/>
      <c r="Z427" s="18" t="n">
        <v>50000</v>
      </c>
      <c r="AA427" s="154">
        <f>SUM((Z427/P427)*1000)</f>
        <v/>
      </c>
      <c r="AB427" s="18" t="n">
        <v>20000</v>
      </c>
      <c r="AC427" s="18" t="n">
        <v>218</v>
      </c>
      <c r="AD427" s="18" t="n">
        <v>648</v>
      </c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7" t="n"/>
      <c r="AR427" s="7" t="n"/>
    </row>
    <row r="428" ht="37.15" customHeight="1" s="151">
      <c r="A428" s="17" t="n"/>
      <c r="B428" s="18" t="n"/>
      <c r="C428" s="18" t="n"/>
      <c r="D428" s="18" t="inlineStr">
        <is>
          <t>电商</t>
        </is>
      </c>
      <c r="E428" s="32" t="inlineStr">
        <is>
          <t>120平小户型已入住，270平大平层旧房改造已完成，300平别墅已收楼待装修。</t>
        </is>
      </c>
      <c r="F428" s="18" t="inlineStr">
        <is>
          <t>小咸同学</t>
        </is>
      </c>
      <c r="G428" s="18" t="inlineStr">
        <is>
          <t>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</t>
        </is>
      </c>
      <c r="H428" s="18" t="inlineStr">
        <is>
          <t>https://www.douyin.com/user/MS4wLjABAAAAGUA3s_FZOLUkQcZEn-t4I4BGQq7NKOfX2BkK-V-jbU0</t>
        </is>
      </c>
      <c r="I428" s="18" t="inlineStr">
        <is>
          <t>XB180804</t>
        </is>
      </c>
      <c r="J428" s="18" t="inlineStr">
        <is>
          <t>家居</t>
        </is>
      </c>
      <c r="K428" s="18" t="inlineStr">
        <is>
          <t>腰部</t>
        </is>
      </c>
      <c r="L428" s="18" t="n">
        <v>57</v>
      </c>
      <c r="M428" s="18" t="inlineStr">
        <is>
          <t>150-2000</t>
        </is>
      </c>
      <c r="N428" s="18" t="inlineStr">
        <is>
          <t>小镇青年
新锐白领
精致妈妈</t>
        </is>
      </c>
      <c r="O428" s="21" t="n">
        <v>0.44</v>
      </c>
      <c r="P428" s="18" t="n">
        <v>525000</v>
      </c>
      <c r="Q428" s="18">
        <f>SUM(Z428*1.05)</f>
        <v/>
      </c>
      <c r="R428" s="20">
        <f>Z428/(AB428+AD428+AC428)</f>
        <v/>
      </c>
      <c r="S428" s="18" t="inlineStr">
        <is>
          <t>视频</t>
        </is>
      </c>
      <c r="T428" s="21" t="n">
        <v>0.7</v>
      </c>
      <c r="U428" s="21" t="n">
        <v>0.32</v>
      </c>
      <c r="V428" s="21" t="n">
        <v>0.45</v>
      </c>
      <c r="W428" s="21" t="n">
        <v>0.08</v>
      </c>
      <c r="X428" s="18" t="n"/>
      <c r="Y428" s="18" t="n"/>
      <c r="Z428" s="18" t="n">
        <v>33800</v>
      </c>
      <c r="AA428" s="154">
        <f>SUM((Z428/P428)*1000)</f>
        <v/>
      </c>
      <c r="AB428" s="18" t="n">
        <v>7064</v>
      </c>
      <c r="AC428" s="18" t="n">
        <v>263</v>
      </c>
      <c r="AD428" s="18" t="n">
        <v>73</v>
      </c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7" t="n"/>
      <c r="AR428" s="7" t="n"/>
    </row>
    <row r="429">
      <c r="A429" s="17" t="n"/>
      <c r="B429" s="18" t="n"/>
      <c r="C429" s="18" t="n"/>
      <c r="D429" s="18" t="inlineStr">
        <is>
          <t>电商</t>
        </is>
      </c>
      <c r="E429" s="32" t="inlineStr">
        <is>
          <t>西门子、卡萨帝爆款商单</t>
        </is>
      </c>
      <c r="F429" s="18" t="inlineStr">
        <is>
          <t>自然女孩nature girl</t>
        </is>
      </c>
      <c r="G429" s="18" t="inlineStr">
        <is>
          <t>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</t>
        </is>
      </c>
      <c r="H429" s="18" t="inlineStr">
        <is>
          <t>https://www.douyin.com/user/MS4wLjABAAAAi5ESFdeQq1Lfu3IoL8O7RDD3wDBZrPzLm22BbHC_PyE</t>
        </is>
      </c>
      <c r="I429" s="18" t="inlineStr">
        <is>
          <t>cykj2019</t>
        </is>
      </c>
      <c r="J429" s="18" t="inlineStr">
        <is>
          <t>家居</t>
        </is>
      </c>
      <c r="K429" s="18" t="inlineStr">
        <is>
          <t>腰部</t>
        </is>
      </c>
      <c r="L429" s="18" t="n">
        <v>200</v>
      </c>
      <c r="M429" s="18" t="inlineStr">
        <is>
          <t>150-2000</t>
        </is>
      </c>
      <c r="N429" s="18" t="inlineStr">
        <is>
          <t>小镇青年
新锐白领
Z世代</t>
        </is>
      </c>
      <c r="O429" s="21" t="n">
        <v>0.35</v>
      </c>
      <c r="P429" s="18" t="n">
        <v>436000</v>
      </c>
      <c r="Q429" s="18">
        <f>SUM(Z429*1.05)</f>
        <v/>
      </c>
      <c r="R429" s="20">
        <f>Z429/(AB429+AD429+AC429)</f>
        <v/>
      </c>
      <c r="S429" s="18" t="inlineStr">
        <is>
          <t>视频</t>
        </is>
      </c>
      <c r="T429" s="21" t="n">
        <v>0.59</v>
      </c>
      <c r="U429" s="21" t="n">
        <v>0.26</v>
      </c>
      <c r="V429" s="21" t="n">
        <v>0.27</v>
      </c>
      <c r="W429" s="21" t="n">
        <v>0.1</v>
      </c>
      <c r="X429" s="18" t="n"/>
      <c r="Y429" s="18" t="n"/>
      <c r="Z429" s="18" t="n">
        <v>60000</v>
      </c>
      <c r="AA429" s="154">
        <f>SUM((Z429/P429)*1000)</f>
        <v/>
      </c>
      <c r="AB429" s="18" t="n">
        <v>27000</v>
      </c>
      <c r="AC429" s="18" t="n">
        <v>535</v>
      </c>
      <c r="AD429" s="18" t="n">
        <v>537</v>
      </c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7" t="n"/>
      <c r="AR429" s="7" t="n"/>
    </row>
    <row r="430">
      <c r="A430" s="17" t="n"/>
      <c r="B430" s="18" t="n"/>
      <c r="C430" s="18" t="n"/>
      <c r="D430" s="18" t="inlineStr">
        <is>
          <t>电商</t>
        </is>
      </c>
      <c r="E430" s="32" t="inlineStr">
        <is>
          <t>多个大家电爆款商单</t>
        </is>
      </c>
      <c r="F430" s="18" t="inlineStr">
        <is>
          <t>江十一</t>
        </is>
      </c>
      <c r="G430" s="18" t="inlineStr">
        <is>
          <t>https://www.xingtu.cn/ad/creator/author-homepage/douyin-video/7495973776300408859?market_track_id=PWQW3OK5VNZ1SLBXNIR0&amp;search_session_id=7611072156659302427&amp;possessStarId</t>
        </is>
      </c>
      <c r="H430" s="18" t="inlineStr">
        <is>
          <t>https://www.douyin.com/user/MS4wLjABAAAAnq7rHHWhn8NtYJqh0PT6cEv-grsVAk9-MV_5DFwB2tX-u92xZiyX2-8drDyBmlL5</t>
        </is>
      </c>
      <c r="I430" s="18" t="inlineStr">
        <is>
          <t>Sasha89160</t>
        </is>
      </c>
      <c r="J430" s="18" t="inlineStr">
        <is>
          <t>非遗</t>
        </is>
      </c>
      <c r="K430" s="18" t="inlineStr">
        <is>
          <t>腰部</t>
        </is>
      </c>
      <c r="L430" s="18" t="n">
        <v>120</v>
      </c>
      <c r="M430" s="18" t="inlineStr">
        <is>
          <t>2000-20000</t>
        </is>
      </c>
      <c r="N430" s="18" t="inlineStr">
        <is>
          <t>小镇青年
新锐白领
精致妈妈</t>
        </is>
      </c>
      <c r="O430" s="21" t="n">
        <v>0.49</v>
      </c>
      <c r="P430" s="18" t="n">
        <v>3154000</v>
      </c>
      <c r="Q430" s="18">
        <f>SUM(Z430*1.05)</f>
        <v/>
      </c>
      <c r="R430" s="20">
        <f>Z430/(AB430+AD430+AC430)</f>
        <v/>
      </c>
      <c r="S430" s="18" t="inlineStr">
        <is>
          <t>视频</t>
        </is>
      </c>
      <c r="T430" s="21" t="n">
        <v>0.59</v>
      </c>
      <c r="U430" s="21" t="n">
        <v>0.25</v>
      </c>
      <c r="V430" s="21" t="n">
        <v>0.43</v>
      </c>
      <c r="W430" s="21" t="n">
        <v>0.13</v>
      </c>
      <c r="X430" s="18" t="n"/>
      <c r="Y430" s="18" t="n"/>
      <c r="Z430" s="18" t="n">
        <v>52000</v>
      </c>
      <c r="AA430" s="154">
        <f>SUM((Z430/P430)*1000)</f>
        <v/>
      </c>
      <c r="AB430" s="18" t="n">
        <v>29000</v>
      </c>
      <c r="AC430" s="18" t="n">
        <v>558</v>
      </c>
      <c r="AD430" s="18" t="n">
        <v>656</v>
      </c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7" t="n"/>
      <c r="AR430" s="7" t="n"/>
    </row>
    <row r="431" ht="24.75" customHeight="1" s="151">
      <c r="A431" s="17" t="n"/>
      <c r="B431" s="18" t="n"/>
      <c r="C431" s="18" t="n"/>
      <c r="D431" s="18" t="inlineStr">
        <is>
          <t>电商</t>
        </is>
      </c>
      <c r="E431" s="32" t="inlineStr">
        <is>
          <t>150平横厅户型家居博主,全屋智能家居家电</t>
        </is>
      </c>
      <c r="F431" s="18" t="inlineStr">
        <is>
          <t>是管管呀</t>
        </is>
      </c>
      <c r="G431" s="18" t="inlineStr">
        <is>
          <t>https://www.xingtu.cn/ad/creator/author-homepage/douyin-video/6944117204090617894?market_track_id=PVVZQQZTA088YGZCZE3M&amp;search_session_id=7615829959416086554&amp;possessStarId</t>
        </is>
      </c>
      <c r="H431" s="18" t="inlineStr">
        <is>
          <t>https://www.douyin.com/user/MS4wLjABAAAAuizX40s-AiiyhJ8OJ2i-rV2hqLjwZX_3PJaczfPMbVJxQShBk98mSmtC11y_wVBd</t>
        </is>
      </c>
      <c r="I431" s="18" t="inlineStr">
        <is>
          <t>guanmengyao20</t>
        </is>
      </c>
      <c r="J431" s="32" t="inlineStr">
        <is>
          <t>家居</t>
        </is>
      </c>
      <c r="K431" s="18" t="inlineStr">
        <is>
          <t>尾部</t>
        </is>
      </c>
      <c r="L431" s="18" t="n">
        <v>33</v>
      </c>
      <c r="M431" s="18" t="inlineStr">
        <is>
          <t>150-2000</t>
        </is>
      </c>
      <c r="N431" s="18" t="inlineStr">
        <is>
          <t>新锐白领
小镇青年
精致妈妈</t>
        </is>
      </c>
      <c r="O431" s="21" t="n">
        <v>0.5</v>
      </c>
      <c r="P431" s="18" t="n">
        <v>1035000</v>
      </c>
      <c r="Q431" s="18">
        <f>SUM(Z431*1.05)</f>
        <v/>
      </c>
      <c r="R431" s="20">
        <f>Z431/(AB431+AD431+AC431)</f>
        <v/>
      </c>
      <c r="S431" s="18" t="inlineStr">
        <is>
          <t>视频</t>
        </is>
      </c>
      <c r="T431" s="21" t="n">
        <v>0.5</v>
      </c>
      <c r="U431" s="21" t="n">
        <v>0.31</v>
      </c>
      <c r="V431" s="21" t="n">
        <v>0.49</v>
      </c>
      <c r="W431" s="21" t="n">
        <v>0.05</v>
      </c>
      <c r="X431" s="18" t="n"/>
      <c r="Y431" s="18" t="n"/>
      <c r="Z431" s="18" t="n">
        <v>26900</v>
      </c>
      <c r="AA431" s="154">
        <f>SUM((Z431/P431)*1000)</f>
        <v/>
      </c>
      <c r="AB431" s="18" t="n">
        <v>7832</v>
      </c>
      <c r="AC431" s="18" t="n">
        <v>222</v>
      </c>
      <c r="AD431" s="18" t="n">
        <v>569</v>
      </c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7" t="n"/>
      <c r="AR431" s="7" t="n"/>
    </row>
    <row r="432">
      <c r="A432" s="17" t="n"/>
      <c r="B432" s="18" t="n"/>
      <c r="C432" s="18" t="n"/>
      <c r="D432" s="18" t="inlineStr">
        <is>
          <t>电商</t>
        </is>
      </c>
      <c r="E432" s="32" t="n"/>
      <c r="F432" s="18" t="inlineStr">
        <is>
          <t>阿福你在干什么</t>
        </is>
      </c>
      <c r="G432" s="18" t="inlineStr">
        <is>
          <t>https://www.xingtu.cn/ad/creator/author-homepage/douyin-video/7443044824921407538?market_track_id=OTDIBZQ2VDQKJ5MLUFVC&amp;search_session_id=7615830546245566491&amp;possessStarId</t>
        </is>
      </c>
      <c r="H432" s="18" t="inlineStr">
        <is>
          <t>https://www.douyin.com/user/MS4wLjABAAAAU1CIlkZD-ncNht3DJ2gyjpQMbJA8cuxm85PhmuFBlH_Xuege6EKfHP7JJ1ejcU0i</t>
        </is>
      </c>
      <c r="I432" s="18" t="inlineStr">
        <is>
          <t>L1129888888</t>
        </is>
      </c>
      <c r="J432" s="32" t="inlineStr">
        <is>
          <t>家居</t>
        </is>
      </c>
      <c r="K432" s="18" t="inlineStr">
        <is>
          <t>腰部</t>
        </is>
      </c>
      <c r="L432" s="18" t="n">
        <v>117</v>
      </c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7" t="n"/>
      <c r="AR432" s="7" t="n"/>
    </row>
    <row r="433" ht="49.5" customHeight="1" s="151">
      <c r="A433" s="17" t="n"/>
      <c r="B433" s="18" t="n"/>
      <c r="C433" s="18" t="n"/>
      <c r="D433" s="18" t="inlineStr">
        <is>
          <t>电商</t>
        </is>
      </c>
      <c r="E433" s="32" t="inlineStr">
        <is>
          <t>三套房装修经验 ，记录130平复式改造，90后懒癌小夫妻，分享懒人家电，装修干货｜好物分享｜生活方式，做你的电子装修姐妹。</t>
        </is>
      </c>
      <c r="F433" s="18" t="inlineStr">
        <is>
          <t>禹大小姐（自装设计师）</t>
        </is>
      </c>
      <c r="G433" s="18" t="inlineStr">
        <is>
          <t>https://www.xingtu.cn/ad/creator/author-homepage/douyin-video/6870170595837870087?market_track_id=3OS0HM7OVN3SYN0IJITL&amp;search_session_id=7617744266638721075&amp;possessStarId</t>
        </is>
      </c>
      <c r="H433" s="18" t="inlineStr">
        <is>
          <t>https://www.douyin.com/user/MS4wLjABAAAAgg2ir5yP1-cMGegOYE0mUsYxlTheyIGyiPXCt9ytyc5FhwYOrI23XXjFQ5J5qI2b</t>
        </is>
      </c>
      <c r="I433" s="18" t="inlineStr">
        <is>
          <t>XIAOYANLLZ</t>
        </is>
      </c>
      <c r="J433" s="18" t="inlineStr">
        <is>
          <t>家居</t>
        </is>
      </c>
      <c r="K433" s="18" t="inlineStr">
        <is>
          <t>腰部</t>
        </is>
      </c>
      <c r="L433" s="18" t="n">
        <v>113</v>
      </c>
      <c r="M433" s="18" t="inlineStr">
        <is>
          <t>2000-20000</t>
        </is>
      </c>
      <c r="N433" s="18" t="inlineStr">
        <is>
          <t>新锐白领
Z时代
小镇青年</t>
        </is>
      </c>
      <c r="O433" s="21" t="n">
        <v>0.3</v>
      </c>
      <c r="P433" s="18" t="n">
        <v>2084000</v>
      </c>
      <c r="Q433" s="18">
        <f>Z433*1.05</f>
        <v/>
      </c>
      <c r="R433" s="20">
        <f>Z433/(AB433+AD433+AC433)</f>
        <v/>
      </c>
      <c r="S433" s="18" t="inlineStr">
        <is>
          <t>视频</t>
        </is>
      </c>
      <c r="T433" s="21" t="n">
        <v>0.27</v>
      </c>
      <c r="U433" s="21" t="n">
        <v>0.25</v>
      </c>
      <c r="V433" s="21" t="n">
        <v>0.23</v>
      </c>
      <c r="W433" s="21" t="n">
        <v>0.07000000000000001</v>
      </c>
      <c r="X433" s="18" t="n"/>
      <c r="Y433" s="18" t="n"/>
      <c r="Z433" s="18" t="n">
        <v>62000</v>
      </c>
      <c r="AA433" s="20">
        <f>Z433/P433*1000</f>
        <v/>
      </c>
      <c r="AB433" s="18" t="n">
        <v>23000</v>
      </c>
      <c r="AC433" s="18" t="n">
        <v>445</v>
      </c>
      <c r="AD433" s="18" t="n">
        <v>1653</v>
      </c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7" t="n"/>
      <c r="AR433" s="7" t="n"/>
    </row>
    <row r="434">
      <c r="A434" s="17" t="n"/>
      <c r="B434" s="18" t="n"/>
      <c r="C434" s="18" t="n"/>
      <c r="D434" s="18" t="inlineStr">
        <is>
          <t>电商</t>
        </is>
      </c>
      <c r="E434" s="32" t="inlineStr">
        <is>
          <t>家居品牌体验达人，专业测评</t>
        </is>
      </c>
      <c r="F434" s="18" t="inlineStr">
        <is>
          <t>小爽的家</t>
        </is>
      </c>
      <c r="G434" s="18" t="inlineStr">
        <is>
          <t>https://www.xingtu.cn/ad/creator/author-homepage/douyin-video/6986059745152991272?market_track_id=L6OVDUJQ4O614ZL9TH2Q&amp;search_session_id=7614028749639303218&amp;possessStarId</t>
        </is>
      </c>
      <c r="H434" s="18" t="inlineStr">
        <is>
          <t>https://www.douyin.com/user/MS4wLjABAAAA0IM_YtJKDo8tVLPsKWnHWVUSQjnHKgZpw0TRsqXB35GlzriFzcns96tjKKRr7WTI</t>
        </is>
      </c>
      <c r="I434" s="18" t="inlineStr">
        <is>
          <t>shuangdejia1</t>
        </is>
      </c>
      <c r="J434" s="18" t="inlineStr">
        <is>
          <t>家居</t>
        </is>
      </c>
      <c r="K434" s="18" t="inlineStr">
        <is>
          <t>尾部</t>
        </is>
      </c>
      <c r="L434" s="18" t="n">
        <v>27</v>
      </c>
      <c r="M434" s="18" t="inlineStr">
        <is>
          <t>150-2000</t>
        </is>
      </c>
      <c r="N434" s="18" t="inlineStr">
        <is>
          <t>精致妈妈
新锐白领
小镇青年</t>
        </is>
      </c>
      <c r="O434" s="21" t="n">
        <v>0.7</v>
      </c>
      <c r="P434" s="18" t="n">
        <v>1072000</v>
      </c>
      <c r="Q434" s="18">
        <f>SUM(Z434*1.05)</f>
        <v/>
      </c>
      <c r="R434" s="20">
        <f>Z434/(AB434+AD434+AC434)</f>
        <v/>
      </c>
      <c r="S434" s="18" t="inlineStr">
        <is>
          <t>视频</t>
        </is>
      </c>
      <c r="T434" s="21" t="n">
        <v>0.86</v>
      </c>
      <c r="U434" s="21" t="n">
        <v>0.3</v>
      </c>
      <c r="V434" s="21" t="n">
        <v>0.55</v>
      </c>
      <c r="W434" s="21" t="n">
        <v>0.09</v>
      </c>
      <c r="X434" s="18" t="n"/>
      <c r="Y434" s="18" t="n"/>
      <c r="Z434" s="18" t="n">
        <v>15800</v>
      </c>
      <c r="AA434" s="154">
        <f>SUM((Z434/P434)*1000)</f>
        <v/>
      </c>
      <c r="AB434" s="18" t="n">
        <v>7966</v>
      </c>
      <c r="AC434" s="18" t="n">
        <v>217</v>
      </c>
      <c r="AD434" s="18" t="n">
        <v>309</v>
      </c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7" t="n"/>
      <c r="AR434" s="7" t="n"/>
    </row>
    <row r="435">
      <c r="A435" s="17" t="n"/>
      <c r="B435" s="18" t="n"/>
      <c r="C435" s="18" t="n"/>
      <c r="D435" s="18" t="inlineStr">
        <is>
          <t>电商</t>
        </is>
      </c>
      <c r="E435" s="32" t="inlineStr">
        <is>
          <t>垂类博主，人群画像适配</t>
        </is>
      </c>
      <c r="F435" s="18" t="inlineStr">
        <is>
          <t>抠门老爸装修记</t>
        </is>
      </c>
      <c r="G435" s="18" t="inlineStr">
        <is>
          <t>https://www.xingtu.cn/ad/creator/author-homepage/douyin-video/7178384753874173987?market_track_id=WQYDLK95ZIKAMRQ6Y2QU&amp;search_session_id=7614026091378180146&amp;possessStarId</t>
        </is>
      </c>
      <c r="H435" s="18" t="inlineStr">
        <is>
          <t>https://www.douyin.com/user/MS4wLjABAAAAGkPRwD17lxAwIwfU_cS_ZCFQDp3onlv7Vt4oWuF3UhNS0eRgdJMLDUx_2-BynGRj</t>
        </is>
      </c>
      <c r="I435" s="18" t="inlineStr">
        <is>
          <t>koumenlaoba666</t>
        </is>
      </c>
      <c r="J435" s="18" t="inlineStr">
        <is>
          <t>家居</t>
        </is>
      </c>
      <c r="K435" s="18" t="inlineStr">
        <is>
          <t>腰部</t>
        </is>
      </c>
      <c r="L435" s="18" t="n">
        <v>87</v>
      </c>
      <c r="M435" s="18" t="inlineStr">
        <is>
          <t>150-2000</t>
        </is>
      </c>
      <c r="N435" s="18" t="inlineStr">
        <is>
          <t>新锐白领
小镇青年
精致妈妈</t>
        </is>
      </c>
      <c r="O435" s="21" t="n">
        <v>0.8100000000000001</v>
      </c>
      <c r="P435" s="18" t="n">
        <v>1481000</v>
      </c>
      <c r="Q435" s="18">
        <f>SUM(Z435*1.05)</f>
        <v/>
      </c>
      <c r="R435" s="20">
        <f>Z435/(AB435+AD435+AC435)</f>
        <v/>
      </c>
      <c r="S435" s="18" t="inlineStr">
        <is>
          <t>视频</t>
        </is>
      </c>
      <c r="T435" s="21" t="n">
        <v>0.82</v>
      </c>
      <c r="U435" s="21" t="n">
        <v>0.38</v>
      </c>
      <c r="V435" s="21" t="n">
        <v>0.53</v>
      </c>
      <c r="W435" s="21" t="n">
        <v>0.03</v>
      </c>
      <c r="X435" s="18" t="n"/>
      <c r="Y435" s="18" t="n"/>
      <c r="Z435" s="18" t="n">
        <v>28000</v>
      </c>
      <c r="AA435" s="154">
        <f>SUM((Z435/P435)*1000)</f>
        <v/>
      </c>
      <c r="AB435" s="22" t="n">
        <v>1271</v>
      </c>
      <c r="AC435" s="18" t="n">
        <v>321</v>
      </c>
      <c r="AD435" s="18" t="n">
        <v>226</v>
      </c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7" t="n"/>
      <c r="AR435" s="7" t="n"/>
    </row>
    <row r="436">
      <c r="A436" s="17" t="n"/>
      <c r="B436" s="18" t="n"/>
      <c r="C436" s="18" t="n"/>
      <c r="D436" s="18" t="inlineStr">
        <is>
          <t>电商</t>
        </is>
      </c>
      <c r="E436" s="32" t="inlineStr">
        <is>
          <t>精致妈妈和新锐白领占比匹配度高</t>
        </is>
      </c>
      <c r="F436" s="18" t="inlineStr">
        <is>
          <t>盐妍 Zoey</t>
        </is>
      </c>
      <c r="G436" s="18" t="inlineStr">
        <is>
          <t>https://www.xingtu.cn/ad/creator/author-homepage/douyin-video/6802523335012909069?market_track_id=EYBQHQN99X2O5Q0DSX1Q&amp;search_session_id=7614014387368149030&amp;possessStarId</t>
        </is>
      </c>
      <c r="H436" s="18" t="inlineStr">
        <is>
          <t>https://www.douyin.com/user/MS4wLjABAAAAISjmopPTsqgdmoF2_63yBDkUBB5dl1JxIS4veijKvu8lHpIfoe697n4IHzQiiL1h</t>
        </is>
      </c>
      <c r="I436" s="18" t="inlineStr">
        <is>
          <t>YanYan_099</t>
        </is>
      </c>
      <c r="J436" s="18" t="inlineStr">
        <is>
          <t>家居</t>
        </is>
      </c>
      <c r="K436" s="18" t="inlineStr">
        <is>
          <t>头部</t>
        </is>
      </c>
      <c r="L436" s="18" t="n">
        <v>627</v>
      </c>
      <c r="M436" s="18" t="inlineStr">
        <is>
          <t>2000-20000</t>
        </is>
      </c>
      <c r="N436" s="18" t="inlineStr">
        <is>
          <t>新锐白领
精致妈妈
小镇青年</t>
        </is>
      </c>
      <c r="O436" s="21" t="n">
        <v>0.55</v>
      </c>
      <c r="P436" s="18" t="n">
        <v>1898000</v>
      </c>
      <c r="Q436" s="18">
        <f>SUM(Z436*1.05)</f>
        <v/>
      </c>
      <c r="R436" s="20">
        <f>Z436/(AB436+AD436+AC436)</f>
        <v/>
      </c>
      <c r="S436" s="18" t="inlineStr">
        <is>
          <t>视频</t>
        </is>
      </c>
      <c r="T436" s="21" t="n">
        <v>0.88</v>
      </c>
      <c r="U436" s="21" t="n">
        <v>0.32</v>
      </c>
      <c r="V436" s="21" t="n">
        <v>0.43</v>
      </c>
      <c r="W436" s="21" t="n">
        <v>0.03</v>
      </c>
      <c r="X436" s="18" t="n"/>
      <c r="Y436" s="18" t="n"/>
      <c r="Z436" s="18" t="n">
        <v>105000</v>
      </c>
      <c r="AA436" s="154">
        <f>SUM((Z436/P436)*1000)</f>
        <v/>
      </c>
      <c r="AB436" s="18" t="n">
        <v>49000</v>
      </c>
      <c r="AC436" s="18" t="n">
        <v>695</v>
      </c>
      <c r="AD436" s="18" t="n">
        <v>911</v>
      </c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7" t="n"/>
      <c r="AR436" s="7" t="n"/>
    </row>
    <row r="437">
      <c r="A437" s="17" t="n"/>
      <c r="B437" s="18" t="n"/>
      <c r="C437" s="18" t="n"/>
      <c r="D437" s="18" t="inlineStr">
        <is>
          <t>电商</t>
        </is>
      </c>
      <c r="E437" s="32" t="inlineStr">
        <is>
          <t xml:space="preserve"> 装修避坑｜家居分享｜好物测评</t>
        </is>
      </c>
      <c r="F437" s="18" t="inlineStr">
        <is>
          <t>小康家装日记</t>
        </is>
      </c>
      <c r="G437" s="18" t="inlineStr">
        <is>
          <t>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</t>
        </is>
      </c>
      <c r="H437" s="18" t="inlineStr">
        <is>
          <t>https://www.douyin.com/user/MS4wLjABAAAAc5kxst574ZOPmOCPOBZeuzPkfjqvCtEGcCL3rqLzrQI</t>
        </is>
      </c>
      <c r="I437" s="18" t="n">
        <v>28933287429</v>
      </c>
      <c r="J437" s="18" t="inlineStr">
        <is>
          <t>家居</t>
        </is>
      </c>
      <c r="K437" s="18" t="inlineStr">
        <is>
          <t>尾部</t>
        </is>
      </c>
      <c r="L437" s="18" t="n">
        <v>14</v>
      </c>
      <c r="M437" s="18" t="inlineStr">
        <is>
          <t>150-2000</t>
        </is>
      </c>
      <c r="N437" s="18" t="inlineStr">
        <is>
          <t>小镇青年
精致妈妈
新锐白领</t>
        </is>
      </c>
      <c r="O437" s="21" t="n">
        <v>0.48</v>
      </c>
      <c r="P437" s="18" t="n">
        <v>194000</v>
      </c>
      <c r="Q437" s="18">
        <f>SUM(Z437*1.05)</f>
        <v/>
      </c>
      <c r="R437" s="20">
        <f>Z437/(AB437+AD437+AC437)</f>
        <v/>
      </c>
      <c r="S437" s="18" t="inlineStr">
        <is>
          <t>视频</t>
        </is>
      </c>
      <c r="T437" s="21" t="n">
        <v>0.64</v>
      </c>
      <c r="U437" s="21" t="n">
        <v>0.32</v>
      </c>
      <c r="V437" s="21" t="n">
        <v>0.41</v>
      </c>
      <c r="W437" s="21" t="n">
        <v>0.11</v>
      </c>
      <c r="X437" s="18" t="n"/>
      <c r="Y437" s="18" t="n"/>
      <c r="Z437" s="18" t="n">
        <v>11000</v>
      </c>
      <c r="AA437" s="154">
        <f>SUM((Z437/P437)*1000)</f>
        <v/>
      </c>
      <c r="AB437" s="22" t="n">
        <v>1691</v>
      </c>
      <c r="AC437" s="18" t="n">
        <v>81</v>
      </c>
      <c r="AD437" s="18" t="n">
        <v>331</v>
      </c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7" t="n"/>
      <c r="AR437" s="7" t="n"/>
    </row>
    <row r="438">
      <c r="A438" s="17" t="n"/>
      <c r="B438" s="18" t="n"/>
      <c r="C438" s="18" t="n"/>
      <c r="D438" s="18" t="inlineStr">
        <is>
          <t>电商</t>
        </is>
      </c>
      <c r="E438" s="32" t="inlineStr">
        <is>
          <t>A3指数和精致妈妈占比高</t>
        </is>
      </c>
      <c r="F438" s="18" t="inlineStr">
        <is>
          <t>有福的方慧珍</t>
        </is>
      </c>
      <c r="G438" s="18" t="inlineStr">
        <is>
          <t>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</t>
        </is>
      </c>
      <c r="H438" s="18" t="inlineStr">
        <is>
          <t>https://www.douyin.com/user/MS4wLjABAAAAIOpleKo7Lc3cla1Wa0km2Zx-rz5yHAufN_c36E1LY6M</t>
        </is>
      </c>
      <c r="I438" s="18" t="n">
        <v>31570523440</v>
      </c>
      <c r="J438" s="18" t="inlineStr">
        <is>
          <t>美食</t>
        </is>
      </c>
      <c r="K438" s="18" t="inlineStr">
        <is>
          <t>腰部</t>
        </is>
      </c>
      <c r="L438" s="18" t="n">
        <v>68</v>
      </c>
      <c r="M438" s="18" t="inlineStr">
        <is>
          <t>100000+</t>
        </is>
      </c>
      <c r="N438" s="18" t="inlineStr">
        <is>
          <t>新锐白领
精致妈妈
小镇青年</t>
        </is>
      </c>
      <c r="O438" s="21" t="n">
        <v>0.52</v>
      </c>
      <c r="P438" s="18" t="n">
        <v>1169000</v>
      </c>
      <c r="Q438" s="18">
        <f>SUM(Z438*1.05)</f>
        <v/>
      </c>
      <c r="R438" s="20">
        <f>Z438/(AB438+AD438+AC438)</f>
        <v/>
      </c>
      <c r="S438" s="18" t="inlineStr">
        <is>
          <t>视频</t>
        </is>
      </c>
      <c r="T438" s="21" t="n">
        <v>0.78</v>
      </c>
      <c r="U438" s="21" t="n">
        <v>0.4</v>
      </c>
      <c r="V438" s="21" t="n">
        <v>0.38</v>
      </c>
      <c r="W438" s="21" t="n">
        <v>0.06</v>
      </c>
      <c r="X438" s="18" t="n"/>
      <c r="Y438" s="18" t="n"/>
      <c r="Z438" s="18" t="n">
        <v>60000</v>
      </c>
      <c r="AA438" s="154">
        <f>SUM((Z438/P438)*1000)</f>
        <v/>
      </c>
      <c r="AB438" s="18" t="n">
        <v>19000</v>
      </c>
      <c r="AC438" s="18" t="n">
        <v>1073</v>
      </c>
      <c r="AD438" s="18" t="n">
        <v>2754</v>
      </c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7" t="n"/>
      <c r="AR438" s="7" t="n"/>
    </row>
    <row r="439" ht="24.75" customHeight="1" s="151">
      <c r="A439" s="17" t="n"/>
      <c r="B439" s="18" t="n"/>
      <c r="C439" s="18" t="n"/>
      <c r="D439" s="18" t="inlineStr">
        <is>
          <t>电商</t>
        </is>
      </c>
      <c r="E439" s="32" t="inlineStr">
        <is>
          <t xml:space="preserve">180方江景大平层 记录美好 分享美好 </t>
        </is>
      </c>
      <c r="F439" s="18" t="inlineStr">
        <is>
          <t>泽泽的小窝</t>
        </is>
      </c>
      <c r="G439" s="18" t="inlineStr">
        <is>
          <t>https://www.xingtu.cn/ad/creator/author-homepage/douyin-video/7215493945617285157?market_track_id=218B8CCHGQ6LX2E927X2&amp;search_session_id=7618538479689236490&amp;possessStarId</t>
        </is>
      </c>
      <c r="H439" s="18" t="inlineStr">
        <is>
          <t>https://www.douyin.com/user/MS4wLjABAAAAeRcCWOoVolGsaG8TNTRr_lvHdNa_8HS4ujX9IwgdZAZk-kZPXaVbuDXzy1BAXc4j</t>
        </is>
      </c>
      <c r="I439" s="18" t="n">
        <v>84493617529</v>
      </c>
      <c r="J439" s="18" t="inlineStr">
        <is>
          <t>家居</t>
        </is>
      </c>
      <c r="K439" s="18" t="inlineStr">
        <is>
          <t>腰部</t>
        </is>
      </c>
      <c r="L439" s="18" t="n">
        <v>44</v>
      </c>
      <c r="M439" s="18" t="inlineStr">
        <is>
          <t>150-2000</t>
        </is>
      </c>
      <c r="N439" s="18" t="inlineStr">
        <is>
          <t>小镇青年
都市蓝领
新锐白领</t>
        </is>
      </c>
      <c r="O439" s="21" t="n">
        <v>0.33</v>
      </c>
      <c r="P439" s="18" t="n">
        <v>836000</v>
      </c>
      <c r="Q439" s="18">
        <f>Z439*1.05</f>
        <v/>
      </c>
      <c r="R439" s="20">
        <f>Z439/(AB439+AD439+AC439)</f>
        <v/>
      </c>
      <c r="S439" s="21" t="inlineStr">
        <is>
          <t>视频</t>
        </is>
      </c>
      <c r="T439" s="21" t="n">
        <v>0.59</v>
      </c>
      <c r="U439" s="21" t="n">
        <v>0.28</v>
      </c>
      <c r="V439" s="21" t="n">
        <v>0.53</v>
      </c>
      <c r="W439" s="21" t="n">
        <v>0.07000000000000001</v>
      </c>
      <c r="X439" s="18" t="n"/>
      <c r="Y439" s="18" t="n"/>
      <c r="Z439" s="18" t="n">
        <v>25800</v>
      </c>
      <c r="AA439" s="154">
        <f>SUM((Z439/P439)*1000)</f>
        <v/>
      </c>
      <c r="AB439" s="18" t="n">
        <v>6368</v>
      </c>
      <c r="AC439" s="18" t="n">
        <v>254</v>
      </c>
      <c r="AD439" s="18" t="n">
        <v>297</v>
      </c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7" t="n"/>
      <c r="AR439" s="7" t="n"/>
    </row>
    <row r="440">
      <c r="A440" s="76" t="n"/>
      <c r="B440" s="76" t="n"/>
      <c r="C440" s="76" t="n"/>
      <c r="D440" s="76" t="n"/>
      <c r="E440" s="76" t="n"/>
      <c r="F440" s="76" t="n"/>
      <c r="G440" s="76" t="n"/>
      <c r="H440" s="76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  <c r="AA440" s="76" t="n"/>
      <c r="AB440" s="76" t="n"/>
      <c r="AC440" s="76" t="n"/>
      <c r="AD440" s="76" t="n"/>
      <c r="AE440" s="76" t="n"/>
      <c r="AF440" s="76" t="n"/>
      <c r="AG440" s="76" t="n"/>
      <c r="AH440" s="76" t="n"/>
      <c r="AI440" s="76" t="n"/>
      <c r="AJ440" s="76" t="n"/>
      <c r="AK440" s="76" t="n"/>
      <c r="AL440" s="76" t="n"/>
      <c r="AM440" s="76" t="n"/>
      <c r="AN440" s="76" t="n"/>
      <c r="AO440" s="76" t="n"/>
      <c r="AP440" s="76" t="n"/>
      <c r="AQ440" s="76" t="n"/>
      <c r="AR440" s="76" t="n"/>
    </row>
    <row r="441" ht="34.9" customHeight="1" s="151">
      <c r="A441" s="78" t="n">
        <v>46104</v>
      </c>
      <c r="B441" s="16" t="n"/>
      <c r="C441" s="16" t="n"/>
      <c r="D441" s="16" t="n"/>
      <c r="E441" s="79" t="inlineStr">
        <is>
          <t>大家好，我是阿宁~欢迎来到我的小家🚪 137㎡「三室」改「两室」 一家三口👨🏻👩🏻👧🏻和一只柯基的小日子</t>
        </is>
      </c>
      <c r="F441" s="80" t="inlineStr">
        <is>
          <t>阿宁家</t>
        </is>
      </c>
      <c r="G441" s="81" t="inlineStr">
        <is>
          <t>https://www.xingtu.cn/ad/creator/author/douyin/6870163126906519565/1?market_track_id=KAW3G5XX7Q647JIVPTLI&amp;search_session_id=7452273290539925543&amp;video_type=2&amp;_route_from=from_page%3DMarket%26search_session_id%3D7452273290539925543%26is_for_order%3D1%26market_track_id%3DKAW3G5XX7Q647JIVPTLI%26platform_source%3D1%26key%3D%25E9%2598%25BF%25E5%25AE%2581%25E5%25AE%25B6%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</t>
        </is>
      </c>
      <c r="H441" s="81" t="inlineStr">
        <is>
          <t>https://www.douyin.com/user/MS4wLjABAAAAytQ5bEH0kqRGdZKusd4gNP8-Hpu2cStRb0eBe4zkekw?relation=0&amp;vid=7402991638194244914</t>
        </is>
      </c>
      <c r="I441" s="82" t="inlineStr">
        <is>
          <t>HCJ425888</t>
        </is>
      </c>
      <c r="J441" s="83" t="inlineStr">
        <is>
          <t>生活家居
好物分享</t>
        </is>
      </c>
      <c r="K441" s="83" t="inlineStr">
        <is>
          <t>腰尾</t>
        </is>
      </c>
      <c r="L441" s="83" t="inlineStr">
        <is>
          <t>生活家居
好物分享</t>
        </is>
      </c>
      <c r="M441" s="83" t="n"/>
      <c r="N441" s="83" t="inlineStr">
        <is>
          <t>新锐白领/小镇青年/都市蓝领</t>
        </is>
      </c>
      <c r="O441" s="84" t="n">
        <v>0.37</v>
      </c>
      <c r="P441" s="83" t="n">
        <v>3000000</v>
      </c>
      <c r="Q441" s="83" t="n">
        <v>47250</v>
      </c>
      <c r="R441" s="85">
        <f>Z441/(AB441+AC441+AD441)</f>
        <v/>
      </c>
      <c r="S441" s="83" t="inlineStr">
        <is>
          <t>视频</t>
        </is>
      </c>
      <c r="T441" s="86" t="n">
        <v>0.793</v>
      </c>
      <c r="U441" s="87" t="n">
        <v>0.173</v>
      </c>
      <c r="V441" s="88" t="n">
        <v>0.443</v>
      </c>
      <c r="W441" s="88" t="n">
        <v>0.205</v>
      </c>
      <c r="X441" s="7" t="n"/>
      <c r="Y441" s="7" t="n"/>
      <c r="Z441" s="162" t="n">
        <v>45000</v>
      </c>
      <c r="AA441" s="90">
        <f>Z441/P441*1000</f>
        <v/>
      </c>
      <c r="AB441" s="16" t="n">
        <v>15000</v>
      </c>
      <c r="AC441" s="16" t="n">
        <v>1400</v>
      </c>
      <c r="AD441" s="16" t="n">
        <v>520</v>
      </c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</row>
    <row r="442" ht="58.15" customHeight="1" s="151">
      <c r="A442" s="78" t="n">
        <v>46104</v>
      </c>
      <c r="B442" s="16" t="n"/>
      <c r="C442" s="16" t="n"/>
      <c r="D442" s="16" t="n"/>
      <c r="E442" s="79" t="inlineStr">
        <is>
          <t>【专注家居测评，帮你避坑省钱！】 实测热门家具/家电，拆解套路，拒绝智商税！ 从选购技巧到使用痛点，用硬核对比让你少花冤枉钱。 关注我，家居小白也能秒变达人！</t>
        </is>
      </c>
      <c r="F442" s="80" t="inlineStr">
        <is>
          <t>奥奥冲鸭（测评版）</t>
        </is>
      </c>
      <c r="G442" s="81" t="inlineStr">
        <is>
          <t>https://www.xingtu.cn/ad/creator/author-homepage/douyin-video/7545034640386424882?market_track_id=16N2Q1K7O61F6E8ADYJV&amp;search_session_id=7563196124620455945&amp;possessStarId</t>
        </is>
      </c>
      <c r="H442" s="81" t="inlineStr">
        <is>
          <t>https://www.xingtu.cn/ad/creator/author-homepage/douyin-video/7545034640386424882?market_track_id=16N2Q1K7O61F6E8ADYJV&amp;search_session_id=7563196124620455945&amp;possessStarId</t>
        </is>
      </c>
      <c r="I442" s="83" t="inlineStr">
        <is>
          <t>aoaochongya0901</t>
        </is>
      </c>
      <c r="J442" s="83" t="inlineStr">
        <is>
          <t>生活家居
好物分享</t>
        </is>
      </c>
      <c r="K442" s="83" t="inlineStr">
        <is>
          <t>腰尾</t>
        </is>
      </c>
      <c r="L442" s="83" t="inlineStr">
        <is>
          <t>生活家居
好物分享</t>
        </is>
      </c>
      <c r="M442" s="83" t="n"/>
      <c r="N442" s="83" t="inlineStr">
        <is>
          <t>小镇青年/精致妈妈/新锐白领</t>
        </is>
      </c>
      <c r="O442" s="84" t="n">
        <v>0.48</v>
      </c>
      <c r="P442" s="83" t="n">
        <v>600000</v>
      </c>
      <c r="Q442" s="83" t="n">
        <v>41790</v>
      </c>
      <c r="R442" s="85">
        <f>Z442/(AB442+AC442+AD442)</f>
        <v/>
      </c>
      <c r="S442" s="83" t="inlineStr">
        <is>
          <t>视频</t>
        </is>
      </c>
      <c r="T442" s="86" t="n">
        <v>0.758</v>
      </c>
      <c r="U442" s="87" t="n">
        <v>0.202</v>
      </c>
      <c r="V442" s="91" t="n">
        <v>0.492</v>
      </c>
      <c r="W442" s="91" t="n">
        <v>0.193</v>
      </c>
      <c r="X442" s="7" t="n"/>
      <c r="Y442" s="7" t="n"/>
      <c r="Z442" s="162" t="n">
        <v>39800</v>
      </c>
      <c r="AA442" s="90">
        <f>Z442/P442*1000</f>
        <v/>
      </c>
      <c r="AB442" s="16" t="n">
        <v>16000</v>
      </c>
      <c r="AC442" s="16" t="n">
        <v>550</v>
      </c>
      <c r="AD442" s="16" t="n">
        <v>240</v>
      </c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</row>
    <row r="443" ht="69.75" customHeight="1" s="151">
      <c r="A443" s="78" t="n">
        <v>46104</v>
      </c>
      <c r="B443" s="16" t="n"/>
      <c r="C443" s="16" t="n"/>
      <c r="D443" s="16" t="n"/>
      <c r="E443" s="79" t="inlineStr">
        <is>
          <t>品牌设计师&amp;插画师，
VLOG｜家居美学｜好物分享｜设计分享 ｜宝妈 🤎
单身单亲妈妈，新一线城市法式500平别墅装修风格，独居日常健康生活，美食家居，高品质生活为主</t>
        </is>
      </c>
      <c r="F443" s="83" t="inlineStr">
        <is>
          <t>陳圈圈Circle</t>
        </is>
      </c>
      <c r="G443" s="81" t="inlineStr">
        <is>
          <t>https://www.xingtu.cn/ad/creator/author/douyin/7402525764085612582/1?market_track_id=8YOQPT3XCI1X4KYLETPT&amp;search_session_id=7452914367039045641&amp;video_type=2&amp;_route_from=from_page%3DMarket%26search_session_id%3D7452914367039045641%26is_for_order%3D1%26market_track_id%3D8YOQPT3XCI1X4KYLETPT%26platform_source%3D1%26key%3D%25E9%2599%25B3%25E5%259C%2588%25E5%259C%2588Circle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</t>
        </is>
      </c>
      <c r="H443" s="81" t="inlineStr">
        <is>
          <t>https://v.douyin.com/ihesUdvA/</t>
        </is>
      </c>
      <c r="I443" s="82" t="inlineStr">
        <is>
          <t>MaLing12266</t>
        </is>
      </c>
      <c r="J443" s="83" t="inlineStr">
        <is>
          <t>生活家居
好物分享</t>
        </is>
      </c>
      <c r="K443" s="83" t="inlineStr">
        <is>
          <t>腰尾</t>
        </is>
      </c>
      <c r="L443" s="83" t="inlineStr">
        <is>
          <t>生活家居
好物分享</t>
        </is>
      </c>
      <c r="M443" s="83" t="n"/>
      <c r="N443" s="83" t="inlineStr">
        <is>
          <t>小镇青年/Z时代/新锐白领</t>
        </is>
      </c>
      <c r="O443" s="84" t="n">
        <v>0.26</v>
      </c>
      <c r="P443" s="83" t="n">
        <v>1000000</v>
      </c>
      <c r="Q443" s="83" t="n">
        <v>70140</v>
      </c>
      <c r="R443" s="85">
        <f>Z443/(AB443+AC443+AD443)</f>
        <v/>
      </c>
      <c r="S443" s="83" t="inlineStr">
        <is>
          <t>视频</t>
        </is>
      </c>
      <c r="T443" s="86" t="n">
        <v>0.436</v>
      </c>
      <c r="U443" s="92" t="n">
        <v>0.18</v>
      </c>
      <c r="V443" s="93" t="n">
        <v>0.3</v>
      </c>
      <c r="W443" s="93" t="n">
        <v>0.13</v>
      </c>
      <c r="X443" s="7" t="n"/>
      <c r="Y443" s="7" t="n"/>
      <c r="Z443" s="162" t="n">
        <v>66800</v>
      </c>
      <c r="AA443" s="90">
        <f>Z443/P443*1000</f>
        <v/>
      </c>
      <c r="AB443" s="16" t="n">
        <v>15000</v>
      </c>
      <c r="AC443" s="16" t="n">
        <v>300</v>
      </c>
      <c r="AD443" s="16" t="n">
        <v>500</v>
      </c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</row>
    <row r="444" ht="34.9" customHeight="1" s="151">
      <c r="A444" s="78" t="n">
        <v>46104</v>
      </c>
      <c r="B444" s="16" t="n"/>
      <c r="C444" s="16" t="n"/>
      <c r="D444" s="16" t="n"/>
      <c r="E444" s="79" t="inlineStr">
        <is>
          <t>家居分享 ｜记录生活｜日常vlog｜亲子生活
一家三口的极简2房100平小复式</t>
        </is>
      </c>
      <c r="F444" s="94" t="inlineStr">
        <is>
          <t>花麦麦的家</t>
        </is>
      </c>
      <c r="G444" s="95" t="inlineStr">
        <is>
          <t>https://www.xingtu.cn/ad/creator/author-homepage/douyin-video/7367182371520512037?market_track_id=QVGTVKO1HDURGRRZMCZ1&amp;search_session_id=7584997171079807002&amp;possessStarId</t>
        </is>
      </c>
      <c r="H444" s="96" t="inlineStr">
        <is>
          <t>https://www.douyin.com/user/MS4wLjABAAAASXNhw5qC3BgFGgRjVaj_KUtNG0sb1r1fHNwNFtfGrac</t>
        </is>
      </c>
      <c r="I444" s="97" t="n">
        <v>85693513602</v>
      </c>
      <c r="J444" s="97" t="inlineStr">
        <is>
          <t>生活家居
好物推荐</t>
        </is>
      </c>
      <c r="K444" s="83" t="inlineStr">
        <is>
          <t>腰尾</t>
        </is>
      </c>
      <c r="L444" s="83" t="inlineStr">
        <is>
          <t>生活家居
好物推荐</t>
        </is>
      </c>
      <c r="M444" s="83" t="n"/>
      <c r="N444" s="83" t="inlineStr">
        <is>
          <t>都市蓝领/新锐白领/Z世代</t>
        </is>
      </c>
      <c r="O444" s="84" t="n">
        <v>0.35</v>
      </c>
      <c r="P444" s="83" t="n">
        <v>960000</v>
      </c>
      <c r="Q444" s="83" t="n">
        <v>45990</v>
      </c>
      <c r="R444" s="85">
        <f>Z444/(AB444+AC444+AD444)</f>
        <v/>
      </c>
      <c r="S444" s="83" t="inlineStr">
        <is>
          <t>视频</t>
        </is>
      </c>
      <c r="T444" s="87" t="n">
        <v>0.625</v>
      </c>
      <c r="U444" s="98" t="n">
        <v>0.28</v>
      </c>
      <c r="V444" s="93" t="n">
        <v>0.31</v>
      </c>
      <c r="W444" s="93" t="n">
        <v>0.13</v>
      </c>
      <c r="X444" s="7" t="n"/>
      <c r="Y444" s="7" t="n"/>
      <c r="Z444" s="162" t="n">
        <v>43800</v>
      </c>
      <c r="AA444" s="90">
        <f>Z444/P444*1000</f>
        <v/>
      </c>
      <c r="AB444" s="16" t="n">
        <v>15000</v>
      </c>
      <c r="AC444" s="16" t="n">
        <v>300</v>
      </c>
      <c r="AD444" s="16" t="n">
        <v>500</v>
      </c>
    </row>
    <row r="445" ht="34.9" customHeight="1" s="151">
      <c r="A445" s="78" t="n">
        <v>46104</v>
      </c>
      <c r="B445" s="16" t="n"/>
      <c r="C445" s="16" t="n"/>
      <c r="D445" s="16" t="n"/>
      <c r="E445" s="79" t="inlineStr">
        <is>
          <t>💑95后已婚无娃➕2猫
🏠建面120套内101
💡套三改套二</t>
        </is>
      </c>
      <c r="F445" s="94" t="inlineStr">
        <is>
          <t>小叮当的家🏠</t>
        </is>
      </c>
      <c r="G445" s="99" t="inlineStr">
        <is>
          <t>https://www.xingtu.cn/ad/creator/author-homepage/douyin-video/7367283661231620123?market_track_id=8Q9PE8BDFU6R649W6A60&amp;search_session_id=7584998289569841203&amp;possessStarId</t>
        </is>
      </c>
      <c r="H445" s="96" t="inlineStr">
        <is>
          <t>https://www.douyin.com/user/MS4wLjABAAAAu6mKtM9F4csuK9rrcXZzgMLlYL8-_BTCTm_QiMRe29bFNzJE0h5FtlHGHla_3gVC</t>
        </is>
      </c>
      <c r="I445" s="97" t="inlineStr">
        <is>
          <t>xiaodingdang5990</t>
        </is>
      </c>
      <c r="J445" s="97" t="inlineStr">
        <is>
          <t>生活家居
好物推荐</t>
        </is>
      </c>
      <c r="K445" s="83" t="inlineStr">
        <is>
          <t>腰尾</t>
        </is>
      </c>
      <c r="L445" s="83" t="inlineStr">
        <is>
          <t>生活家居
好物推荐</t>
        </is>
      </c>
      <c r="M445" s="83" t="n"/>
      <c r="N445" s="83" t="inlineStr">
        <is>
          <t>新锐白领/小镇青年/资深中产</t>
        </is>
      </c>
      <c r="O445" s="84" t="n">
        <v>0.57</v>
      </c>
      <c r="P445" s="83" t="n">
        <v>380000</v>
      </c>
      <c r="Q445" s="83" t="n">
        <v>27300</v>
      </c>
      <c r="R445" s="85">
        <f>Z445/(AB445+AC445+AD445)</f>
        <v/>
      </c>
      <c r="S445" s="83" t="inlineStr">
        <is>
          <t>视频</t>
        </is>
      </c>
      <c r="T445" s="87" t="n">
        <v>0.184</v>
      </c>
      <c r="U445" s="98" t="n">
        <v>0.24</v>
      </c>
      <c r="V445" s="93" t="n">
        <v>0.48</v>
      </c>
      <c r="W445" s="93" t="n">
        <v>0.19</v>
      </c>
      <c r="X445" s="7" t="n"/>
      <c r="Y445" s="7" t="n"/>
      <c r="Z445" s="162" t="n">
        <v>26000</v>
      </c>
      <c r="AA445" s="90">
        <f>Z445/P445*1000</f>
        <v/>
      </c>
      <c r="AB445" s="16" t="n">
        <v>15000</v>
      </c>
      <c r="AC445" s="16" t="n">
        <v>300</v>
      </c>
      <c r="AD445" s="16" t="n">
        <v>500</v>
      </c>
    </row>
    <row r="446" ht="26.25" customHeight="1" s="151">
      <c r="A446" s="78" t="n">
        <v>46104</v>
      </c>
      <c r="B446" s="16" t="n"/>
      <c r="C446" s="16" t="n"/>
      <c r="D446" s="16" t="n"/>
      <c r="E446" s="79" t="inlineStr">
        <is>
          <t>◾️ 装修｜家居｜生活｜vlog
◾️ 全职宝妈 • 𝐈𝐍𝐅𝐏 • 兼职博主</t>
        </is>
      </c>
      <c r="F446" s="94" t="inlineStr">
        <is>
          <t>六六Liushiliuer</t>
        </is>
      </c>
      <c r="G446" s="95" t="inlineStr">
        <is>
          <t>https://www.xingtu.cn/ad/creator/author-homepage/douyin-video/7314592158177198117?market_track_id=IJJ5QQUKHFASAQSW1XMW&amp;search_session_id=7584998942632181770&amp;possessStarId</t>
        </is>
      </c>
      <c r="H446" s="96" t="inlineStr">
        <is>
          <t>https://www.douyin.com/user/MS4wLjABAAAAhWpMzXpJ-npOS91mD-0ReHBMUhhjQhEcLB9oM1-N5Mw</t>
        </is>
      </c>
      <c r="I446" s="97" t="inlineStr">
        <is>
          <t>lsle123.</t>
        </is>
      </c>
      <c r="J446" s="97" t="inlineStr">
        <is>
          <t>生活家居
好物推荐</t>
        </is>
      </c>
      <c r="K446" s="83" t="inlineStr">
        <is>
          <t>腰尾</t>
        </is>
      </c>
      <c r="L446" s="83" t="inlineStr">
        <is>
          <t>生活家居
好物推荐</t>
        </is>
      </c>
      <c r="M446" s="83" t="n"/>
      <c r="N446" s="83" t="inlineStr">
        <is>
          <t>新锐白领/小镇青年/都市蓝领</t>
        </is>
      </c>
      <c r="O446" s="84" t="n">
        <v>0.52</v>
      </c>
      <c r="P446" s="83" t="n">
        <v>480000</v>
      </c>
      <c r="Q446" s="83" t="n">
        <v>34440</v>
      </c>
      <c r="R446" s="85">
        <f>Z446/(AB446+AC446+AD446)</f>
        <v/>
      </c>
      <c r="S446" s="83" t="inlineStr">
        <is>
          <t>视频</t>
        </is>
      </c>
      <c r="T446" s="87" t="n">
        <v>0.236</v>
      </c>
      <c r="U446" s="98" t="n">
        <v>0.39</v>
      </c>
      <c r="V446" s="93" t="n">
        <v>0.3</v>
      </c>
      <c r="W446" s="91" t="n">
        <v>0.063</v>
      </c>
      <c r="X446" s="7" t="n"/>
      <c r="Y446" s="7" t="n"/>
      <c r="Z446" s="162" t="n">
        <v>32800</v>
      </c>
      <c r="AA446" s="90">
        <f>Z446/P446*1000</f>
        <v/>
      </c>
      <c r="AB446" s="16" t="n">
        <v>15000</v>
      </c>
      <c r="AC446" s="16" t="n">
        <v>300</v>
      </c>
      <c r="AD446" s="16" t="n">
        <v>500</v>
      </c>
    </row>
    <row r="447" ht="26.25" customHeight="1" s="151">
      <c r="A447" s="78" t="n">
        <v>46104</v>
      </c>
      <c r="B447" s="16" t="n"/>
      <c r="C447" s="16" t="n"/>
      <c r="D447" s="16" t="n"/>
      <c r="E447" s="79" t="inlineStr">
        <is>
          <t>家居美学｜改造diy｜有猫的快乐生活</t>
        </is>
      </c>
      <c r="F447" s="83" t="inlineStr">
        <is>
          <t>原来是丁丁当啊</t>
        </is>
      </c>
      <c r="G447" s="81" t="inlineStr">
        <is>
          <t>https://www.xingtu.cn/ad/creator/author/douyin/7408026282077716490/1?market_track_id=JWQ91YYAU1AB6YGYR0S3&amp;search_session_id=7452914678520741926&amp;video_type=2&amp;_route_from=from_page%3DMarket%26search_session_id%3D7452914678520741926%26is_for_order%3D1%26market_track_id%3DJWQ91YYAU1AB6YGYR0S3%26platform_source%3D1%26key%3D%25E5%258E%259F%25E6%259D%25A5%25E6%2598%25AF%25E4%25B8%2581%25E4%25B8%2581%25E5%25BD%2593%25E5%2595%258A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</t>
        </is>
      </c>
      <c r="H447" s="81" t="inlineStr">
        <is>
          <t>https://v.douyin.com/iBePRswf/</t>
        </is>
      </c>
      <c r="I447" s="83" t="inlineStr">
        <is>
          <t>wuyeskong</t>
        </is>
      </c>
      <c r="J447" s="83" t="inlineStr">
        <is>
          <t>生活家居
好物分享</t>
        </is>
      </c>
      <c r="K447" s="83" t="inlineStr">
        <is>
          <t>腰尾</t>
        </is>
      </c>
      <c r="L447" s="83" t="inlineStr">
        <is>
          <t>生活家居
好物分享</t>
        </is>
      </c>
      <c r="M447" s="83" t="n"/>
      <c r="N447" s="83" t="inlineStr">
        <is>
          <t>都市银发/小镇青年/小镇中老年</t>
        </is>
      </c>
      <c r="O447" s="84" t="n">
        <v>0.22</v>
      </c>
      <c r="P447" s="83" t="n">
        <v>914000</v>
      </c>
      <c r="Q447" s="83" t="n">
        <v>57750</v>
      </c>
      <c r="R447" s="85">
        <f>Z447/(AB447+AC447+AD447)</f>
        <v/>
      </c>
      <c r="S447" s="83" t="inlineStr">
        <is>
          <t>视频</t>
        </is>
      </c>
      <c r="T447" s="86" t="n">
        <v>0.677</v>
      </c>
      <c r="U447" s="100" t="n">
        <v>0.1</v>
      </c>
      <c r="V447" s="101" t="n">
        <v>0.27</v>
      </c>
      <c r="W447" s="101" t="n">
        <v>0.21</v>
      </c>
      <c r="X447" s="7" t="n"/>
      <c r="Y447" s="7" t="n"/>
      <c r="Z447" s="162" t="n">
        <v>55000</v>
      </c>
      <c r="AA447" s="90">
        <f>Z447/P447*1000</f>
        <v/>
      </c>
      <c r="AB447" s="16" t="n">
        <v>15000</v>
      </c>
      <c r="AC447" s="16" t="n">
        <v>300</v>
      </c>
      <c r="AD447" s="16" t="n">
        <v>500</v>
      </c>
    </row>
    <row r="448" ht="46.5" customHeight="1" s="151">
      <c r="A448" s="78" t="n">
        <v>46104</v>
      </c>
      <c r="B448" s="16" t="n"/>
      <c r="C448" s="16" t="n"/>
      <c r="D448" s="16" t="n"/>
      <c r="E448" s="79" t="inlineStr">
        <is>
          <t>💻设计师自装180m²法式小窝
🏠第一房就装出了Dream House
📷摄影｜ 家居 ｜设计｜烹饪｜日常宅家vlog</t>
        </is>
      </c>
      <c r="F448" s="94" t="inlineStr">
        <is>
          <t>NANA的法式小窝</t>
        </is>
      </c>
      <c r="G448" s="95" t="inlineStr">
        <is>
          <t>https://www.xingtu.cn/ad/creator/author-homepage/douyin-video/7396201152951353354?market_track_id=L7KOGABXHNZ6P81A4PCO&amp;search_session_id=7584697960924545067&amp;possessStarId</t>
        </is>
      </c>
      <c r="H448" s="96" t="inlineStr">
        <is>
          <t>https://www.douyin.com/user/MS4wLjABAAAA5oaBbHwjpt0Tl2faidLnmwx0aBRt1veYwVz-OQuKoA0</t>
        </is>
      </c>
      <c r="I448" s="97" t="inlineStr">
        <is>
          <t>NANA_lovehome</t>
        </is>
      </c>
      <c r="J448" s="97" t="inlineStr">
        <is>
          <t>生活家居
好物推荐</t>
        </is>
      </c>
      <c r="K448" s="83" t="inlineStr">
        <is>
          <t>腰尾</t>
        </is>
      </c>
      <c r="L448" s="83" t="inlineStr">
        <is>
          <t>生活家居
好物推荐</t>
        </is>
      </c>
      <c r="M448" s="83" t="n"/>
      <c r="N448" s="83" t="inlineStr">
        <is>
          <t>都市银发/都市青年/小镇青年</t>
        </is>
      </c>
      <c r="O448" s="84" t="n">
        <v>0.32</v>
      </c>
      <c r="P448" s="83" t="n">
        <v>1000000</v>
      </c>
      <c r="Q448" s="83" t="n">
        <v>47040</v>
      </c>
      <c r="R448" s="85">
        <f>Z448/(AB448+AC448+AD448)</f>
        <v/>
      </c>
      <c r="S448" s="83" t="inlineStr">
        <is>
          <t>视频</t>
        </is>
      </c>
      <c r="T448" s="86" t="n">
        <v>0.6820000000000001</v>
      </c>
      <c r="U448" s="92" t="n">
        <v>0.24</v>
      </c>
      <c r="V448" s="93" t="n">
        <v>0.3</v>
      </c>
      <c r="W448" s="93" t="n">
        <v>0.19</v>
      </c>
      <c r="X448" s="7" t="n"/>
      <c r="Y448" s="7" t="n"/>
      <c r="Z448" s="162" t="n">
        <v>44800</v>
      </c>
      <c r="AA448" s="90">
        <f>Z448/P448*1000</f>
        <v/>
      </c>
      <c r="AB448" s="16" t="n">
        <v>10000</v>
      </c>
      <c r="AC448" s="16" t="n">
        <v>300</v>
      </c>
      <c r="AD448" s="16" t="n">
        <v>500</v>
      </c>
    </row>
    <row r="449" ht="46.5" customHeight="1" s="151">
      <c r="A449" s="78" t="n">
        <v>46104</v>
      </c>
      <c r="B449" s="16" t="n"/>
      <c r="C449" s="16" t="n"/>
      <c r="D449" s="16" t="n"/>
      <c r="E449" s="79" t="inlineStr">
        <is>
          <t>5年设计师经验 两娃一猫🐈
日常🏡| 家居🪑 | 好物🪧
143㎡ 精装改造的极简小窝是我的理想家</t>
        </is>
      </c>
      <c r="F449" s="94" t="inlineStr">
        <is>
          <t>cissyss的极简家</t>
        </is>
      </c>
      <c r="G449" s="95" t="inlineStr">
        <is>
          <t>https://www.xingtu.cn/ad/creator/author-homepage/douyin-video/7384731250080088091?market_track_id=HOXOHIJNKY5VR82G9EOQ&amp;search_session_id=7584997332060815370&amp;possessStarId</t>
        </is>
      </c>
      <c r="H449" s="96" t="inlineStr">
        <is>
          <t>https://www.douyin.com/user/MS4wLjABAAAA7KZvwqdWgKmM6HIfkNvnQjm2imgWk9MYspoHAeLD8Vd3MCiYUP5-IBiAFnAZ18nd</t>
        </is>
      </c>
      <c r="I449" s="97" t="inlineStr">
        <is>
          <t>chankuriji</t>
        </is>
      </c>
      <c r="J449" s="97" t="inlineStr">
        <is>
          <t>生活家居
好物推荐</t>
        </is>
      </c>
      <c r="K449" s="83" t="inlineStr">
        <is>
          <t>腰尾</t>
        </is>
      </c>
      <c r="L449" s="83" t="inlineStr">
        <is>
          <t>生活家居
好物推荐</t>
        </is>
      </c>
      <c r="M449" s="83" t="n"/>
      <c r="N449" s="83" t="inlineStr">
        <is>
          <t>小镇青年/都市蓝领/新锐白领</t>
        </is>
      </c>
      <c r="O449" s="84" t="n">
        <v>0.24</v>
      </c>
      <c r="P449" s="83" t="n">
        <v>824000</v>
      </c>
      <c r="Q449" s="83" t="n">
        <v>45990</v>
      </c>
      <c r="R449" s="85">
        <f>Z449/(AB449+AC449+AD449)</f>
        <v/>
      </c>
      <c r="S449" s="83" t="inlineStr">
        <is>
          <t>视频</t>
        </is>
      </c>
      <c r="T449" s="86" t="n">
        <v>0.479</v>
      </c>
      <c r="U449" s="92" t="n">
        <v>0.26</v>
      </c>
      <c r="V449" s="93" t="n">
        <v>0.44</v>
      </c>
      <c r="W449" s="93" t="n">
        <v>0.094</v>
      </c>
      <c r="X449" s="7" t="n"/>
      <c r="Y449" s="7" t="n"/>
      <c r="Z449" s="162" t="n">
        <v>43800</v>
      </c>
      <c r="AA449" s="90">
        <f>Z449/P449*1000</f>
        <v/>
      </c>
      <c r="AB449" s="16" t="n">
        <v>10000</v>
      </c>
      <c r="AC449" s="16" t="n">
        <v>300</v>
      </c>
      <c r="AD449" s="16" t="n">
        <v>500</v>
      </c>
    </row>
    <row r="450" ht="54" customHeight="1" s="151">
      <c r="A450" s="78" t="n">
        <v>46104</v>
      </c>
      <c r="B450" s="16" t="n"/>
      <c r="C450" s="16" t="n"/>
      <c r="D450" s="16" t="n"/>
      <c r="E450" s="16" t="inlineStr">
        <is>
          <t>通过夸张搞笑演绎的剧情，让用户直观感受到产品的魅力！</t>
        </is>
      </c>
      <c r="F450" s="16" t="inlineStr">
        <is>
          <t>一只妍妍酱</t>
        </is>
      </c>
      <c r="G450" s="102" t="inlineStr">
        <is>
          <t>https://www.xingtu.cn/ad/creator/author/douyin/7400640434445221899/1?marketType=&amp;btm_ppre=a0.b0.c0.d0&amp;btm_pre=a4738.b27311.c0.author-card&amp;btm_show_id=d06bfb35-b92e-4036-be94-128d3a1be541</t>
        </is>
      </c>
      <c r="H450" s="16" t="inlineStr">
        <is>
          <t>https://v.douyin.com/ihY4psDX/</t>
        </is>
      </c>
      <c r="I450" s="16" t="n">
        <v>51785189</v>
      </c>
      <c r="J450" s="16" t="inlineStr">
        <is>
          <t>家居生活</t>
        </is>
      </c>
      <c r="K450" s="16" t="inlineStr">
        <is>
          <t>腰部</t>
        </is>
      </c>
      <c r="L450" s="16" t="n">
        <v>128.6</v>
      </c>
      <c r="M450" s="16" t="n"/>
      <c r="N450" s="16" t="inlineStr">
        <is>
          <t>新锐白领/小镇青年/精致妈妈</t>
        </is>
      </c>
      <c r="O450" s="91" t="n">
        <v>0.5133</v>
      </c>
      <c r="P450" s="16" t="inlineStr">
        <is>
          <t>30.5w</t>
        </is>
      </c>
      <c r="Q450" s="16" t="n">
        <v>36750</v>
      </c>
      <c r="R450" s="103" t="n">
        <v>2.5</v>
      </c>
      <c r="S450" s="16" t="inlineStr">
        <is>
          <t>视频</t>
        </is>
      </c>
      <c r="T450" s="91" t="n">
        <v>0.54</v>
      </c>
      <c r="U450" s="91" t="n">
        <v>0.25</v>
      </c>
      <c r="V450" s="91" t="n">
        <v>0.47</v>
      </c>
      <c r="W450" s="91" t="n">
        <v>0.15</v>
      </c>
      <c r="X450" s="16" t="n"/>
      <c r="Y450" s="16" t="n"/>
      <c r="Z450" s="163" t="n">
        <v>35000</v>
      </c>
      <c r="AA450" s="90" t="n">
        <v>50</v>
      </c>
      <c r="AB450" s="16" t="n">
        <v>2562</v>
      </c>
      <c r="AC450" s="16" t="n">
        <v>65</v>
      </c>
      <c r="AD450" s="16" t="n">
        <v>76</v>
      </c>
    </row>
    <row r="451" ht="54" customHeight="1" s="151">
      <c r="A451" s="78" t="n">
        <v>46104</v>
      </c>
      <c r="B451" s="16" t="n"/>
      <c r="C451" s="16" t="n"/>
      <c r="D451" s="16" t="n"/>
      <c r="E451" s="16" t="inlineStr">
        <is>
          <t>通过真实消费案例，为观众提供可信的家居购物参考</t>
        </is>
      </c>
      <c r="F451" s="16" t="inlineStr">
        <is>
          <t>夏公子的家装报告</t>
        </is>
      </c>
      <c r="G451" s="102" t="inlineStr">
        <is>
          <t>https://www.xingtu.cn/ad/creator/author/douyin/7356549493598355506/1?marketType=&amp;btm_ppre=a0.b0.c0.d0&amp;btm_pre=a4738.b27311.c0.author-card&amp;btm_show_id=d06bfb35-b92e-4036-be94-128d3a1be541</t>
        </is>
      </c>
      <c r="H451" s="16" t="inlineStr">
        <is>
          <t>https://v.douyin.com/ir3strbV/</t>
        </is>
      </c>
      <c r="I451" s="16" t="inlineStr">
        <is>
          <t>xiagongzi</t>
        </is>
      </c>
      <c r="J451" s="16" t="inlineStr">
        <is>
          <t>家居生活</t>
        </is>
      </c>
      <c r="K451" s="16" t="inlineStr">
        <is>
          <t>腰部</t>
        </is>
      </c>
      <c r="L451" s="16" t="n">
        <v>109.8</v>
      </c>
      <c r="M451" s="16" t="n"/>
      <c r="N451" s="16" t="inlineStr">
        <is>
          <t>新锐白领/小镇青年/精致妈妈</t>
        </is>
      </c>
      <c r="O451" s="91" t="n">
        <v>0.5332</v>
      </c>
      <c r="P451" s="16" t="inlineStr">
        <is>
          <t>14.4w</t>
        </is>
      </c>
      <c r="Q451" s="16" t="n">
        <v>34440</v>
      </c>
      <c r="R451" s="103" t="n">
        <v>2.5</v>
      </c>
      <c r="S451" s="16" t="inlineStr">
        <is>
          <t>视频</t>
        </is>
      </c>
      <c r="T451" s="91" t="n">
        <v>0.67</v>
      </c>
      <c r="U451" s="91" t="n">
        <v>0.25</v>
      </c>
      <c r="V451" s="91" t="n">
        <v>0.44</v>
      </c>
      <c r="W451" s="91" t="n">
        <v>0.17</v>
      </c>
      <c r="X451" s="16" t="n"/>
      <c r="Y451" s="16" t="n"/>
      <c r="Z451" s="163" t="n">
        <v>32800</v>
      </c>
      <c r="AA451" s="90" t="n">
        <v>50</v>
      </c>
      <c r="AB451" s="16" t="n">
        <v>667</v>
      </c>
      <c r="AC451" s="16" t="n">
        <v>113</v>
      </c>
      <c r="AD451" s="16" t="n">
        <v>141</v>
      </c>
    </row>
    <row r="452" ht="37.15" customHeight="1" s="151">
      <c r="A452" s="78" t="n">
        <v>46104</v>
      </c>
      <c r="B452" s="105" t="n"/>
      <c r="C452" s="105" t="n"/>
      <c r="D452" s="105" t="n"/>
      <c r="E452" s="105" t="inlineStr">
        <is>
          <t>智能家居 | 空间设计 | 文旅民宿
90后设计师 無问建筑创始人
2018华工坊国际建筑设计佳作奖</t>
        </is>
      </c>
      <c r="F452" s="105" t="inlineStr">
        <is>
          <t>设计师小罗</t>
        </is>
      </c>
      <c r="G452" s="16" t="inlineStr">
        <is>
          <t>https://www.xingtu.cn/ad/creator/author/douyin/7216176940263309324</t>
        </is>
      </c>
      <c r="H452" s="16" t="inlineStr">
        <is>
          <t>https://www.douyin.com/user/MS4wLjABAAAArtDcksJ7sHVBUHzOZtR3kUPGx77UG5YyFE_YRDZmIcM</t>
        </is>
      </c>
      <c r="I452" s="105" t="inlineStr">
        <is>
          <t>designsmarthome</t>
        </is>
      </c>
      <c r="J452" s="105" t="inlineStr">
        <is>
          <t>家居家装</t>
        </is>
      </c>
      <c r="K452" s="105" t="inlineStr">
        <is>
          <t>尾部</t>
        </is>
      </c>
      <c r="L452" s="105" t="n">
        <v>49.3</v>
      </c>
      <c r="M452" s="105" t="inlineStr">
        <is>
          <t>/</t>
        </is>
      </c>
      <c r="N452" s="105" t="inlineStr">
        <is>
          <t>/</t>
        </is>
      </c>
      <c r="O452" s="106" t="inlineStr">
        <is>
          <t>/</t>
        </is>
      </c>
      <c r="P452" s="105" t="n">
        <v>4864549</v>
      </c>
      <c r="Q452" s="105" t="n">
        <v>39800</v>
      </c>
      <c r="R452" s="107" t="n">
        <v>3.59</v>
      </c>
      <c r="S452" s="105" t="inlineStr">
        <is>
          <t>60s+视频</t>
        </is>
      </c>
      <c r="T452" s="108" t="inlineStr">
        <is>
          <t>/</t>
        </is>
      </c>
      <c r="U452" s="106" t="inlineStr">
        <is>
          <t>/</t>
        </is>
      </c>
      <c r="V452" s="106" t="inlineStr">
        <is>
          <t>/</t>
        </is>
      </c>
      <c r="W452" s="106" t="inlineStr">
        <is>
          <t>/</t>
        </is>
      </c>
      <c r="X452" s="105" t="n"/>
      <c r="Y452" s="105" t="n"/>
      <c r="Z452" s="164" t="n">
        <v>39800</v>
      </c>
      <c r="AA452" s="110" t="n">
        <v>8.18</v>
      </c>
      <c r="AB452" s="105" t="n">
        <v>10000</v>
      </c>
      <c r="AC452" s="105" t="n">
        <v>1000</v>
      </c>
      <c r="AD452" s="105" t="n">
        <v>100</v>
      </c>
    </row>
    <row r="453" ht="37.15" customHeight="1" s="151">
      <c r="A453" s="78" t="n">
        <v>46104</v>
      </c>
      <c r="B453" s="105" t="n"/>
      <c r="C453" s="105" t="n"/>
      <c r="D453" s="105" t="n"/>
      <c r="E453" s="105" t="inlineStr">
        <is>
          <t>家居内容风格适配，更好植入产品</t>
        </is>
      </c>
      <c r="F453" s="105" t="inlineStr">
        <is>
          <t>唤唤超爱捣鼓家</t>
        </is>
      </c>
      <c r="G453" s="16" t="inlineStr">
        <is>
          <t>https://www.xingtu.cn/ad/creator/author/douyin/7127213766332121124</t>
        </is>
      </c>
      <c r="H453" s="16" t="inlineStr">
        <is>
          <t>https://www.douyin.com/user/MS4wLjABAAAAGaIqVOnmR7lsUUWmFIXYrHxiGaswCmCGOXTyDCefVOU</t>
        </is>
      </c>
      <c r="I453" s="105" t="n">
        <v>40408138957</v>
      </c>
      <c r="J453" s="105" t="inlineStr">
        <is>
          <t>家居家装</t>
        </is>
      </c>
      <c r="K453" s="105" t="inlineStr">
        <is>
          <t>尾部</t>
        </is>
      </c>
      <c r="L453" s="105" t="n">
        <v>45.4</v>
      </c>
      <c r="M453" s="105" t="inlineStr">
        <is>
          <t>150-2000</t>
        </is>
      </c>
      <c r="N453" s="105" t="inlineStr">
        <is>
          <t>新锐白领
小镇青年
精致妈妈</t>
        </is>
      </c>
      <c r="O453" s="106" t="n">
        <v>0.72</v>
      </c>
      <c r="P453" s="105" t="n">
        <v>141650</v>
      </c>
      <c r="Q453" s="105" t="n">
        <v>29800</v>
      </c>
      <c r="R453" s="107" t="n">
        <v>2.87</v>
      </c>
      <c r="S453" s="105" t="inlineStr">
        <is>
          <t>60s+视频</t>
        </is>
      </c>
      <c r="T453" s="108" t="n">
        <v>0.37</v>
      </c>
      <c r="U453" s="106" t="n">
        <v>0.38</v>
      </c>
      <c r="V453" s="106" t="n">
        <v>0.46</v>
      </c>
      <c r="W453" s="106" t="n">
        <v>0.06</v>
      </c>
      <c r="X453" s="105" t="n"/>
      <c r="Y453" s="105" t="n"/>
      <c r="Z453" s="164" t="n">
        <v>29800</v>
      </c>
      <c r="AA453" s="110" t="n">
        <v>210.38</v>
      </c>
      <c r="AB453" s="105" t="n">
        <v>9586</v>
      </c>
      <c r="AC453" s="105" t="n">
        <v>745</v>
      </c>
      <c r="AD453" s="105" t="n">
        <v>56</v>
      </c>
    </row>
    <row r="454" ht="37.15" customHeight="1" s="151">
      <c r="A454" s="78" t="n">
        <v>46104</v>
      </c>
      <c r="B454" s="105" t="n"/>
      <c r="C454" s="105" t="n"/>
      <c r="D454" s="105" t="n"/>
      <c r="E454" s="105" t="inlineStr">
        <is>
          <t>避坑经验/家居分享/测评/软装</t>
        </is>
      </c>
      <c r="F454" s="105" t="inlineStr">
        <is>
          <t>圆圆装修日记</t>
        </is>
      </c>
      <c r="G454" s="16" t="inlineStr">
        <is>
          <t>https://www.xingtu.cn/ad/creator/author/douyin/6986502918828458018</t>
        </is>
      </c>
      <c r="H454" s="16" t="inlineStr">
        <is>
          <t>https://www.douyin.com/user/MS4wLjABAAAAEgx8hek2VqUVvdz1pE5IMZm6UEv5ZaiQdXjX3yBnY-BzUCl_OoV03V-yGo4xs0-y</t>
        </is>
      </c>
      <c r="I454" s="105" t="inlineStr">
        <is>
          <t>yuanyuanjj666888</t>
        </is>
      </c>
      <c r="J454" s="105" t="inlineStr">
        <is>
          <t>家居家装</t>
        </is>
      </c>
      <c r="K454" s="105" t="inlineStr">
        <is>
          <t>尾部</t>
        </is>
      </c>
      <c r="L454" s="105" t="n">
        <v>15</v>
      </c>
      <c r="M454" s="105" t="inlineStr">
        <is>
          <t>150-2000</t>
        </is>
      </c>
      <c r="N454" s="105" t="inlineStr">
        <is>
          <t>小镇青年
新锐白领
都市蓝领</t>
        </is>
      </c>
      <c r="O454" s="106" t="n"/>
      <c r="P454" s="105" t="n">
        <v>288913</v>
      </c>
      <c r="Q454" s="105" t="n">
        <v>17000</v>
      </c>
      <c r="R454" s="107" t="n">
        <v>1.06</v>
      </c>
      <c r="S454" s="105" t="inlineStr">
        <is>
          <t>60s+视频</t>
        </is>
      </c>
      <c r="T454" s="108" t="n">
        <v>0.45</v>
      </c>
      <c r="U454" s="106" t="n">
        <v>0.3</v>
      </c>
      <c r="V454" s="106" t="n">
        <v>0.35</v>
      </c>
      <c r="W454" s="106" t="n">
        <v>0.12</v>
      </c>
      <c r="X454" s="105" t="n"/>
      <c r="Y454" s="105" t="n"/>
      <c r="Z454" s="164" t="n">
        <v>17000</v>
      </c>
      <c r="AA454" s="110" t="n">
        <v>58.84</v>
      </c>
      <c r="AB454" s="105" t="n">
        <v>15000</v>
      </c>
      <c r="AC454" s="105" t="n">
        <v>958</v>
      </c>
      <c r="AD454" s="105" t="n">
        <v>52</v>
      </c>
    </row>
    <row r="455" ht="37.15" customHeight="1" s="151">
      <c r="A455" s="78" t="n">
        <v>46104</v>
      </c>
      <c r="B455" s="105" t="n"/>
      <c r="C455" s="105" t="n"/>
      <c r="D455" s="105" t="n"/>
      <c r="E455" s="105" t="inlineStr">
        <is>
          <t>160平一室一厅🏡意式极简</t>
        </is>
      </c>
      <c r="F455" s="105" t="inlineStr">
        <is>
          <t>有杯美式</t>
        </is>
      </c>
      <c r="G455" s="16" t="inlineStr">
        <is>
          <t>https://www.xingtu.cn/ad/creator/author/douyin/7177294850537029670</t>
        </is>
      </c>
      <c r="H455" s="16" t="inlineStr">
        <is>
          <t>https://www.douyin.com/user/MS4wLjABAAAAPbj87_5buxdwlFq2PRpq2Z916eeLK-obh6GTg6FFHEA</t>
        </is>
      </c>
      <c r="I455" s="105" t="n">
        <v>266446315</v>
      </c>
      <c r="J455" s="105" t="inlineStr">
        <is>
          <t>家居家装</t>
        </is>
      </c>
      <c r="K455" s="105" t="inlineStr">
        <is>
          <t>尾部</t>
        </is>
      </c>
      <c r="L455" s="105" t="n">
        <v>17.6</v>
      </c>
      <c r="M455" s="105" t="inlineStr">
        <is>
          <t>/</t>
        </is>
      </c>
      <c r="N455" s="105" t="inlineStr">
        <is>
          <t>新锐白领
Z世代
小镇青年</t>
        </is>
      </c>
      <c r="O455" s="106" t="n"/>
      <c r="P455" s="105" t="n">
        <v>95759</v>
      </c>
      <c r="Q455" s="105" t="n">
        <v>18000</v>
      </c>
      <c r="R455" s="107" t="n">
        <v>2.89</v>
      </c>
      <c r="S455" s="105" t="inlineStr">
        <is>
          <t>60s+视频</t>
        </is>
      </c>
      <c r="T455" s="108" t="n">
        <v>0.35</v>
      </c>
      <c r="U455" s="106" t="n">
        <v>0.32</v>
      </c>
      <c r="V455" s="106" t="n">
        <v>0.32</v>
      </c>
      <c r="W455" s="106" t="n">
        <v>0.07000000000000001</v>
      </c>
      <c r="X455" s="105" t="n"/>
      <c r="Y455" s="105" t="n"/>
      <c r="Z455" s="164" t="n">
        <v>18000</v>
      </c>
      <c r="AA455" s="110" t="n">
        <v>187.97</v>
      </c>
      <c r="AB455" s="105" t="n">
        <v>5555</v>
      </c>
      <c r="AC455" s="105" t="n">
        <v>585</v>
      </c>
      <c r="AD455" s="105" t="n">
        <v>96</v>
      </c>
    </row>
    <row r="456" ht="19" customHeight="1" s="151">
      <c r="A456" s="78" t="n">
        <v>46104</v>
      </c>
      <c r="B456" s="105" t="n"/>
      <c r="C456" s="105" t="n"/>
      <c r="D456" s="105" t="n"/>
      <c r="E456" s="105" t="inlineStr">
        <is>
          <t>智能家居</t>
        </is>
      </c>
      <c r="F456" s="105" t="inlineStr">
        <is>
          <t>炒饭哥哥</t>
        </is>
      </c>
      <c r="G456" s="16" t="inlineStr">
        <is>
          <t>https://www.xingtu.cn/ad/creator/author/douyin/7011195522501312549</t>
        </is>
      </c>
      <c r="H456" s="16" t="inlineStr">
        <is>
          <t>https://www.douyin.com/user/MS4wLjABAAAA_qiDcE91TBBIE_k1oaGGji-3zrm-nbyOxXEzvJWF6P5E_uH8nGZZFxrDk_NqMc8s</t>
        </is>
      </c>
      <c r="I456" s="105" t="n">
        <v>57562517201</v>
      </c>
      <c r="J456" s="105" t="inlineStr">
        <is>
          <t>家居家装</t>
        </is>
      </c>
      <c r="K456" s="105" t="inlineStr">
        <is>
          <t>尾部</t>
        </is>
      </c>
      <c r="L456" s="105" t="n">
        <v>15.9</v>
      </c>
      <c r="M456" s="105" t="inlineStr">
        <is>
          <t>/</t>
        </is>
      </c>
      <c r="N456" s="105" t="inlineStr">
        <is>
          <t>新锐白领
小镇青年
资深中产</t>
        </is>
      </c>
      <c r="O456" s="106" t="n"/>
      <c r="P456" s="105" t="n">
        <v>818778</v>
      </c>
      <c r="Q456" s="105" t="n">
        <v>17000</v>
      </c>
      <c r="R456" s="107" t="n">
        <v>1.97</v>
      </c>
      <c r="S456" s="105" t="inlineStr">
        <is>
          <t>60s+视频</t>
        </is>
      </c>
      <c r="T456" s="108" t="n">
        <v>0.3</v>
      </c>
      <c r="U456" s="106" t="n">
        <v>0.3</v>
      </c>
      <c r="V456" s="106" t="n">
        <v>0.42</v>
      </c>
      <c r="W456" s="106" t="n">
        <v>0.05</v>
      </c>
      <c r="X456" s="105" t="n"/>
      <c r="Y456" s="105" t="n"/>
      <c r="Z456" s="164" t="n">
        <v>17000</v>
      </c>
      <c r="AA456" s="110" t="n">
        <v>20.76</v>
      </c>
      <c r="AB456" s="105" t="n">
        <v>8000</v>
      </c>
      <c r="AC456" s="105" t="n">
        <v>545</v>
      </c>
      <c r="AD456" s="105" t="n">
        <v>85</v>
      </c>
    </row>
    <row r="457" ht="19" customHeight="1" s="151">
      <c r="A457" s="78" t="n">
        <v>46104</v>
      </c>
      <c r="B457" s="105" t="n"/>
      <c r="C457" s="105" t="n"/>
      <c r="D457" s="105" t="n"/>
      <c r="E457" s="105" t="inlineStr">
        <is>
          <t>自装380平极简风，家居好看</t>
        </is>
      </c>
      <c r="F457" s="105" t="inlineStr">
        <is>
          <t>就叫刀仔吧不改了（装修中）</t>
        </is>
      </c>
      <c r="G457" s="16" t="inlineStr">
        <is>
          <t>https://www.xingtu.cn/ad/creator/author/douyin/6770557523503087629</t>
        </is>
      </c>
      <c r="H457" s="16" t="inlineStr">
        <is>
          <t>https://www.douyin.com/user/MS4wLjABAAAADmiSGi_K5biZrwWkh99jDGjwdsc2xjsYsnEIP8Ff0i0</t>
        </is>
      </c>
      <c r="I457" s="105" t="n">
        <v>9792256</v>
      </c>
      <c r="J457" s="105" t="inlineStr">
        <is>
          <t>家居家装</t>
        </is>
      </c>
      <c r="K457" s="105" t="inlineStr">
        <is>
          <t>头部</t>
        </is>
      </c>
      <c r="L457" s="105" t="n">
        <v>214.3</v>
      </c>
      <c r="M457" s="105" t="inlineStr">
        <is>
          <t>/</t>
        </is>
      </c>
      <c r="N457" s="105" t="inlineStr">
        <is>
          <t>新锐白领
小镇青年
精致妈妈</t>
        </is>
      </c>
      <c r="O457" s="105" t="n"/>
      <c r="P457" s="105" t="n">
        <v>154379</v>
      </c>
      <c r="Q457" s="105" t="n">
        <v>39000</v>
      </c>
      <c r="R457" s="107" t="n">
        <v>5.92</v>
      </c>
      <c r="S457" s="105" t="inlineStr">
        <is>
          <t>60s+视频</t>
        </is>
      </c>
      <c r="T457" s="108" t="n">
        <v>0.49</v>
      </c>
      <c r="U457" s="106" t="n">
        <v>0.48</v>
      </c>
      <c r="V457" s="106" t="n">
        <v>0.32</v>
      </c>
      <c r="W457" s="106" t="n">
        <v>0.01</v>
      </c>
      <c r="X457" s="105" t="n"/>
      <c r="Y457" s="105" t="n"/>
      <c r="Z457" s="164" t="n">
        <v>39000</v>
      </c>
      <c r="AA457" s="110" t="n">
        <v>252.63</v>
      </c>
      <c r="AB457" s="105" t="n">
        <v>6000</v>
      </c>
      <c r="AC457" s="105" t="n">
        <v>528</v>
      </c>
      <c r="AD457" s="105" t="n">
        <v>65</v>
      </c>
    </row>
    <row r="458" ht="69.75" customHeight="1" s="151">
      <c r="A458" s="78" t="n">
        <v>46104</v>
      </c>
      <c r="B458" s="16" t="n"/>
      <c r="C458" s="16" t="n"/>
      <c r="D458" s="111" t="n"/>
      <c r="E458" s="79" t="inlineStr">
        <is>
          <t>大小家电，探店都可接！ 用心拍摄，用心做内容！本人，两个孩子（12和6岁），老公，公婆，还有猫咪，都可出镜。 粉丝画像女性占比84%，A3人群占比56%，苹果用户占比50%，消费能力强。</t>
        </is>
      </c>
      <c r="F458" s="94" t="inlineStr">
        <is>
          <t>小桃气的家</t>
        </is>
      </c>
      <c r="G458" s="95" t="inlineStr">
        <is>
          <t>https://www.xingtu.cn/ad/creator/author-homepage/douyin-video/7442164486321995802?market_track_id=VAC8NSLE09AG076K9UKP&amp;search_session_id=7620351066076495898&amp;possessStarId</t>
        </is>
      </c>
      <c r="H458" s="96" t="inlineStr">
        <is>
          <t>https://v.douyin.com/8BYyJ9UwDlk/ 3@3.com :9pm</t>
        </is>
      </c>
      <c r="I458" s="97" t="inlineStr">
        <is>
          <t>niussjia</t>
        </is>
      </c>
      <c r="J458" s="97" t="inlineStr">
        <is>
          <t>生活家居
好物推荐</t>
        </is>
      </c>
      <c r="K458" s="83" t="inlineStr">
        <is>
          <t>尾部</t>
        </is>
      </c>
      <c r="L458" s="83" t="inlineStr">
        <is>
          <t>生活家居
好物推荐</t>
        </is>
      </c>
      <c r="M458" s="83" t="inlineStr">
        <is>
          <t>2000-20000</t>
        </is>
      </c>
      <c r="N458" s="83" t="inlineStr">
        <is>
          <t>新锐白领/精致妈妈/小镇青年</t>
        </is>
      </c>
      <c r="O458" s="84" t="n">
        <v>0.492</v>
      </c>
      <c r="P458" s="83" t="n">
        <v>2147000</v>
      </c>
      <c r="Q458" s="83" t="n">
        <v>19800</v>
      </c>
      <c r="R458" s="85" t="n"/>
      <c r="S458" s="83" t="inlineStr">
        <is>
          <t>视频</t>
        </is>
      </c>
      <c r="T458" s="86" t="n">
        <v>0.66</v>
      </c>
      <c r="U458" s="92" t="n">
        <v>0.27</v>
      </c>
      <c r="V458" s="93" t="n">
        <v>0.467</v>
      </c>
      <c r="W458" s="93" t="n">
        <v>0.077</v>
      </c>
      <c r="X458" s="7" t="n"/>
      <c r="Y458" s="7" t="n"/>
      <c r="Z458" s="162" t="n">
        <v>228000</v>
      </c>
      <c r="AA458" s="90" t="n">
        <v>12.4</v>
      </c>
      <c r="AB458" s="16" t="n">
        <v>8094</v>
      </c>
      <c r="AC458" s="16" t="n">
        <v>196</v>
      </c>
      <c r="AD458" s="16" t="n">
        <v>602</v>
      </c>
    </row>
    <row r="459" ht="23.25" customHeight="1" s="151">
      <c r="A459" s="78" t="n"/>
      <c r="B459" s="16" t="n"/>
      <c r="C459" s="16" t="n"/>
      <c r="D459" s="16" t="n"/>
      <c r="E459" s="79" t="n"/>
      <c r="F459" s="94" t="inlineStr">
        <is>
          <t>设计师阿爽</t>
        </is>
      </c>
      <c r="G459" s="95" t="inlineStr">
        <is>
          <t>https://www.xingtu.cn/ad/creator/author-homepage/douyin-video/6629722309571641351?market_track_id=PUKJ54PIB4R0ADREIYF1&amp;search_session_id=7620379018856661030&amp;possessStarId</t>
        </is>
      </c>
      <c r="H459" s="96" t="n"/>
      <c r="I459" s="97" t="inlineStr">
        <is>
          <t>6629722309571641351</t>
        </is>
      </c>
      <c r="J459" s="97" t="inlineStr">
        <is>
          <t>生活家居
好物推荐</t>
        </is>
      </c>
      <c r="K459" s="83" t="n"/>
      <c r="L459" s="83" t="inlineStr">
        <is>
          <t>1670.4w</t>
        </is>
      </c>
      <c r="M459" s="83" t="inlineStr">
        <is>
          <t>2000-20000</t>
        </is>
      </c>
      <c r="N459" s="83" t="inlineStr">
        <is>
          <t>小镇青年/新锐白领/精致妈妈</t>
        </is>
      </c>
      <c r="O459" s="84" t="n">
        <v>0.636</v>
      </c>
      <c r="P459" s="83" t="n">
        <v>126000</v>
      </c>
      <c r="Q459" s="83" t="n">
        <v>149000</v>
      </c>
      <c r="R459" s="85" t="n"/>
      <c r="S459" s="83" t="n"/>
      <c r="T459" s="86" t="n"/>
      <c r="U459" s="92" t="n"/>
      <c r="V459" s="93" t="n"/>
      <c r="W459" s="93" t="n"/>
      <c r="X459" s="7" t="n"/>
      <c r="Y459" s="7" t="n"/>
      <c r="Z459" s="162" t="n"/>
      <c r="AA459" s="90" t="n"/>
      <c r="AB459" s="16" t="n"/>
      <c r="AC459" s="16" t="n"/>
      <c r="AD459" s="16" t="n"/>
    </row>
    <row r="460" ht="19" customHeight="1" s="151">
      <c r="A460" s="78" t="n"/>
      <c r="B460" s="16" t="n"/>
      <c r="C460" s="16" t="n"/>
      <c r="D460" s="16" t="n"/>
      <c r="E460" s="112" t="n"/>
      <c r="F460" s="94" t="n"/>
      <c r="G460" s="95" t="n"/>
      <c r="H460" s="96" t="n"/>
      <c r="I460" s="97" t="n"/>
      <c r="J460" s="97" t="n"/>
      <c r="K460" s="83" t="n"/>
      <c r="L460" s="83" t="n"/>
      <c r="M460" s="83" t="n"/>
      <c r="N460" s="83" t="n"/>
      <c r="O460" s="84" t="n"/>
      <c r="P460" s="83" t="n"/>
      <c r="Q460" s="83" t="n"/>
      <c r="R460" s="85" t="n"/>
      <c r="S460" s="83" t="n"/>
      <c r="T460" s="86" t="n"/>
      <c r="U460" s="92" t="n"/>
      <c r="V460" s="93" t="n"/>
      <c r="W460" s="93" t="n"/>
      <c r="X460" s="7" t="n"/>
      <c r="Y460" s="7" t="n"/>
      <c r="Z460" s="162" t="n"/>
      <c r="AA460" s="90" t="n"/>
      <c r="AB460" s="16" t="n"/>
      <c r="AC460" s="16" t="n"/>
      <c r="AD460" s="16" t="n"/>
    </row>
    <row r="461" ht="19" customHeight="1" s="151">
      <c r="A461" s="78" t="n"/>
      <c r="B461" s="16" t="n"/>
      <c r="C461" s="16" t="n"/>
      <c r="D461" s="16" t="n"/>
      <c r="E461" s="112" t="n"/>
      <c r="F461" s="94" t="n"/>
      <c r="G461" s="95" t="n"/>
      <c r="H461" s="96" t="n"/>
      <c r="I461" s="97" t="n"/>
      <c r="J461" s="97" t="n"/>
      <c r="K461" s="83" t="n"/>
      <c r="L461" s="83" t="n"/>
      <c r="M461" s="83" t="n"/>
      <c r="N461" s="83" t="n"/>
      <c r="O461" s="84" t="n"/>
      <c r="P461" s="83" t="n"/>
      <c r="Q461" s="83" t="n"/>
      <c r="R461" s="85" t="n"/>
      <c r="S461" s="83" t="n"/>
      <c r="T461" s="86" t="n"/>
      <c r="U461" s="92" t="n"/>
      <c r="V461" s="93" t="n"/>
      <c r="W461" s="93" t="n"/>
      <c r="X461" s="7" t="n"/>
      <c r="Y461" s="7" t="n"/>
      <c r="Z461" s="162" t="n"/>
      <c r="AA461" s="90" t="n"/>
      <c r="AB461" s="16" t="n"/>
      <c r="AC461" s="16" t="n"/>
      <c r="AD461" s="16" t="n"/>
    </row>
    <row r="462" ht="19" customHeight="1" s="151">
      <c r="A462" s="78" t="n"/>
      <c r="B462" s="16" t="n"/>
      <c r="C462" s="16" t="n"/>
      <c r="D462" s="16" t="n"/>
      <c r="E462" s="112" t="n"/>
      <c r="F462" s="94" t="n"/>
      <c r="G462" s="95" t="n"/>
      <c r="H462" s="96" t="n"/>
      <c r="I462" s="97" t="n"/>
      <c r="J462" s="97" t="n"/>
      <c r="K462" s="83" t="n"/>
      <c r="L462" s="83" t="n"/>
      <c r="M462" s="83" t="n"/>
      <c r="N462" s="83" t="n"/>
      <c r="O462" s="84" t="n"/>
      <c r="P462" s="83" t="n"/>
      <c r="Q462" s="83" t="n"/>
      <c r="R462" s="85" t="n"/>
      <c r="S462" s="83" t="n"/>
      <c r="T462" s="86" t="n"/>
      <c r="U462" s="92" t="n"/>
      <c r="V462" s="93" t="n"/>
      <c r="W462" s="93" t="n"/>
      <c r="X462" s="7" t="n"/>
      <c r="Y462" s="7" t="n"/>
      <c r="Z462" s="162" t="n"/>
      <c r="AA462" s="90" t="n"/>
      <c r="AB462" s="16" t="n"/>
      <c r="AC462" s="16" t="n"/>
      <c r="AD462" s="16" t="n"/>
    </row>
    <row r="463" ht="19" customHeight="1" s="151">
      <c r="A463" s="78" t="n"/>
      <c r="B463" s="16" t="n"/>
      <c r="C463" s="16" t="n"/>
      <c r="D463" s="16" t="n"/>
      <c r="E463" s="112" t="n"/>
      <c r="F463" s="94" t="n"/>
      <c r="G463" s="95" t="n"/>
      <c r="H463" s="96" t="n"/>
      <c r="I463" s="97" t="n"/>
      <c r="J463" s="97" t="n"/>
      <c r="K463" s="83" t="n"/>
      <c r="L463" s="83" t="n"/>
      <c r="M463" s="83" t="n"/>
      <c r="N463" s="83" t="n"/>
      <c r="O463" s="84" t="n"/>
      <c r="P463" s="83" t="n"/>
      <c r="Q463" s="83" t="n"/>
      <c r="R463" s="85" t="n"/>
      <c r="S463" s="83" t="n"/>
      <c r="T463" s="86" t="n"/>
      <c r="U463" s="92" t="n"/>
      <c r="V463" s="93" t="n"/>
      <c r="W463" s="93" t="n"/>
      <c r="X463" s="7" t="n"/>
      <c r="Y463" s="7" t="n"/>
      <c r="Z463" s="162" t="n"/>
      <c r="AA463" s="90" t="n"/>
      <c r="AB463" s="16" t="n"/>
      <c r="AC463" s="16" t="n"/>
      <c r="AD463" s="16" t="n"/>
    </row>
    <row r="464" ht="19" customHeight="1" s="151">
      <c r="A464" s="78" t="n"/>
      <c r="B464" s="16" t="n"/>
      <c r="C464" s="16" t="n"/>
      <c r="D464" s="16" t="n"/>
      <c r="E464" s="112" t="n"/>
      <c r="F464" s="94" t="n"/>
      <c r="G464" s="95" t="n"/>
      <c r="H464" s="96" t="n"/>
      <c r="I464" s="97" t="n"/>
      <c r="J464" s="97" t="n"/>
      <c r="K464" s="83" t="n"/>
      <c r="L464" s="83" t="n"/>
      <c r="M464" s="83" t="n"/>
      <c r="N464" s="83" t="n"/>
      <c r="O464" s="84" t="n"/>
      <c r="P464" s="83" t="n"/>
      <c r="Q464" s="83" t="n"/>
      <c r="R464" s="85" t="n"/>
      <c r="S464" s="83" t="n"/>
      <c r="T464" s="86" t="n"/>
      <c r="U464" s="92" t="n"/>
      <c r="V464" s="93" t="n"/>
      <c r="W464" s="93" t="n"/>
      <c r="X464" s="7" t="n"/>
      <c r="Y464" s="7" t="n"/>
      <c r="Z464" s="162" t="n"/>
      <c r="AA464" s="90" t="n"/>
      <c r="AB464" s="16" t="n"/>
      <c r="AC464" s="16" t="n"/>
      <c r="AD464" s="16" t="n"/>
    </row>
    <row r="465" ht="19" customHeight="1" s="151">
      <c r="A465" s="78" t="n"/>
      <c r="B465" s="16" t="n"/>
      <c r="C465" s="16" t="n"/>
      <c r="D465" s="16" t="n"/>
      <c r="E465" s="112" t="n"/>
      <c r="F465" s="94" t="n"/>
      <c r="G465" s="95" t="n"/>
      <c r="H465" s="96" t="n"/>
      <c r="I465" s="97" t="n"/>
      <c r="J465" s="97" t="n"/>
      <c r="K465" s="83" t="n"/>
      <c r="L465" s="83" t="n"/>
      <c r="M465" s="83" t="n"/>
      <c r="N465" s="83" t="n"/>
      <c r="O465" s="84" t="n"/>
      <c r="P465" s="83" t="n"/>
      <c r="Q465" s="83" t="n"/>
      <c r="R465" s="85" t="n"/>
      <c r="S465" s="83" t="n"/>
      <c r="T465" s="86" t="n"/>
      <c r="U465" s="92" t="n"/>
      <c r="V465" s="93" t="n"/>
      <c r="W465" s="93" t="n"/>
      <c r="X465" s="7" t="n"/>
      <c r="Y465" s="7" t="n"/>
      <c r="Z465" s="162" t="n"/>
      <c r="AA465" s="90" t="n"/>
      <c r="AB465" s="16" t="n"/>
      <c r="AC465" s="16" t="n"/>
      <c r="AD465" s="16" t="n"/>
    </row>
    <row r="468" ht="13.1" customHeight="1" s="151">
      <c r="A468" s="78" t="n"/>
      <c r="B468" s="16" t="n"/>
      <c r="C468" s="16" t="n"/>
      <c r="D468" s="16" t="n"/>
      <c r="E468" s="79" t="n"/>
      <c r="F468" s="94" t="n"/>
      <c r="G468" s="95" t="n"/>
      <c r="H468" s="96" t="n"/>
      <c r="I468" s="97" t="n"/>
      <c r="J468" s="97" t="n"/>
      <c r="K468" s="83" t="n"/>
      <c r="L468" s="83" t="n"/>
      <c r="M468" s="83" t="n"/>
      <c r="N468" s="83" t="n"/>
      <c r="O468" s="84" t="n"/>
      <c r="P468" s="83" t="n"/>
      <c r="Q468" s="83" t="n"/>
      <c r="R468" s="85" t="n"/>
      <c r="S468" s="83" t="n"/>
      <c r="T468" s="86" t="n"/>
      <c r="U468" s="92" t="n"/>
      <c r="V468" s="93" t="n"/>
      <c r="W468" s="93" t="n"/>
      <c r="X468" s="7" t="n"/>
      <c r="Y468" s="7" t="n"/>
      <c r="Z468" s="162" t="n"/>
      <c r="AA468" s="90" t="n"/>
      <c r="AB468" s="16" t="n"/>
      <c r="AC468" s="16" t="n"/>
      <c r="AD468" s="16" t="n"/>
    </row>
    <row r="469" ht="13.1" customHeight="1" s="151">
      <c r="A469" s="78" t="n"/>
      <c r="B469" s="16" t="n"/>
      <c r="C469" s="16" t="n"/>
      <c r="D469" s="16" t="n"/>
      <c r="E469" s="79" t="n"/>
      <c r="F469" s="94" t="n"/>
      <c r="G469" s="95" t="n"/>
      <c r="H469" s="96" t="n"/>
      <c r="I469" s="97" t="n"/>
      <c r="J469" s="97" t="n"/>
      <c r="K469" s="83" t="n"/>
      <c r="L469" s="83" t="n"/>
      <c r="M469" s="83" t="n"/>
      <c r="N469" s="83" t="n"/>
      <c r="O469" s="84" t="n"/>
      <c r="P469" s="83" t="n"/>
      <c r="Q469" s="83" t="n"/>
      <c r="R469" s="85" t="n"/>
      <c r="S469" s="83" t="n"/>
      <c r="T469" s="86" t="n"/>
      <c r="U469" s="92" t="n"/>
      <c r="V469" s="93" t="n"/>
      <c r="W469" s="93" t="n"/>
      <c r="X469" s="7" t="n"/>
      <c r="Y469" s="7" t="n"/>
      <c r="Z469" s="162" t="n"/>
      <c r="AA469" s="90" t="n"/>
      <c r="AB469" s="16" t="n"/>
      <c r="AC469" s="16" t="n"/>
      <c r="AD469" s="16" t="n"/>
    </row>
    <row r="470" ht="13.1" customHeight="1" s="151">
      <c r="A470" s="78" t="n"/>
      <c r="B470" s="16" t="n"/>
      <c r="C470" s="16" t="n"/>
      <c r="D470" s="16" t="n"/>
      <c r="E470" s="79" t="n"/>
      <c r="F470" s="94" t="n"/>
      <c r="G470" s="95" t="n"/>
      <c r="H470" s="96" t="n"/>
      <c r="I470" s="97" t="n"/>
      <c r="J470" s="97" t="n"/>
      <c r="K470" s="83" t="n"/>
      <c r="L470" s="83" t="n"/>
      <c r="M470" s="83" t="n"/>
      <c r="N470" s="83" t="n"/>
      <c r="O470" s="84" t="n"/>
      <c r="P470" s="83" t="n"/>
      <c r="Q470" s="83" t="n"/>
      <c r="R470" s="85" t="n"/>
      <c r="S470" s="83" t="n"/>
      <c r="T470" s="86" t="n"/>
      <c r="U470" s="92" t="n"/>
      <c r="V470" s="93" t="n"/>
      <c r="W470" s="93" t="n"/>
      <c r="X470" s="7" t="n"/>
      <c r="Y470" s="7" t="n"/>
      <c r="Z470" s="162" t="n"/>
      <c r="AA470" s="90" t="n"/>
      <c r="AB470" s="16" t="n"/>
      <c r="AC470" s="16" t="n"/>
      <c r="AD470" s="16" t="n"/>
    </row>
    <row r="471" ht="13.1" customHeight="1" s="151">
      <c r="A471" s="78" t="n"/>
      <c r="B471" s="16" t="n"/>
      <c r="C471" s="16" t="n"/>
      <c r="D471" s="16" t="n"/>
      <c r="E471" s="79" t="n"/>
      <c r="F471" s="94" t="n"/>
      <c r="G471" s="95" t="n"/>
      <c r="H471" s="96" t="n"/>
      <c r="I471" s="97" t="n"/>
      <c r="J471" s="97" t="n"/>
      <c r="K471" s="83" t="n"/>
      <c r="L471" s="83" t="n"/>
      <c r="M471" s="83" t="n"/>
      <c r="N471" s="83" t="n"/>
      <c r="O471" s="84" t="n"/>
      <c r="P471" s="83" t="n"/>
      <c r="Q471" s="83" t="n"/>
      <c r="R471" s="85" t="n"/>
      <c r="S471" s="83" t="n"/>
      <c r="T471" s="86" t="n"/>
      <c r="U471" s="92" t="n"/>
      <c r="V471" s="93" t="n"/>
      <c r="W471" s="93" t="n"/>
      <c r="X471" s="7" t="n"/>
      <c r="Y471" s="7" t="n"/>
      <c r="Z471" s="162" t="n"/>
      <c r="AA471" s="90" t="n"/>
      <c r="AB471" s="16" t="n"/>
      <c r="AC471" s="16" t="n"/>
      <c r="AD471" s="16" t="n"/>
    </row>
    <row r="472" ht="13.1" customHeight="1" s="151">
      <c r="A472" s="78" t="n"/>
      <c r="B472" s="16" t="n"/>
      <c r="C472" s="16" t="n"/>
      <c r="D472" s="16" t="n"/>
      <c r="E472" s="79" t="n"/>
      <c r="F472" s="94" t="n"/>
      <c r="G472" s="95" t="n"/>
      <c r="H472" s="96" t="n"/>
      <c r="I472" s="97" t="n"/>
      <c r="J472" s="97" t="n"/>
      <c r="K472" s="83" t="n"/>
      <c r="L472" s="83" t="n"/>
      <c r="M472" s="83" t="n"/>
      <c r="N472" s="83" t="n"/>
      <c r="O472" s="84" t="n"/>
      <c r="P472" s="83" t="n"/>
      <c r="Q472" s="83" t="n"/>
      <c r="R472" s="85" t="n"/>
      <c r="S472" s="83" t="n"/>
      <c r="T472" s="86" t="n"/>
      <c r="U472" s="92" t="n"/>
      <c r="V472" s="93" t="n"/>
      <c r="W472" s="93" t="n"/>
      <c r="X472" s="7" t="n"/>
      <c r="Y472" s="7" t="n"/>
      <c r="Z472" s="162" t="n"/>
      <c r="AA472" s="90" t="n"/>
      <c r="AB472" s="16" t="n"/>
      <c r="AC472" s="16" t="n"/>
      <c r="AD472" s="16" t="n"/>
    </row>
    <row r="473" ht="13.1" customHeight="1" s="151">
      <c r="A473" s="78" t="n"/>
      <c r="B473" s="16" t="n"/>
      <c r="C473" s="16" t="n"/>
      <c r="D473" s="16" t="n"/>
      <c r="E473" s="79" t="n"/>
      <c r="F473" s="94" t="n"/>
      <c r="G473" s="95" t="n"/>
      <c r="H473" s="96" t="n"/>
      <c r="I473" s="97" t="n"/>
      <c r="J473" s="97" t="n"/>
      <c r="K473" s="83" t="n"/>
      <c r="L473" s="83" t="n"/>
      <c r="M473" s="83" t="n"/>
      <c r="N473" s="83" t="n"/>
      <c r="O473" s="84" t="n"/>
      <c r="P473" s="83" t="n"/>
      <c r="Q473" s="83" t="n"/>
      <c r="R473" s="85" t="n"/>
      <c r="S473" s="83" t="n"/>
      <c r="T473" s="86" t="n"/>
      <c r="U473" s="92" t="n"/>
      <c r="V473" s="93" t="n"/>
      <c r="W473" s="93" t="n"/>
      <c r="X473" s="7" t="n"/>
      <c r="Y473" s="7" t="n"/>
      <c r="Z473" s="162" t="n"/>
      <c r="AA473" s="90" t="n"/>
      <c r="AB473" s="16" t="n"/>
      <c r="AC473" s="16" t="n"/>
      <c r="AD473" s="16" t="n"/>
    </row>
    <row r="474" ht="13.1" customHeight="1" s="151">
      <c r="A474" s="78" t="n"/>
      <c r="B474" s="16" t="n"/>
      <c r="C474" s="16" t="n"/>
      <c r="D474" s="16" t="n"/>
      <c r="E474" s="79" t="n"/>
      <c r="F474" s="94" t="n"/>
      <c r="G474" s="95" t="n"/>
      <c r="H474" s="96" t="n"/>
      <c r="I474" s="97" t="n"/>
      <c r="J474" s="97" t="n"/>
      <c r="K474" s="83" t="n"/>
      <c r="L474" s="83" t="n"/>
      <c r="M474" s="83" t="n"/>
      <c r="N474" s="83" t="n"/>
      <c r="O474" s="84" t="n"/>
      <c r="P474" s="83" t="n"/>
      <c r="Q474" s="83" t="n"/>
      <c r="R474" s="85" t="n"/>
      <c r="S474" s="83" t="n"/>
      <c r="T474" s="86" t="n"/>
      <c r="U474" s="92" t="n"/>
      <c r="V474" s="93" t="n"/>
      <c r="W474" s="93" t="n"/>
      <c r="X474" s="7" t="n"/>
      <c r="Y474" s="7" t="n"/>
      <c r="Z474" s="162" t="n"/>
      <c r="AA474" s="90" t="n"/>
      <c r="AB474" s="16" t="n"/>
      <c r="AC474" s="16" t="n"/>
      <c r="AD474" s="16" t="n"/>
    </row>
    <row r="475" ht="13.1" customHeight="1" s="151">
      <c r="A475" s="78" t="n"/>
      <c r="B475" s="16" t="n"/>
      <c r="C475" s="16" t="n"/>
      <c r="D475" s="16" t="n"/>
      <c r="E475" s="79" t="n"/>
      <c r="F475" s="94" t="n"/>
      <c r="G475" s="95" t="n"/>
      <c r="H475" s="96" t="n"/>
      <c r="I475" s="97" t="n"/>
      <c r="J475" s="97" t="n"/>
      <c r="K475" s="83" t="n"/>
      <c r="L475" s="83" t="n"/>
      <c r="M475" s="83" t="n"/>
      <c r="N475" s="83" t="n"/>
      <c r="O475" s="84" t="n"/>
      <c r="P475" s="83" t="n"/>
      <c r="Q475" s="83" t="n"/>
      <c r="R475" s="85" t="n"/>
      <c r="S475" s="83" t="n"/>
      <c r="T475" s="86" t="n"/>
      <c r="U475" s="92" t="n"/>
      <c r="V475" s="93" t="n"/>
      <c r="W475" s="93" t="n"/>
      <c r="X475" s="7" t="n"/>
      <c r="Y475" s="7" t="n"/>
      <c r="Z475" s="162" t="n"/>
      <c r="AA475" s="90" t="n"/>
      <c r="AB475" s="16" t="n"/>
      <c r="AC475" s="16" t="n"/>
      <c r="AD475" s="16" t="n"/>
    </row>
    <row r="476" ht="13.1" customHeight="1" s="151">
      <c r="A476" s="78" t="n"/>
      <c r="B476" s="16" t="n"/>
      <c r="C476" s="16" t="n"/>
      <c r="D476" s="16" t="n"/>
      <c r="E476" s="79" t="n"/>
      <c r="F476" s="94" t="n"/>
      <c r="G476" s="95" t="n"/>
      <c r="H476" s="96" t="n"/>
      <c r="I476" s="97" t="n"/>
      <c r="J476" s="97" t="n"/>
      <c r="K476" s="83" t="n"/>
      <c r="L476" s="83" t="n"/>
      <c r="M476" s="83" t="n"/>
      <c r="N476" s="83" t="n"/>
      <c r="O476" s="84" t="n"/>
      <c r="P476" s="83" t="n"/>
      <c r="Q476" s="83" t="n"/>
      <c r="R476" s="85" t="n"/>
      <c r="S476" s="83" t="n"/>
      <c r="T476" s="86" t="n"/>
      <c r="U476" s="92" t="n"/>
      <c r="V476" s="93" t="n"/>
      <c r="W476" s="93" t="n"/>
      <c r="X476" s="7" t="n"/>
      <c r="Y476" s="7" t="n"/>
      <c r="Z476" s="162" t="n"/>
      <c r="AA476" s="90" t="n"/>
      <c r="AB476" s="16" t="n"/>
      <c r="AC476" s="16" t="n"/>
      <c r="AD476" s="16" t="n"/>
    </row>
    <row r="477" ht="13.1" customHeight="1" s="151">
      <c r="A477" s="78" t="n"/>
      <c r="B477" s="16" t="n"/>
      <c r="C477" s="16" t="n"/>
      <c r="D477" s="16" t="n"/>
      <c r="E477" s="79" t="n"/>
      <c r="F477" s="94" t="n"/>
      <c r="G477" s="95" t="n"/>
      <c r="H477" s="96" t="n"/>
      <c r="I477" s="97" t="n"/>
      <c r="J477" s="97" t="n"/>
      <c r="K477" s="83" t="n"/>
      <c r="L477" s="83" t="n"/>
      <c r="M477" s="83" t="n"/>
      <c r="N477" s="83" t="n"/>
      <c r="O477" s="84" t="n"/>
      <c r="P477" s="83" t="n"/>
      <c r="Q477" s="83" t="n"/>
      <c r="R477" s="85" t="n"/>
      <c r="S477" s="83" t="n"/>
      <c r="T477" s="86" t="n"/>
      <c r="U477" s="92" t="n"/>
      <c r="V477" s="93" t="n"/>
      <c r="W477" s="93" t="n"/>
      <c r="X477" s="7" t="n"/>
      <c r="Y477" s="7" t="n"/>
      <c r="Z477" s="162" t="n"/>
      <c r="AA477" s="90" t="n"/>
      <c r="AB477" s="16" t="n"/>
      <c r="AC477" s="16" t="n"/>
      <c r="AD477" s="16" t="n"/>
    </row>
    <row r="478" ht="13.1" customHeight="1" s="151">
      <c r="A478" s="78" t="n"/>
      <c r="B478" s="16" t="n"/>
      <c r="C478" s="16" t="n"/>
      <c r="D478" s="16" t="n"/>
      <c r="E478" s="79" t="n"/>
      <c r="F478" s="94" t="n"/>
      <c r="G478" s="95" t="n"/>
      <c r="H478" s="96" t="n"/>
      <c r="I478" s="97" t="n"/>
      <c r="J478" s="97" t="n"/>
      <c r="K478" s="83" t="n"/>
      <c r="L478" s="83" t="n"/>
      <c r="M478" s="83" t="n"/>
      <c r="N478" s="83" t="n"/>
      <c r="O478" s="84" t="n"/>
      <c r="P478" s="83" t="n"/>
      <c r="Q478" s="83" t="n"/>
      <c r="R478" s="85" t="n"/>
      <c r="S478" s="83" t="n"/>
      <c r="T478" s="86" t="n"/>
      <c r="U478" s="92" t="n"/>
      <c r="V478" s="93" t="n"/>
      <c r="W478" s="93" t="n"/>
      <c r="X478" s="7" t="n"/>
      <c r="Y478" s="7" t="n"/>
      <c r="Z478" s="162" t="n"/>
      <c r="AA478" s="90" t="n"/>
      <c r="AB478" s="16" t="n"/>
      <c r="AC478" s="16" t="n"/>
      <c r="AD478" s="16" t="n"/>
    </row>
    <row r="479" ht="13.1" customHeight="1" s="151">
      <c r="A479" s="78" t="n"/>
      <c r="B479" s="16" t="n"/>
      <c r="C479" s="16" t="n"/>
      <c r="D479" s="16" t="n"/>
      <c r="E479" s="79" t="n"/>
      <c r="F479" s="94" t="n"/>
      <c r="G479" s="95" t="n"/>
      <c r="H479" s="96" t="n"/>
      <c r="I479" s="97" t="n"/>
      <c r="J479" s="97" t="n"/>
      <c r="K479" s="83" t="n"/>
      <c r="L479" s="83" t="n"/>
      <c r="M479" s="83" t="n"/>
      <c r="N479" s="83" t="n"/>
      <c r="O479" s="84" t="n"/>
      <c r="P479" s="83" t="n"/>
      <c r="Q479" s="83" t="n"/>
      <c r="R479" s="85" t="n"/>
      <c r="S479" s="83" t="n"/>
      <c r="T479" s="86" t="n"/>
      <c r="U479" s="92" t="n"/>
      <c r="V479" s="93" t="n"/>
      <c r="W479" s="93" t="n"/>
      <c r="X479" s="7" t="n"/>
      <c r="Y479" s="7" t="n"/>
      <c r="Z479" s="162" t="n"/>
      <c r="AA479" s="90" t="n"/>
      <c r="AB479" s="16" t="n"/>
      <c r="AC479" s="16" t="n"/>
      <c r="AD479" s="16" t="n"/>
    </row>
    <row r="480" ht="13.1" customHeight="1" s="151">
      <c r="A480" s="78" t="n"/>
      <c r="B480" s="16" t="n"/>
      <c r="C480" s="16" t="n"/>
      <c r="D480" s="16" t="n"/>
      <c r="E480" s="79" t="n"/>
      <c r="F480" s="94" t="n"/>
      <c r="G480" s="95" t="n"/>
      <c r="H480" s="96" t="n"/>
      <c r="I480" s="97" t="n"/>
      <c r="J480" s="97" t="n"/>
      <c r="K480" s="83" t="n"/>
      <c r="L480" s="83" t="n"/>
      <c r="M480" s="83" t="n"/>
      <c r="N480" s="83" t="n"/>
      <c r="O480" s="84" t="n"/>
      <c r="P480" s="83" t="n"/>
      <c r="Q480" s="83" t="n"/>
      <c r="R480" s="85" t="n"/>
      <c r="S480" s="83" t="n"/>
      <c r="T480" s="86" t="n"/>
      <c r="U480" s="92" t="n"/>
      <c r="V480" s="93" t="n"/>
      <c r="W480" s="93" t="n"/>
      <c r="X480" s="7" t="n"/>
      <c r="Y480" s="7" t="n"/>
      <c r="Z480" s="162" t="n"/>
      <c r="AA480" s="90" t="n"/>
      <c r="AB480" s="16" t="n"/>
      <c r="AC480" s="16" t="n"/>
      <c r="AD480" s="16" t="n"/>
    </row>
    <row r="481" ht="13.1" customHeight="1" s="151">
      <c r="A481" s="78" t="n"/>
      <c r="B481" s="16" t="n"/>
      <c r="C481" s="16" t="n"/>
      <c r="D481" s="16" t="n"/>
      <c r="E481" s="79" t="n"/>
      <c r="F481" s="94" t="n"/>
      <c r="G481" s="95" t="n"/>
      <c r="H481" s="96" t="n"/>
      <c r="I481" s="97" t="n"/>
      <c r="J481" s="97" t="n"/>
      <c r="K481" s="83" t="n"/>
      <c r="L481" s="83" t="n"/>
      <c r="M481" s="83" t="n"/>
      <c r="N481" s="83" t="n"/>
      <c r="O481" s="84" t="n"/>
      <c r="P481" s="83" t="n"/>
      <c r="Q481" s="83" t="n"/>
      <c r="R481" s="85" t="n"/>
      <c r="S481" s="83" t="n"/>
      <c r="T481" s="86" t="n"/>
      <c r="U481" s="92" t="n"/>
      <c r="V481" s="93" t="n"/>
      <c r="W481" s="93" t="n"/>
      <c r="X481" s="7" t="n"/>
      <c r="Y481" s="7" t="n"/>
      <c r="Z481" s="162" t="n"/>
      <c r="AA481" s="90" t="n"/>
      <c r="AB481" s="16" t="n"/>
      <c r="AC481" s="16" t="n"/>
      <c r="AD481" s="16" t="n"/>
    </row>
    <row r="482" ht="13.1" customHeight="1" s="151">
      <c r="A482" s="78" t="n"/>
      <c r="B482" s="16" t="n"/>
      <c r="C482" s="16" t="n"/>
      <c r="D482" s="16" t="n"/>
      <c r="E482" s="79" t="n"/>
      <c r="F482" s="94" t="n"/>
      <c r="G482" s="95" t="n"/>
      <c r="H482" s="96" t="n"/>
      <c r="I482" s="97" t="n"/>
      <c r="J482" s="97" t="n"/>
      <c r="K482" s="83" t="n"/>
      <c r="L482" s="83" t="n"/>
      <c r="M482" s="83" t="n"/>
      <c r="N482" s="83" t="n"/>
      <c r="O482" s="84" t="n"/>
      <c r="P482" s="83" t="n"/>
      <c r="Q482" s="83" t="n"/>
      <c r="R482" s="85" t="n"/>
      <c r="S482" s="83" t="n"/>
      <c r="T482" s="86" t="n"/>
      <c r="U482" s="92" t="n"/>
      <c r="V482" s="93" t="n"/>
      <c r="W482" s="93" t="n"/>
      <c r="X482" s="7" t="n"/>
      <c r="Y482" s="7" t="n"/>
      <c r="Z482" s="162" t="n"/>
      <c r="AA482" s="90" t="n"/>
      <c r="AB482" s="16" t="n"/>
      <c r="AC482" s="16" t="n"/>
      <c r="AD482" s="16" t="n"/>
    </row>
    <row r="483" ht="13.1" customHeight="1" s="151">
      <c r="A483" s="78" t="n"/>
      <c r="B483" s="16" t="n"/>
      <c r="C483" s="16" t="n"/>
      <c r="D483" s="16" t="n"/>
      <c r="E483" s="79" t="n"/>
      <c r="F483" s="94" t="n"/>
      <c r="G483" s="95" t="n"/>
      <c r="H483" s="96" t="n"/>
      <c r="I483" s="97" t="n"/>
      <c r="J483" s="97" t="n"/>
      <c r="K483" s="83" t="n"/>
      <c r="L483" s="83" t="n"/>
      <c r="M483" s="83" t="n"/>
      <c r="N483" s="83" t="n"/>
      <c r="O483" s="84" t="n"/>
      <c r="P483" s="83" t="n"/>
      <c r="Q483" s="83" t="n"/>
      <c r="R483" s="85" t="n"/>
      <c r="S483" s="83" t="n"/>
      <c r="T483" s="86" t="n"/>
      <c r="U483" s="92" t="n"/>
      <c r="V483" s="93" t="n"/>
      <c r="W483" s="93" t="n"/>
      <c r="X483" s="7" t="n"/>
      <c r="Y483" s="7" t="n"/>
      <c r="Z483" s="162" t="n"/>
      <c r="AA483" s="90" t="n"/>
      <c r="AB483" s="16" t="n"/>
      <c r="AC483" s="16" t="n"/>
      <c r="AD483" s="16" t="n"/>
    </row>
    <row r="484" ht="13.1" customHeight="1" s="151">
      <c r="A484" s="78" t="n"/>
      <c r="B484" s="16" t="n"/>
      <c r="C484" s="16" t="n"/>
      <c r="D484" s="16" t="n"/>
      <c r="E484" s="79" t="n"/>
      <c r="F484" s="94" t="n"/>
      <c r="G484" s="95" t="n"/>
      <c r="H484" s="96" t="n"/>
      <c r="I484" s="97" t="n"/>
      <c r="J484" s="97" t="n"/>
      <c r="K484" s="83" t="n"/>
      <c r="L484" s="83" t="n"/>
      <c r="M484" s="83" t="n"/>
      <c r="N484" s="83" t="n"/>
      <c r="O484" s="84" t="n"/>
      <c r="P484" s="83" t="n"/>
      <c r="Q484" s="83" t="n"/>
      <c r="R484" s="85" t="n"/>
      <c r="S484" s="83" t="n"/>
      <c r="T484" s="86" t="n"/>
      <c r="U484" s="92" t="n"/>
      <c r="V484" s="93" t="n"/>
      <c r="W484" s="93" t="n"/>
      <c r="X484" s="7" t="n"/>
      <c r="Y484" s="7" t="n"/>
      <c r="Z484" s="162" t="n"/>
      <c r="AA484" s="90" t="n"/>
      <c r="AB484" s="16" t="n"/>
      <c r="AC484" s="16" t="n"/>
      <c r="AD484" s="16" t="n"/>
    </row>
    <row r="485" ht="13.1" customHeight="1" s="151">
      <c r="A485" s="78" t="n"/>
      <c r="B485" s="16" t="n"/>
      <c r="C485" s="16" t="n"/>
      <c r="D485" s="16" t="n"/>
      <c r="E485" s="79" t="n"/>
      <c r="F485" s="94" t="n"/>
      <c r="G485" s="95" t="n"/>
      <c r="H485" s="96" t="n"/>
      <c r="I485" s="97" t="n"/>
      <c r="J485" s="97" t="n"/>
      <c r="K485" s="83" t="n"/>
      <c r="L485" s="83" t="n"/>
      <c r="M485" s="83" t="n"/>
      <c r="N485" s="83" t="n"/>
      <c r="O485" s="84" t="n"/>
      <c r="P485" s="83" t="n"/>
      <c r="Q485" s="83" t="n"/>
      <c r="R485" s="85" t="n"/>
      <c r="S485" s="83" t="n"/>
      <c r="T485" s="86" t="n"/>
      <c r="U485" s="92" t="n"/>
      <c r="V485" s="93" t="n"/>
      <c r="W485" s="93" t="n"/>
      <c r="X485" s="7" t="n"/>
      <c r="Y485" s="7" t="n"/>
      <c r="Z485" s="162" t="n"/>
      <c r="AA485" s="90" t="n"/>
      <c r="AB485" s="16" t="n"/>
      <c r="AC485" s="16" t="n"/>
      <c r="AD485" s="16" t="n"/>
    </row>
    <row r="486" ht="13.1" customHeight="1" s="151">
      <c r="A486" s="78" t="n"/>
      <c r="B486" s="16" t="n"/>
      <c r="C486" s="16" t="n"/>
      <c r="D486" s="16" t="n"/>
      <c r="E486" s="79" t="n"/>
      <c r="F486" s="94" t="n"/>
      <c r="G486" s="95" t="n"/>
      <c r="H486" s="96" t="n"/>
      <c r="I486" s="97" t="n"/>
      <c r="J486" s="97" t="n"/>
      <c r="K486" s="83" t="n"/>
      <c r="L486" s="83" t="n"/>
      <c r="M486" s="83" t="n"/>
      <c r="N486" s="83" t="n"/>
      <c r="O486" s="84" t="n"/>
      <c r="P486" s="83" t="n"/>
      <c r="Q486" s="83" t="n"/>
      <c r="R486" s="85" t="n"/>
      <c r="S486" s="83" t="n"/>
      <c r="T486" s="86" t="n"/>
      <c r="U486" s="92" t="n"/>
      <c r="V486" s="93" t="n"/>
      <c r="W486" s="93" t="n"/>
      <c r="X486" s="7" t="n"/>
      <c r="Y486" s="7" t="n"/>
      <c r="Z486" s="162" t="n"/>
      <c r="AA486" s="90" t="n"/>
      <c r="AB486" s="16" t="n"/>
      <c r="AC486" s="16" t="n"/>
      <c r="AD486" s="16" t="n"/>
    </row>
    <row r="487" ht="13.1" customHeight="1" s="151">
      <c r="A487" s="78" t="n"/>
      <c r="B487" s="16" t="n"/>
      <c r="C487" s="16" t="n"/>
      <c r="D487" s="16" t="n"/>
      <c r="E487" s="79" t="n"/>
      <c r="F487" s="94" t="n"/>
      <c r="G487" s="95" t="n"/>
      <c r="H487" s="96" t="n"/>
      <c r="I487" s="97" t="n"/>
      <c r="J487" s="97" t="n"/>
      <c r="K487" s="83" t="n"/>
      <c r="L487" s="83" t="n"/>
      <c r="M487" s="83" t="n"/>
      <c r="N487" s="83" t="n"/>
      <c r="O487" s="84" t="n"/>
      <c r="P487" s="83" t="n"/>
      <c r="Q487" s="83" t="n"/>
      <c r="R487" s="85" t="n"/>
      <c r="S487" s="83" t="n"/>
      <c r="T487" s="86" t="n"/>
      <c r="U487" s="92" t="n"/>
      <c r="V487" s="93" t="n"/>
      <c r="W487" s="93" t="n"/>
      <c r="X487" s="7" t="n"/>
      <c r="Y487" s="7" t="n"/>
      <c r="Z487" s="162" t="n"/>
      <c r="AA487" s="90" t="n"/>
      <c r="AB487" s="16" t="n"/>
      <c r="AC487" s="16" t="n"/>
      <c r="AD487" s="16" t="n"/>
    </row>
    <row r="488" ht="13.1" customHeight="1" s="151">
      <c r="A488" s="78" t="n"/>
      <c r="B488" s="16" t="n"/>
      <c r="C488" s="16" t="n"/>
      <c r="D488" s="16" t="n"/>
      <c r="E488" s="79" t="n"/>
      <c r="F488" s="94" t="n"/>
      <c r="G488" s="95" t="n"/>
      <c r="H488" s="96" t="n"/>
      <c r="I488" s="97" t="n"/>
      <c r="J488" s="97" t="n"/>
      <c r="K488" s="83" t="n"/>
      <c r="L488" s="83" t="n"/>
      <c r="M488" s="83" t="n"/>
      <c r="N488" s="83" t="n"/>
      <c r="O488" s="84" t="n"/>
      <c r="P488" s="83" t="n"/>
      <c r="Q488" s="83" t="n"/>
      <c r="R488" s="85" t="n"/>
      <c r="S488" s="83" t="n"/>
      <c r="T488" s="86" t="n"/>
      <c r="U488" s="92" t="n"/>
      <c r="V488" s="93" t="n"/>
      <c r="W488" s="93" t="n"/>
      <c r="X488" s="7" t="n"/>
      <c r="Y488" s="7" t="n"/>
      <c r="Z488" s="162" t="n"/>
      <c r="AA488" s="90" t="n"/>
      <c r="AB488" s="16" t="n"/>
      <c r="AC488" s="16" t="n"/>
      <c r="AD488" s="16" t="n"/>
    </row>
    <row r="489" ht="13.1" customHeight="1" s="151">
      <c r="A489" s="78" t="n"/>
      <c r="B489" s="16" t="n"/>
      <c r="C489" s="16" t="n"/>
      <c r="D489" s="16" t="n"/>
      <c r="E489" s="79" t="n"/>
      <c r="F489" s="94" t="n"/>
      <c r="G489" s="95" t="n"/>
      <c r="H489" s="96" t="n"/>
      <c r="I489" s="97" t="n"/>
      <c r="J489" s="97" t="n"/>
      <c r="K489" s="83" t="n"/>
      <c r="L489" s="83" t="n"/>
      <c r="M489" s="83" t="n"/>
      <c r="N489" s="83" t="n"/>
      <c r="O489" s="84" t="n"/>
      <c r="P489" s="83" t="n"/>
      <c r="Q489" s="83" t="n"/>
      <c r="R489" s="85" t="n"/>
      <c r="S489" s="83" t="n"/>
      <c r="T489" s="86" t="n"/>
      <c r="U489" s="92" t="n"/>
      <c r="V489" s="93" t="n"/>
      <c r="W489" s="93" t="n"/>
      <c r="X489" s="7" t="n"/>
      <c r="Y489" s="7" t="n"/>
      <c r="Z489" s="162" t="n"/>
      <c r="AA489" s="90" t="n"/>
      <c r="AB489" s="16" t="n"/>
      <c r="AC489" s="16" t="n"/>
      <c r="AD489" s="16" t="n"/>
    </row>
    <row r="490" ht="13.1" customHeight="1" s="151">
      <c r="A490" s="78" t="n"/>
      <c r="B490" s="16" t="n"/>
      <c r="C490" s="16" t="n"/>
      <c r="D490" s="16" t="n"/>
      <c r="E490" s="79" t="n"/>
      <c r="F490" s="94" t="n"/>
      <c r="G490" s="95" t="n"/>
      <c r="H490" s="96" t="n"/>
      <c r="I490" s="97" t="n"/>
      <c r="J490" s="97" t="n"/>
      <c r="K490" s="83" t="n"/>
      <c r="L490" s="83" t="n"/>
      <c r="M490" s="83" t="n"/>
      <c r="N490" s="83" t="n"/>
      <c r="O490" s="84" t="n"/>
      <c r="P490" s="83" t="n"/>
      <c r="Q490" s="83" t="n"/>
      <c r="R490" s="85" t="n"/>
      <c r="S490" s="83" t="n"/>
      <c r="T490" s="86" t="n"/>
      <c r="U490" s="92" t="n"/>
      <c r="V490" s="93" t="n"/>
      <c r="W490" s="93" t="n"/>
      <c r="X490" s="7" t="n"/>
      <c r="Y490" s="7" t="n"/>
      <c r="Z490" s="162" t="n"/>
      <c r="AA490" s="90" t="n"/>
      <c r="AB490" s="16" t="n"/>
      <c r="AC490" s="16" t="n"/>
      <c r="AD490" s="16" t="n"/>
    </row>
    <row r="491" ht="13.1" customHeight="1" s="151">
      <c r="A491" s="78" t="n"/>
      <c r="B491" s="16" t="n"/>
      <c r="C491" s="16" t="n"/>
      <c r="D491" s="16" t="n"/>
      <c r="E491" s="79" t="n"/>
      <c r="F491" s="94" t="n"/>
      <c r="G491" s="95" t="n"/>
      <c r="H491" s="96" t="n"/>
      <c r="I491" s="97" t="n"/>
      <c r="J491" s="97" t="n"/>
      <c r="K491" s="83" t="n"/>
      <c r="L491" s="83" t="n"/>
      <c r="M491" s="83" t="n"/>
      <c r="N491" s="83" t="n"/>
      <c r="O491" s="84" t="n"/>
      <c r="P491" s="83" t="n"/>
      <c r="Q491" s="83" t="n"/>
      <c r="R491" s="85" t="n"/>
      <c r="S491" s="83" t="n"/>
      <c r="T491" s="86" t="n"/>
      <c r="U491" s="92" t="n"/>
      <c r="V491" s="93" t="n"/>
      <c r="W491" s="93" t="n"/>
      <c r="X491" s="7" t="n"/>
      <c r="Y491" s="7" t="n"/>
      <c r="Z491" s="162" t="n"/>
      <c r="AA491" s="90" t="n"/>
      <c r="AB491" s="16" t="n"/>
      <c r="AC491" s="16" t="n"/>
      <c r="AD491" s="16" t="n"/>
    </row>
    <row r="492" ht="13.1" customHeight="1" s="151">
      <c r="A492" s="78" t="n"/>
      <c r="B492" s="16" t="n"/>
      <c r="C492" s="16" t="n"/>
      <c r="D492" s="16" t="n"/>
      <c r="E492" s="79" t="n"/>
      <c r="F492" s="94" t="n"/>
      <c r="G492" s="95" t="n"/>
      <c r="H492" s="96" t="n"/>
      <c r="I492" s="97" t="n"/>
      <c r="J492" s="97" t="n"/>
      <c r="K492" s="83" t="n"/>
      <c r="L492" s="83" t="n"/>
      <c r="M492" s="83" t="n"/>
      <c r="N492" s="83" t="n"/>
      <c r="O492" s="84" t="n"/>
      <c r="P492" s="83" t="n"/>
      <c r="Q492" s="83" t="n"/>
      <c r="R492" s="85" t="n"/>
      <c r="S492" s="83" t="n"/>
      <c r="T492" s="86" t="n"/>
      <c r="U492" s="92" t="n"/>
      <c r="V492" s="93" t="n"/>
      <c r="W492" s="93" t="n"/>
      <c r="X492" s="7" t="n"/>
      <c r="Y492" s="7" t="n"/>
      <c r="Z492" s="162" t="n"/>
      <c r="AA492" s="90" t="n"/>
      <c r="AB492" s="16" t="n"/>
      <c r="AC492" s="16" t="n"/>
      <c r="AD492" s="16" t="n"/>
    </row>
    <row r="493" ht="13.1" customHeight="1" s="151">
      <c r="A493" s="78" t="n"/>
      <c r="B493" s="16" t="n"/>
      <c r="C493" s="16" t="n"/>
      <c r="D493" s="16" t="n"/>
      <c r="E493" s="79" t="n"/>
      <c r="F493" s="94" t="n"/>
      <c r="G493" s="95" t="n"/>
      <c r="H493" s="96" t="n"/>
      <c r="I493" s="97" t="n"/>
      <c r="J493" s="97" t="n"/>
      <c r="K493" s="83" t="n"/>
      <c r="L493" s="83" t="n"/>
      <c r="M493" s="83" t="n"/>
      <c r="N493" s="83" t="n"/>
      <c r="O493" s="84" t="n"/>
      <c r="P493" s="83" t="n"/>
      <c r="Q493" s="83" t="n"/>
      <c r="R493" s="85" t="n"/>
      <c r="S493" s="83" t="n"/>
      <c r="T493" s="86" t="n"/>
      <c r="U493" s="92" t="n"/>
      <c r="V493" s="93" t="n"/>
      <c r="W493" s="93" t="n"/>
      <c r="X493" s="7" t="n"/>
      <c r="Y493" s="7" t="n"/>
      <c r="Z493" s="162" t="n"/>
      <c r="AA493" s="90" t="n"/>
      <c r="AB493" s="16" t="n"/>
      <c r="AC493" s="16" t="n"/>
      <c r="AD493" s="16" t="n"/>
    </row>
    <row r="494" ht="13.1" customHeight="1" s="151">
      <c r="A494" s="78" t="n"/>
      <c r="B494" s="16" t="n"/>
      <c r="C494" s="16" t="n"/>
      <c r="D494" s="16" t="n"/>
      <c r="E494" s="79" t="n"/>
      <c r="F494" s="94" t="n"/>
      <c r="G494" s="95" t="n"/>
      <c r="H494" s="96" t="n"/>
      <c r="I494" s="97" t="n"/>
      <c r="J494" s="97" t="n"/>
      <c r="K494" s="83" t="n"/>
      <c r="L494" s="83" t="n"/>
      <c r="M494" s="83" t="n"/>
      <c r="N494" s="83" t="n"/>
      <c r="O494" s="84" t="n"/>
      <c r="P494" s="83" t="n"/>
      <c r="Q494" s="83" t="n"/>
      <c r="R494" s="85" t="n"/>
      <c r="S494" s="83" t="n"/>
      <c r="T494" s="86" t="n"/>
      <c r="U494" s="92" t="n"/>
      <c r="V494" s="93" t="n"/>
      <c r="W494" s="93" t="n"/>
      <c r="X494" s="7" t="n"/>
      <c r="Y494" s="7" t="n"/>
      <c r="Z494" s="162" t="n"/>
      <c r="AA494" s="90" t="n"/>
      <c r="AB494" s="16" t="n"/>
      <c r="AC494" s="16" t="n"/>
      <c r="AD494" s="16" t="n"/>
    </row>
    <row r="495" ht="13.1" customHeight="1" s="151">
      <c r="A495" s="78" t="n"/>
      <c r="B495" s="16" t="n"/>
      <c r="C495" s="16" t="n"/>
      <c r="D495" s="16" t="n"/>
      <c r="E495" s="79" t="n"/>
      <c r="F495" s="94" t="n"/>
      <c r="G495" s="95" t="n"/>
      <c r="H495" s="96" t="n"/>
      <c r="I495" s="97" t="n"/>
      <c r="J495" s="97" t="n"/>
      <c r="K495" s="83" t="n"/>
      <c r="L495" s="83" t="n"/>
      <c r="M495" s="83" t="n"/>
      <c r="N495" s="83" t="n"/>
      <c r="O495" s="84" t="n"/>
      <c r="P495" s="83" t="n"/>
      <c r="Q495" s="83" t="n"/>
      <c r="R495" s="85" t="n"/>
      <c r="S495" s="83" t="n"/>
      <c r="T495" s="86" t="n"/>
      <c r="U495" s="92" t="n"/>
      <c r="V495" s="93" t="n"/>
      <c r="W495" s="93" t="n"/>
      <c r="X495" s="7" t="n"/>
      <c r="Y495" s="7" t="n"/>
      <c r="Z495" s="162" t="n"/>
      <c r="AA495" s="90" t="n"/>
      <c r="AB495" s="16" t="n"/>
      <c r="AC495" s="16" t="n"/>
      <c r="AD495" s="16" t="n"/>
    </row>
    <row r="496" ht="13.1" customHeight="1" s="151">
      <c r="A496" s="78" t="n"/>
      <c r="B496" s="16" t="n"/>
      <c r="C496" s="16" t="n"/>
      <c r="D496" s="16" t="n"/>
      <c r="E496" s="79" t="n"/>
      <c r="F496" s="94" t="n"/>
      <c r="G496" s="95" t="n"/>
      <c r="H496" s="96" t="n"/>
      <c r="I496" s="97" t="n"/>
      <c r="J496" s="97" t="n"/>
      <c r="K496" s="83" t="n"/>
      <c r="L496" s="83" t="n"/>
      <c r="M496" s="83" t="n"/>
      <c r="N496" s="83" t="n"/>
      <c r="O496" s="84" t="n"/>
      <c r="P496" s="83" t="n"/>
      <c r="Q496" s="83" t="n"/>
      <c r="R496" s="85" t="n"/>
      <c r="S496" s="83" t="n"/>
      <c r="T496" s="86" t="n"/>
      <c r="U496" s="92" t="n"/>
      <c r="V496" s="93" t="n"/>
      <c r="W496" s="93" t="n"/>
      <c r="X496" s="7" t="n"/>
      <c r="Y496" s="7" t="n"/>
      <c r="Z496" s="162" t="n"/>
      <c r="AA496" s="90" t="n"/>
      <c r="AB496" s="16" t="n"/>
      <c r="AC496" s="16" t="n"/>
      <c r="AD496" s="16" t="n"/>
    </row>
    <row r="497" ht="13.1" customHeight="1" s="151">
      <c r="A497" s="78" t="n"/>
      <c r="B497" s="16" t="n"/>
      <c r="C497" s="16" t="n"/>
      <c r="D497" s="16" t="n"/>
      <c r="E497" s="79" t="n"/>
      <c r="F497" s="94" t="n"/>
      <c r="G497" s="95" t="n"/>
      <c r="H497" s="96" t="n"/>
      <c r="I497" s="97" t="n"/>
      <c r="J497" s="97" t="n"/>
      <c r="K497" s="83" t="n"/>
      <c r="L497" s="83" t="n"/>
      <c r="M497" s="83" t="n"/>
      <c r="N497" s="83" t="n"/>
      <c r="O497" s="84" t="n"/>
      <c r="P497" s="83" t="n"/>
      <c r="Q497" s="83" t="n"/>
      <c r="R497" s="85" t="n"/>
      <c r="S497" s="83" t="n"/>
      <c r="T497" s="86" t="n"/>
      <c r="U497" s="92" t="n"/>
      <c r="V497" s="93" t="n"/>
      <c r="W497" s="93" t="n"/>
      <c r="X497" s="7" t="n"/>
      <c r="Y497" s="7" t="n"/>
      <c r="Z497" s="162" t="n"/>
      <c r="AA497" s="90" t="n"/>
      <c r="AB497" s="16" t="n"/>
      <c r="AC497" s="16" t="n"/>
      <c r="AD497" s="16" t="n"/>
    </row>
    <row r="498" ht="13.1" customHeight="1" s="151">
      <c r="A498" s="78" t="n"/>
      <c r="B498" s="16" t="n"/>
      <c r="C498" s="16" t="n"/>
      <c r="D498" s="16" t="n"/>
      <c r="E498" s="79" t="n"/>
      <c r="F498" s="94" t="n"/>
      <c r="G498" s="95" t="n"/>
      <c r="H498" s="96" t="n"/>
      <c r="I498" s="97" t="n"/>
      <c r="J498" s="97" t="n"/>
      <c r="K498" s="83" t="n"/>
      <c r="L498" s="83" t="n"/>
      <c r="M498" s="83" t="n"/>
      <c r="N498" s="83" t="n"/>
      <c r="O498" s="84" t="n"/>
      <c r="P498" s="83" t="n"/>
      <c r="Q498" s="83" t="n"/>
      <c r="R498" s="85" t="n"/>
      <c r="S498" s="83" t="n"/>
      <c r="T498" s="86" t="n"/>
      <c r="U498" s="92" t="n"/>
      <c r="V498" s="93" t="n"/>
      <c r="W498" s="93" t="n"/>
      <c r="X498" s="7" t="n"/>
      <c r="Y498" s="7" t="n"/>
      <c r="Z498" s="162" t="n"/>
      <c r="AA498" s="90" t="n"/>
      <c r="AB498" s="16" t="n"/>
      <c r="AC498" s="16" t="n"/>
      <c r="AD498" s="16" t="n"/>
    </row>
    <row r="499" ht="13.1" customHeight="1" s="151">
      <c r="A499" s="78" t="n"/>
      <c r="B499" s="16" t="n"/>
      <c r="C499" s="16" t="n"/>
      <c r="D499" s="16" t="n"/>
      <c r="E499" s="79" t="n"/>
      <c r="F499" s="94" t="n"/>
      <c r="G499" s="95" t="n"/>
      <c r="H499" s="96" t="n"/>
      <c r="I499" s="97" t="n"/>
      <c r="J499" s="97" t="n"/>
      <c r="K499" s="83" t="n"/>
      <c r="L499" s="83" t="n"/>
      <c r="M499" s="83" t="n"/>
      <c r="N499" s="83" t="n"/>
      <c r="O499" s="84" t="n"/>
      <c r="P499" s="83" t="n"/>
      <c r="Q499" s="83" t="n"/>
      <c r="R499" s="85" t="n"/>
      <c r="S499" s="83" t="n"/>
      <c r="T499" s="86" t="n"/>
      <c r="U499" s="92" t="n"/>
      <c r="V499" s="93" t="n"/>
      <c r="W499" s="93" t="n"/>
      <c r="X499" s="7" t="n"/>
      <c r="Y499" s="7" t="n"/>
      <c r="Z499" s="162" t="n"/>
      <c r="AA499" s="90" t="n"/>
      <c r="AB499" s="16" t="n"/>
      <c r="AC499" s="16" t="n"/>
      <c r="AD499" s="16" t="n"/>
    </row>
    <row r="500" ht="13.1" customHeight="1" s="151">
      <c r="A500" s="78" t="n"/>
      <c r="B500" s="16" t="n"/>
      <c r="C500" s="16" t="n"/>
      <c r="D500" s="16" t="n"/>
      <c r="E500" s="79" t="n"/>
      <c r="F500" s="94" t="n"/>
      <c r="G500" s="95" t="n"/>
      <c r="H500" s="96" t="n"/>
      <c r="I500" s="97" t="n"/>
      <c r="J500" s="97" t="n"/>
      <c r="K500" s="83" t="n"/>
      <c r="L500" s="83" t="n"/>
      <c r="M500" s="83" t="n"/>
      <c r="N500" s="83" t="n"/>
      <c r="O500" s="84" t="n"/>
      <c r="P500" s="83" t="n"/>
      <c r="Q500" s="83" t="n"/>
      <c r="R500" s="85" t="n"/>
      <c r="S500" s="83" t="n"/>
      <c r="T500" s="86" t="n"/>
      <c r="U500" s="92" t="n"/>
      <c r="V500" s="93" t="n"/>
      <c r="W500" s="93" t="n"/>
      <c r="X500" s="7" t="n"/>
      <c r="Y500" s="7" t="n"/>
      <c r="Z500" s="162" t="n"/>
      <c r="AA500" s="90" t="n"/>
      <c r="AB500" s="16" t="n"/>
      <c r="AC500" s="16" t="n"/>
      <c r="AD500" s="16" t="n"/>
    </row>
    <row r="501" ht="13.1" customHeight="1" s="151">
      <c r="A501" s="78" t="n"/>
      <c r="B501" s="16" t="n"/>
      <c r="C501" s="16" t="n"/>
      <c r="D501" s="16" t="n"/>
      <c r="E501" s="79" t="n"/>
      <c r="F501" s="94" t="n"/>
      <c r="G501" s="95" t="n"/>
      <c r="H501" s="96" t="n"/>
      <c r="I501" s="97" t="n"/>
      <c r="J501" s="97" t="n"/>
      <c r="K501" s="83" t="n"/>
      <c r="L501" s="83" t="n"/>
      <c r="M501" s="83" t="n"/>
      <c r="N501" s="83" t="n"/>
      <c r="O501" s="84" t="n"/>
      <c r="P501" s="83" t="n"/>
      <c r="Q501" s="83" t="n"/>
      <c r="R501" s="85" t="n"/>
      <c r="S501" s="83" t="n"/>
      <c r="T501" s="86" t="n"/>
      <c r="U501" s="92" t="n"/>
      <c r="V501" s="93" t="n"/>
      <c r="W501" s="93" t="n"/>
      <c r="X501" s="7" t="n"/>
      <c r="Y501" s="7" t="n"/>
      <c r="Z501" s="162" t="n"/>
      <c r="AA501" s="90" t="n"/>
      <c r="AB501" s="16" t="n"/>
      <c r="AC501" s="16" t="n"/>
      <c r="AD501" s="16" t="n"/>
    </row>
    <row r="502" ht="13.1" customHeight="1" s="151">
      <c r="A502" s="78" t="n"/>
      <c r="B502" s="16" t="n"/>
      <c r="C502" s="16" t="n"/>
      <c r="D502" s="16" t="n"/>
      <c r="E502" s="79" t="n"/>
      <c r="F502" s="94" t="n"/>
      <c r="G502" s="95" t="n"/>
      <c r="H502" s="96" t="n"/>
      <c r="I502" s="97" t="n"/>
      <c r="J502" s="97" t="n"/>
      <c r="K502" s="83" t="n"/>
      <c r="L502" s="83" t="n"/>
      <c r="M502" s="83" t="n"/>
      <c r="N502" s="83" t="n"/>
      <c r="O502" s="84" t="n"/>
      <c r="P502" s="83" t="n"/>
      <c r="Q502" s="83" t="n"/>
      <c r="R502" s="85" t="n"/>
      <c r="S502" s="83" t="n"/>
      <c r="T502" s="86" t="n"/>
      <c r="U502" s="92" t="n"/>
      <c r="V502" s="93" t="n"/>
      <c r="W502" s="93" t="n"/>
      <c r="X502" s="7" t="n"/>
      <c r="Y502" s="7" t="n"/>
      <c r="Z502" s="162" t="n"/>
      <c r="AA502" s="90" t="n"/>
      <c r="AB502" s="16" t="n"/>
      <c r="AC502" s="16" t="n"/>
      <c r="AD502" s="16" t="n"/>
    </row>
    <row r="503" ht="13.1" customHeight="1" s="151">
      <c r="A503" s="78" t="n"/>
      <c r="B503" s="16" t="n"/>
      <c r="C503" s="16" t="n"/>
      <c r="D503" s="16" t="n"/>
      <c r="E503" s="79" t="n"/>
      <c r="F503" s="94" t="n"/>
      <c r="G503" s="95" t="n"/>
      <c r="H503" s="96" t="n"/>
      <c r="I503" s="97" t="n"/>
      <c r="J503" s="97" t="n"/>
      <c r="K503" s="83" t="n"/>
      <c r="L503" s="83" t="n"/>
      <c r="M503" s="83" t="n"/>
      <c r="N503" s="83" t="n"/>
      <c r="O503" s="84" t="n"/>
      <c r="P503" s="83" t="n"/>
      <c r="Q503" s="83" t="n"/>
      <c r="R503" s="85" t="n"/>
      <c r="S503" s="83" t="n"/>
      <c r="T503" s="86" t="n"/>
      <c r="U503" s="92" t="n"/>
      <c r="V503" s="93" t="n"/>
      <c r="W503" s="93" t="n"/>
      <c r="X503" s="7" t="n"/>
      <c r="Y503" s="7" t="n"/>
      <c r="Z503" s="162" t="n"/>
      <c r="AA503" s="90" t="n"/>
      <c r="AB503" s="16" t="n"/>
      <c r="AC503" s="16" t="n"/>
      <c r="AD503" s="16" t="n"/>
    </row>
    <row r="504" ht="13.1" customHeight="1" s="151">
      <c r="A504" s="78" t="n"/>
      <c r="B504" s="16" t="n"/>
      <c r="C504" s="16" t="n"/>
      <c r="D504" s="16" t="n"/>
      <c r="E504" s="79" t="n"/>
      <c r="F504" s="94" t="n"/>
      <c r="G504" s="95" t="n"/>
      <c r="H504" s="96" t="n"/>
      <c r="I504" s="97" t="n"/>
      <c r="J504" s="97" t="n"/>
      <c r="K504" s="83" t="n"/>
      <c r="L504" s="83" t="n"/>
      <c r="M504" s="83" t="n"/>
      <c r="N504" s="83" t="n"/>
      <c r="O504" s="84" t="n"/>
      <c r="P504" s="83" t="n"/>
      <c r="Q504" s="83" t="n"/>
      <c r="R504" s="85" t="n"/>
      <c r="S504" s="83" t="n"/>
      <c r="T504" s="86" t="n"/>
      <c r="U504" s="92" t="n"/>
      <c r="V504" s="93" t="n"/>
      <c r="W504" s="93" t="n"/>
      <c r="X504" s="7" t="n"/>
      <c r="Y504" s="7" t="n"/>
      <c r="Z504" s="162" t="n"/>
      <c r="AA504" s="90" t="n"/>
      <c r="AB504" s="16" t="n"/>
      <c r="AC504" s="16" t="n"/>
      <c r="AD504" s="16" t="n"/>
    </row>
    <row r="505" ht="13.1" customHeight="1" s="151">
      <c r="A505" s="78" t="n"/>
      <c r="B505" s="16" t="n"/>
      <c r="C505" s="16" t="n"/>
      <c r="D505" s="16" t="n"/>
      <c r="E505" s="79" t="n"/>
      <c r="F505" s="94" t="n"/>
      <c r="G505" s="95" t="n"/>
      <c r="H505" s="96" t="n"/>
      <c r="I505" s="97" t="n"/>
      <c r="J505" s="97" t="n"/>
      <c r="K505" s="83" t="n"/>
      <c r="L505" s="83" t="n"/>
      <c r="M505" s="83" t="n"/>
      <c r="N505" s="83" t="n"/>
      <c r="O505" s="84" t="n"/>
      <c r="P505" s="83" t="n"/>
      <c r="Q505" s="83" t="n"/>
      <c r="R505" s="85" t="n"/>
      <c r="S505" s="83" t="n"/>
      <c r="T505" s="86" t="n"/>
      <c r="U505" s="92" t="n"/>
      <c r="V505" s="93" t="n"/>
      <c r="W505" s="93" t="n"/>
      <c r="X505" s="7" t="n"/>
      <c r="Y505" s="7" t="n"/>
      <c r="Z505" s="162" t="n"/>
      <c r="AA505" s="90" t="n"/>
      <c r="AB505" s="16" t="n"/>
      <c r="AC505" s="16" t="n"/>
      <c r="AD505" s="16" t="n"/>
    </row>
    <row r="506" ht="13.1" customHeight="1" s="151">
      <c r="A506" s="78" t="n"/>
      <c r="B506" s="16" t="n"/>
      <c r="C506" s="16" t="n"/>
      <c r="D506" s="16" t="n"/>
      <c r="E506" s="79" t="n"/>
      <c r="F506" s="94" t="n"/>
      <c r="G506" s="95" t="n"/>
      <c r="H506" s="96" t="n"/>
      <c r="I506" s="97" t="n"/>
      <c r="J506" s="97" t="n"/>
      <c r="K506" s="83" t="n"/>
      <c r="L506" s="83" t="n"/>
      <c r="M506" s="83" t="n"/>
      <c r="N506" s="83" t="n"/>
      <c r="O506" s="84" t="n"/>
      <c r="P506" s="83" t="n"/>
      <c r="Q506" s="83" t="n"/>
      <c r="R506" s="85" t="n"/>
      <c r="S506" s="83" t="n"/>
      <c r="T506" s="86" t="n"/>
      <c r="U506" s="92" t="n"/>
      <c r="V506" s="93" t="n"/>
      <c r="W506" s="93" t="n"/>
      <c r="X506" s="7" t="n"/>
      <c r="Y506" s="7" t="n"/>
      <c r="Z506" s="162" t="n"/>
      <c r="AA506" s="90" t="n"/>
      <c r="AB506" s="16" t="n"/>
      <c r="AC506" s="16" t="n"/>
      <c r="AD506" s="16" t="n"/>
    </row>
    <row r="507" ht="13.1" customHeight="1" s="151">
      <c r="A507" s="78" t="n"/>
      <c r="B507" s="16" t="n"/>
      <c r="C507" s="16" t="n"/>
      <c r="D507" s="16" t="n"/>
      <c r="E507" s="79" t="n"/>
      <c r="F507" s="94" t="n"/>
      <c r="G507" s="95" t="n"/>
      <c r="H507" s="96" t="n"/>
      <c r="I507" s="97" t="n"/>
      <c r="J507" s="97" t="n"/>
      <c r="K507" s="83" t="n"/>
      <c r="L507" s="83" t="n"/>
      <c r="M507" s="83" t="n"/>
      <c r="N507" s="83" t="n"/>
      <c r="O507" s="84" t="n"/>
      <c r="P507" s="83" t="n"/>
      <c r="Q507" s="83" t="n"/>
      <c r="R507" s="85" t="n"/>
      <c r="S507" s="83" t="n"/>
      <c r="T507" s="86" t="n"/>
      <c r="U507" s="92" t="n"/>
      <c r="V507" s="93" t="n"/>
      <c r="W507" s="93" t="n"/>
      <c r="X507" s="7" t="n"/>
      <c r="Y507" s="7" t="n"/>
      <c r="Z507" s="162" t="n"/>
      <c r="AA507" s="90" t="n"/>
      <c r="AB507" s="16" t="n"/>
      <c r="AC507" s="16" t="n"/>
      <c r="AD507" s="16" t="n"/>
    </row>
    <row r="508" ht="13.1" customHeight="1" s="151">
      <c r="A508" s="78" t="n"/>
      <c r="B508" s="16" t="n"/>
      <c r="C508" s="16" t="n"/>
      <c r="D508" s="16" t="n"/>
      <c r="E508" s="79" t="n"/>
      <c r="F508" s="94" t="n"/>
      <c r="G508" s="95" t="n"/>
      <c r="H508" s="96" t="n"/>
      <c r="I508" s="97" t="n"/>
      <c r="J508" s="97" t="n"/>
      <c r="K508" s="83" t="n"/>
      <c r="L508" s="83" t="n"/>
      <c r="M508" s="83" t="n"/>
      <c r="N508" s="83" t="n"/>
      <c r="O508" s="84" t="n"/>
      <c r="P508" s="83" t="n"/>
      <c r="Q508" s="83" t="n"/>
      <c r="R508" s="85" t="n"/>
      <c r="S508" s="83" t="n"/>
      <c r="T508" s="86" t="n"/>
      <c r="U508" s="92" t="n"/>
      <c r="V508" s="93" t="n"/>
      <c r="W508" s="93" t="n"/>
      <c r="X508" s="7" t="n"/>
      <c r="Y508" s="7" t="n"/>
      <c r="Z508" s="162" t="n"/>
      <c r="AA508" s="90" t="n"/>
      <c r="AB508" s="16" t="n"/>
      <c r="AC508" s="16" t="n"/>
      <c r="AD508" s="16" t="n"/>
    </row>
    <row r="509" ht="13.1" customHeight="1" s="151">
      <c r="A509" s="78" t="n"/>
      <c r="B509" s="16" t="n"/>
      <c r="C509" s="16" t="n"/>
      <c r="D509" s="16" t="n"/>
      <c r="E509" s="79" t="n"/>
      <c r="F509" s="94" t="n"/>
      <c r="G509" s="95" t="n"/>
      <c r="H509" s="96" t="n"/>
      <c r="I509" s="97" t="n"/>
      <c r="J509" s="97" t="n"/>
      <c r="K509" s="83" t="n"/>
      <c r="L509" s="83" t="n"/>
      <c r="M509" s="83" t="n"/>
      <c r="N509" s="83" t="n"/>
      <c r="O509" s="84" t="n"/>
      <c r="P509" s="83" t="n"/>
      <c r="Q509" s="83" t="n"/>
      <c r="R509" s="85" t="n"/>
      <c r="S509" s="83" t="n"/>
      <c r="T509" s="86" t="n"/>
      <c r="U509" s="92" t="n"/>
      <c r="V509" s="93" t="n"/>
      <c r="W509" s="93" t="n"/>
      <c r="X509" s="7" t="n"/>
      <c r="Y509" s="7" t="n"/>
      <c r="Z509" s="162" t="n"/>
      <c r="AA509" s="90" t="n"/>
      <c r="AB509" s="16" t="n"/>
      <c r="AC509" s="16" t="n"/>
      <c r="AD509" s="16" t="n"/>
    </row>
    <row r="510" ht="13.1" customHeight="1" s="151">
      <c r="A510" s="78" t="n"/>
      <c r="B510" s="16" t="n"/>
      <c r="C510" s="16" t="n"/>
      <c r="D510" s="16" t="n"/>
      <c r="E510" s="79" t="n"/>
      <c r="F510" s="94" t="n"/>
      <c r="G510" s="95" t="n"/>
      <c r="H510" s="96" t="n"/>
      <c r="I510" s="97" t="n"/>
      <c r="J510" s="97" t="n"/>
      <c r="K510" s="83" t="n"/>
      <c r="L510" s="83" t="n"/>
      <c r="M510" s="83" t="n"/>
      <c r="N510" s="83" t="n"/>
      <c r="O510" s="84" t="n"/>
      <c r="P510" s="83" t="n"/>
      <c r="Q510" s="83" t="n"/>
      <c r="R510" s="85" t="n"/>
      <c r="S510" s="83" t="n"/>
      <c r="T510" s="86" t="n"/>
      <c r="U510" s="92" t="n"/>
      <c r="V510" s="93" t="n"/>
      <c r="W510" s="93" t="n"/>
      <c r="X510" s="7" t="n"/>
      <c r="Y510" s="7" t="n"/>
      <c r="Z510" s="162" t="n"/>
      <c r="AA510" s="90" t="n"/>
      <c r="AB510" s="16" t="n"/>
      <c r="AC510" s="16" t="n"/>
      <c r="AD510" s="16" t="n"/>
    </row>
    <row r="511" ht="13.1" customHeight="1" s="151">
      <c r="A511" s="78" t="n"/>
      <c r="B511" s="16" t="n"/>
      <c r="C511" s="16" t="n"/>
      <c r="D511" s="16" t="n"/>
      <c r="E511" s="79" t="n"/>
      <c r="F511" s="94" t="n"/>
      <c r="G511" s="95" t="n"/>
      <c r="H511" s="96" t="n"/>
      <c r="I511" s="97" t="n"/>
      <c r="J511" s="97" t="n"/>
      <c r="K511" s="83" t="n"/>
      <c r="L511" s="83" t="n"/>
      <c r="M511" s="83" t="n"/>
      <c r="N511" s="83" t="n"/>
      <c r="O511" s="84" t="n"/>
      <c r="P511" s="83" t="n"/>
      <c r="Q511" s="83" t="n"/>
      <c r="R511" s="85" t="n"/>
      <c r="S511" s="83" t="n"/>
      <c r="T511" s="86" t="n"/>
      <c r="U511" s="92" t="n"/>
      <c r="V511" s="93" t="n"/>
      <c r="W511" s="93" t="n"/>
      <c r="X511" s="7" t="n"/>
      <c r="Y511" s="7" t="n"/>
      <c r="Z511" s="162" t="n"/>
      <c r="AA511" s="90" t="n"/>
      <c r="AB511" s="16" t="n"/>
      <c r="AC511" s="16" t="n"/>
      <c r="AD511" s="16" t="n"/>
    </row>
    <row r="512" ht="13.1" customHeight="1" s="151">
      <c r="A512" s="78" t="n"/>
      <c r="B512" s="16" t="n"/>
      <c r="C512" s="16" t="n"/>
      <c r="D512" s="16" t="n"/>
      <c r="E512" s="79" t="n"/>
      <c r="F512" s="94" t="n"/>
      <c r="G512" s="95" t="n"/>
      <c r="H512" s="96" t="n"/>
      <c r="I512" s="97" t="n"/>
      <c r="J512" s="97" t="n"/>
      <c r="K512" s="83" t="n"/>
      <c r="L512" s="83" t="n"/>
      <c r="M512" s="83" t="n"/>
      <c r="N512" s="83" t="n"/>
      <c r="O512" s="84" t="n"/>
      <c r="P512" s="83" t="n"/>
      <c r="Q512" s="83" t="n"/>
      <c r="R512" s="85" t="n"/>
      <c r="S512" s="83" t="n"/>
      <c r="T512" s="86" t="n"/>
      <c r="U512" s="92" t="n"/>
      <c r="V512" s="93" t="n"/>
      <c r="W512" s="93" t="n"/>
      <c r="X512" s="7" t="n"/>
      <c r="Y512" s="7" t="n"/>
      <c r="Z512" s="162" t="n"/>
      <c r="AA512" s="90" t="n"/>
      <c r="AB512" s="16" t="n"/>
      <c r="AC512" s="16" t="n"/>
      <c r="AD512" s="16" t="n"/>
    </row>
    <row r="513" ht="13.1" customHeight="1" s="151">
      <c r="A513" s="78" t="n"/>
      <c r="B513" s="16" t="n"/>
      <c r="C513" s="16" t="n"/>
      <c r="D513" s="16" t="n"/>
      <c r="E513" s="79" t="n"/>
      <c r="F513" s="94" t="n"/>
      <c r="G513" s="95" t="n"/>
      <c r="H513" s="96" t="n"/>
      <c r="I513" s="97" t="n"/>
      <c r="J513" s="97" t="n"/>
      <c r="K513" s="83" t="n"/>
      <c r="L513" s="83" t="n"/>
      <c r="M513" s="83" t="n"/>
      <c r="N513" s="83" t="n"/>
      <c r="O513" s="84" t="n"/>
      <c r="P513" s="83" t="n"/>
      <c r="Q513" s="83" t="n"/>
      <c r="R513" s="85" t="n"/>
      <c r="S513" s="83" t="n"/>
      <c r="T513" s="86" t="n"/>
      <c r="U513" s="92" t="n"/>
      <c r="V513" s="93" t="n"/>
      <c r="W513" s="93" t="n"/>
      <c r="X513" s="7" t="n"/>
      <c r="Y513" s="7" t="n"/>
      <c r="Z513" s="162" t="n"/>
      <c r="AA513" s="90" t="n"/>
      <c r="AB513" s="16" t="n"/>
      <c r="AC513" s="16" t="n"/>
      <c r="AD513" s="16" t="n"/>
    </row>
    <row r="514" ht="13.1" customHeight="1" s="151">
      <c r="A514" s="78" t="n"/>
      <c r="B514" s="16" t="n"/>
      <c r="C514" s="16" t="n"/>
      <c r="D514" s="16" t="n"/>
      <c r="E514" s="79" t="n"/>
      <c r="F514" s="94" t="n"/>
      <c r="G514" s="95" t="n"/>
      <c r="H514" s="96" t="n"/>
      <c r="I514" s="97" t="n"/>
      <c r="J514" s="97" t="n"/>
      <c r="K514" s="83" t="n"/>
      <c r="L514" s="83" t="n"/>
      <c r="M514" s="83" t="n"/>
      <c r="N514" s="83" t="n"/>
      <c r="O514" s="84" t="n"/>
      <c r="P514" s="83" t="n"/>
      <c r="Q514" s="83" t="n"/>
      <c r="R514" s="85" t="n"/>
      <c r="S514" s="83" t="n"/>
      <c r="T514" s="86" t="n"/>
      <c r="U514" s="92" t="n"/>
      <c r="V514" s="93" t="n"/>
      <c r="W514" s="93" t="n"/>
      <c r="X514" s="7" t="n"/>
      <c r="Y514" s="7" t="n"/>
      <c r="Z514" s="162" t="n"/>
      <c r="AA514" s="90" t="n"/>
      <c r="AB514" s="16" t="n"/>
      <c r="AC514" s="16" t="n"/>
      <c r="AD514" s="16" t="n"/>
    </row>
    <row r="515" ht="13.1" customHeight="1" s="151">
      <c r="A515" s="78" t="n"/>
      <c r="B515" s="16" t="n"/>
      <c r="C515" s="16" t="n"/>
      <c r="D515" s="16" t="n"/>
      <c r="E515" s="79" t="n"/>
      <c r="F515" s="94" t="n"/>
      <c r="G515" s="95" t="n"/>
      <c r="H515" s="96" t="n"/>
      <c r="I515" s="97" t="n"/>
      <c r="J515" s="97" t="n"/>
      <c r="K515" s="83" t="n"/>
      <c r="L515" s="83" t="n"/>
      <c r="M515" s="83" t="n"/>
      <c r="N515" s="83" t="n"/>
      <c r="O515" s="84" t="n"/>
      <c r="P515" s="83" t="n"/>
      <c r="Q515" s="83" t="n"/>
      <c r="R515" s="85" t="n"/>
      <c r="S515" s="83" t="n"/>
      <c r="T515" s="86" t="n"/>
      <c r="U515" s="92" t="n"/>
      <c r="V515" s="93" t="n"/>
      <c r="W515" s="93" t="n"/>
      <c r="X515" s="7" t="n"/>
      <c r="Y515" s="7" t="n"/>
      <c r="Z515" s="162" t="n"/>
      <c r="AA515" s="90" t="n"/>
      <c r="AB515" s="16" t="n"/>
      <c r="AC515" s="16" t="n"/>
      <c r="AD515" s="16" t="n"/>
    </row>
    <row r="516" ht="13.1" customHeight="1" s="151">
      <c r="A516" s="78" t="n"/>
      <c r="B516" s="16" t="n"/>
      <c r="C516" s="16" t="n"/>
      <c r="D516" s="16" t="n"/>
      <c r="E516" s="79" t="n"/>
      <c r="F516" s="94" t="n"/>
      <c r="G516" s="95" t="n"/>
      <c r="H516" s="96" t="n"/>
      <c r="I516" s="97" t="n"/>
      <c r="J516" s="97" t="n"/>
      <c r="K516" s="83" t="n"/>
      <c r="L516" s="83" t="n"/>
      <c r="M516" s="83" t="n"/>
      <c r="N516" s="83" t="n"/>
      <c r="O516" s="84" t="n"/>
      <c r="P516" s="83" t="n"/>
      <c r="Q516" s="83" t="n"/>
      <c r="R516" s="85" t="n"/>
      <c r="S516" s="83" t="n"/>
      <c r="T516" s="86" t="n"/>
      <c r="U516" s="92" t="n"/>
      <c r="V516" s="93" t="n"/>
      <c r="W516" s="93" t="n"/>
      <c r="X516" s="7" t="n"/>
      <c r="Y516" s="7" t="n"/>
      <c r="Z516" s="162" t="n"/>
      <c r="AA516" s="90" t="n"/>
      <c r="AB516" s="16" t="n"/>
      <c r="AC516" s="16" t="n"/>
      <c r="AD516" s="16" t="n"/>
    </row>
    <row r="517" ht="13.1" customHeight="1" s="151">
      <c r="A517" s="78" t="n"/>
      <c r="B517" s="16" t="n"/>
      <c r="C517" s="16" t="n"/>
      <c r="D517" s="16" t="n"/>
      <c r="E517" s="79" t="n"/>
      <c r="F517" s="94" t="n"/>
      <c r="G517" s="95" t="n"/>
      <c r="H517" s="96" t="n"/>
      <c r="I517" s="97" t="n"/>
      <c r="J517" s="97" t="n"/>
      <c r="K517" s="83" t="n"/>
      <c r="L517" s="83" t="n"/>
      <c r="M517" s="83" t="n"/>
      <c r="N517" s="83" t="n"/>
      <c r="O517" s="84" t="n"/>
      <c r="P517" s="83" t="n"/>
      <c r="Q517" s="83" t="n"/>
      <c r="R517" s="85" t="n"/>
      <c r="S517" s="83" t="n"/>
      <c r="T517" s="86" t="n"/>
      <c r="U517" s="92" t="n"/>
      <c r="V517" s="93" t="n"/>
      <c r="W517" s="93" t="n"/>
      <c r="X517" s="7" t="n"/>
      <c r="Y517" s="7" t="n"/>
      <c r="Z517" s="162" t="n"/>
      <c r="AA517" s="90" t="n"/>
      <c r="AB517" s="16" t="n"/>
      <c r="AC517" s="16" t="n"/>
      <c r="AD517" s="16" t="n"/>
    </row>
    <row r="518" ht="13.1" customHeight="1" s="151">
      <c r="A518" s="78" t="n"/>
      <c r="B518" s="16" t="n"/>
      <c r="C518" s="16" t="n"/>
      <c r="D518" s="16" t="n"/>
      <c r="E518" s="79" t="n"/>
      <c r="F518" s="94" t="n"/>
      <c r="G518" s="95" t="n"/>
      <c r="H518" s="96" t="n"/>
      <c r="I518" s="97" t="n"/>
      <c r="J518" s="97" t="n"/>
      <c r="K518" s="83" t="n"/>
      <c r="L518" s="83" t="n"/>
      <c r="M518" s="83" t="n"/>
      <c r="N518" s="83" t="n"/>
      <c r="O518" s="84" t="n"/>
      <c r="P518" s="83" t="n"/>
      <c r="Q518" s="83" t="n"/>
      <c r="R518" s="85" t="n"/>
      <c r="S518" s="83" t="n"/>
      <c r="T518" s="86" t="n"/>
      <c r="U518" s="92" t="n"/>
      <c r="V518" s="93" t="n"/>
      <c r="W518" s="93" t="n"/>
      <c r="X518" s="7" t="n"/>
      <c r="Y518" s="7" t="n"/>
      <c r="Z518" s="162" t="n"/>
      <c r="AA518" s="90" t="n"/>
      <c r="AB518" s="16" t="n"/>
      <c r="AC518" s="16" t="n"/>
      <c r="AD518" s="16" t="n"/>
    </row>
    <row r="519" ht="13.1" customHeight="1" s="151">
      <c r="A519" s="78" t="n"/>
      <c r="B519" s="16" t="n"/>
      <c r="C519" s="16" t="n"/>
      <c r="D519" s="16" t="n"/>
      <c r="E519" s="79" t="n"/>
      <c r="F519" s="94" t="n"/>
      <c r="G519" s="95" t="n"/>
      <c r="H519" s="96" t="n"/>
      <c r="I519" s="97" t="n"/>
      <c r="J519" s="97" t="n"/>
      <c r="K519" s="83" t="n"/>
      <c r="L519" s="83" t="n"/>
      <c r="M519" s="83" t="n"/>
      <c r="N519" s="83" t="n"/>
      <c r="O519" s="84" t="n"/>
      <c r="P519" s="83" t="n"/>
      <c r="Q519" s="83" t="n"/>
      <c r="R519" s="85" t="n"/>
      <c r="S519" s="83" t="n"/>
      <c r="T519" s="86" t="n"/>
      <c r="U519" s="92" t="n"/>
      <c r="V519" s="93" t="n"/>
      <c r="W519" s="93" t="n"/>
      <c r="X519" s="7" t="n"/>
      <c r="Y519" s="7" t="n"/>
      <c r="Z519" s="162" t="n"/>
      <c r="AA519" s="90" t="n"/>
      <c r="AB519" s="16" t="n"/>
      <c r="AC519" s="16" t="n"/>
      <c r="AD519" s="16" t="n"/>
    </row>
    <row r="520" ht="13.1" customHeight="1" s="151">
      <c r="A520" s="78" t="n"/>
      <c r="B520" s="16" t="n"/>
      <c r="C520" s="16" t="n"/>
      <c r="D520" s="16" t="n"/>
      <c r="E520" s="79" t="n"/>
      <c r="F520" s="94" t="n"/>
      <c r="G520" s="95" t="n"/>
      <c r="H520" s="96" t="n"/>
      <c r="I520" s="97" t="n"/>
      <c r="J520" s="97" t="n"/>
      <c r="K520" s="83" t="n"/>
      <c r="L520" s="83" t="n"/>
      <c r="M520" s="83" t="n"/>
      <c r="N520" s="83" t="n"/>
      <c r="O520" s="84" t="n"/>
      <c r="P520" s="83" t="n"/>
      <c r="Q520" s="83" t="n"/>
      <c r="R520" s="85" t="n"/>
      <c r="S520" s="83" t="n"/>
      <c r="T520" s="86" t="n"/>
      <c r="U520" s="92" t="n"/>
      <c r="V520" s="93" t="n"/>
      <c r="W520" s="93" t="n"/>
      <c r="X520" s="7" t="n"/>
      <c r="Y520" s="7" t="n"/>
      <c r="Z520" s="162" t="n"/>
      <c r="AA520" s="90" t="n"/>
      <c r="AB520" s="16" t="n"/>
      <c r="AC520" s="16" t="n"/>
      <c r="AD520" s="16" t="n"/>
    </row>
    <row r="521" ht="13.1" customHeight="1" s="151">
      <c r="A521" s="78" t="n"/>
      <c r="B521" s="16" t="n"/>
      <c r="C521" s="16" t="n"/>
      <c r="D521" s="16" t="n"/>
      <c r="E521" s="79" t="n"/>
      <c r="F521" s="94" t="n"/>
      <c r="G521" s="95" t="n"/>
      <c r="H521" s="96" t="n"/>
      <c r="I521" s="97" t="n"/>
      <c r="J521" s="97" t="n"/>
      <c r="K521" s="83" t="n"/>
      <c r="L521" s="83" t="n"/>
      <c r="M521" s="83" t="n"/>
      <c r="N521" s="83" t="n"/>
      <c r="O521" s="84" t="n"/>
      <c r="P521" s="83" t="n"/>
      <c r="Q521" s="83" t="n"/>
      <c r="R521" s="85" t="n"/>
      <c r="S521" s="83" t="n"/>
      <c r="T521" s="86" t="n"/>
      <c r="U521" s="92" t="n"/>
      <c r="V521" s="93" t="n"/>
      <c r="W521" s="93" t="n"/>
      <c r="X521" s="7" t="n"/>
      <c r="Y521" s="7" t="n"/>
      <c r="Z521" s="162" t="n"/>
      <c r="AA521" s="90" t="n"/>
      <c r="AB521" s="16" t="n"/>
      <c r="AC521" s="16" t="n"/>
      <c r="AD521" s="16" t="n"/>
    </row>
    <row r="522" ht="13.1" customHeight="1" s="151">
      <c r="A522" s="78" t="n"/>
      <c r="B522" s="16" t="n"/>
      <c r="C522" s="16" t="n"/>
      <c r="D522" s="16" t="n"/>
      <c r="E522" s="79" t="n"/>
      <c r="F522" s="94" t="n"/>
      <c r="G522" s="95" t="n"/>
      <c r="H522" s="96" t="n"/>
      <c r="I522" s="97" t="n"/>
      <c r="J522" s="97" t="n"/>
      <c r="K522" s="83" t="n"/>
      <c r="L522" s="83" t="n"/>
      <c r="M522" s="83" t="n"/>
      <c r="N522" s="83" t="n"/>
      <c r="O522" s="84" t="n"/>
      <c r="P522" s="83" t="n"/>
      <c r="Q522" s="83" t="n"/>
      <c r="R522" s="85" t="n"/>
      <c r="S522" s="83" t="n"/>
      <c r="T522" s="86" t="n"/>
      <c r="U522" s="92" t="n"/>
      <c r="V522" s="93" t="n"/>
      <c r="W522" s="93" t="n"/>
      <c r="X522" s="7" t="n"/>
      <c r="Y522" s="7" t="n"/>
      <c r="Z522" s="162" t="n"/>
      <c r="AA522" s="90" t="n"/>
      <c r="AB522" s="16" t="n"/>
      <c r="AC522" s="16" t="n"/>
      <c r="AD522" s="16" t="n"/>
    </row>
    <row r="523" ht="13.1" customHeight="1" s="151">
      <c r="A523" s="78" t="n"/>
      <c r="B523" s="16" t="n"/>
      <c r="C523" s="16" t="n"/>
      <c r="D523" s="16" t="n"/>
      <c r="E523" s="79" t="n"/>
      <c r="F523" s="94" t="n"/>
      <c r="G523" s="95" t="n"/>
      <c r="H523" s="96" t="n"/>
      <c r="I523" s="97" t="n"/>
      <c r="J523" s="97" t="n"/>
      <c r="K523" s="83" t="n"/>
      <c r="L523" s="83" t="n"/>
      <c r="M523" s="83" t="n"/>
      <c r="N523" s="83" t="n"/>
      <c r="O523" s="84" t="n"/>
      <c r="P523" s="83" t="n"/>
      <c r="Q523" s="83" t="n"/>
      <c r="R523" s="85" t="n"/>
      <c r="S523" s="83" t="n"/>
      <c r="T523" s="86" t="n"/>
      <c r="U523" s="92" t="n"/>
      <c r="V523" s="93" t="n"/>
      <c r="W523" s="93" t="n"/>
      <c r="X523" s="7" t="n"/>
      <c r="Y523" s="7" t="n"/>
      <c r="Z523" s="162" t="n"/>
      <c r="AA523" s="90" t="n"/>
      <c r="AB523" s="16" t="n"/>
      <c r="AC523" s="16" t="n"/>
      <c r="AD523" s="16" t="n"/>
    </row>
    <row r="524" ht="13.1" customHeight="1" s="151">
      <c r="A524" s="78" t="n"/>
      <c r="B524" s="16" t="n"/>
      <c r="C524" s="16" t="n"/>
      <c r="D524" s="16" t="n"/>
      <c r="E524" s="79" t="n"/>
      <c r="F524" s="94" t="n"/>
      <c r="G524" s="95" t="n"/>
      <c r="H524" s="96" t="n"/>
      <c r="I524" s="97" t="n"/>
      <c r="J524" s="97" t="n"/>
      <c r="K524" s="83" t="n"/>
      <c r="L524" s="83" t="n"/>
      <c r="M524" s="83" t="n"/>
      <c r="N524" s="83" t="n"/>
      <c r="O524" s="84" t="n"/>
      <c r="P524" s="83" t="n"/>
      <c r="Q524" s="83" t="n"/>
      <c r="R524" s="85" t="n"/>
      <c r="S524" s="83" t="n"/>
      <c r="T524" s="86" t="n"/>
      <c r="U524" s="92" t="n"/>
      <c r="V524" s="93" t="n"/>
      <c r="W524" s="93" t="n"/>
      <c r="X524" s="7" t="n"/>
      <c r="Y524" s="7" t="n"/>
      <c r="Z524" s="162" t="n"/>
      <c r="AA524" s="90" t="n"/>
      <c r="AB524" s="16" t="n"/>
      <c r="AC524" s="16" t="n"/>
      <c r="AD524" s="16" t="n"/>
    </row>
    <row r="525" ht="13.1" customHeight="1" s="151">
      <c r="A525" s="78" t="n"/>
      <c r="B525" s="16" t="n"/>
      <c r="C525" s="16" t="n"/>
      <c r="D525" s="16" t="n"/>
      <c r="E525" s="79" t="n"/>
      <c r="F525" s="94" t="n"/>
      <c r="G525" s="95" t="n"/>
      <c r="H525" s="96" t="n"/>
      <c r="I525" s="97" t="n"/>
      <c r="J525" s="97" t="n"/>
      <c r="K525" s="83" t="n"/>
      <c r="L525" s="83" t="n"/>
      <c r="M525" s="83" t="n"/>
      <c r="N525" s="83" t="n"/>
      <c r="O525" s="84" t="n"/>
      <c r="P525" s="83" t="n"/>
      <c r="Q525" s="83" t="n"/>
      <c r="R525" s="85" t="n"/>
      <c r="S525" s="83" t="n"/>
      <c r="T525" s="86" t="n"/>
      <c r="U525" s="92" t="n"/>
      <c r="V525" s="93" t="n"/>
      <c r="W525" s="93" t="n"/>
      <c r="X525" s="7" t="n"/>
      <c r="Y525" s="7" t="n"/>
      <c r="Z525" s="162" t="n"/>
      <c r="AA525" s="90" t="n"/>
      <c r="AB525" s="16" t="n"/>
      <c r="AC525" s="16" t="n"/>
      <c r="AD525" s="16" t="n"/>
    </row>
    <row r="526" ht="13.1" customHeight="1" s="151">
      <c r="A526" s="78" t="n"/>
      <c r="B526" s="16" t="n"/>
      <c r="C526" s="16" t="n"/>
      <c r="D526" s="16" t="n"/>
      <c r="E526" s="79" t="n"/>
      <c r="F526" s="94" t="n"/>
      <c r="G526" s="95" t="n"/>
      <c r="H526" s="96" t="n"/>
      <c r="I526" s="97" t="n"/>
      <c r="J526" s="97" t="n"/>
      <c r="K526" s="83" t="n"/>
      <c r="L526" s="83" t="n"/>
      <c r="M526" s="83" t="n"/>
      <c r="N526" s="83" t="n"/>
      <c r="O526" s="84" t="n"/>
      <c r="P526" s="83" t="n"/>
      <c r="Q526" s="83" t="n"/>
      <c r="R526" s="85" t="n"/>
      <c r="S526" s="83" t="n"/>
      <c r="T526" s="86" t="n"/>
      <c r="U526" s="92" t="n"/>
      <c r="V526" s="93" t="n"/>
      <c r="W526" s="93" t="n"/>
      <c r="X526" s="7" t="n"/>
      <c r="Y526" s="7" t="n"/>
      <c r="Z526" s="162" t="n"/>
      <c r="AA526" s="90" t="n"/>
      <c r="AB526" s="16" t="n"/>
      <c r="AC526" s="16" t="n"/>
      <c r="AD526" s="16" t="n"/>
    </row>
    <row r="527" ht="13.1" customHeight="1" s="151">
      <c r="A527" s="78" t="n"/>
      <c r="B527" s="16" t="n"/>
      <c r="C527" s="16" t="n"/>
      <c r="D527" s="16" t="n"/>
      <c r="E527" s="79" t="n"/>
      <c r="F527" s="94" t="n"/>
      <c r="G527" s="95" t="n"/>
      <c r="H527" s="96" t="n"/>
      <c r="I527" s="97" t="n"/>
      <c r="J527" s="97" t="n"/>
      <c r="K527" s="83" t="n"/>
      <c r="L527" s="83" t="n"/>
      <c r="M527" s="83" t="n"/>
      <c r="N527" s="83" t="n"/>
      <c r="O527" s="84" t="n"/>
      <c r="P527" s="83" t="n"/>
      <c r="Q527" s="83" t="n"/>
      <c r="R527" s="85" t="n"/>
      <c r="S527" s="83" t="n"/>
      <c r="T527" s="86" t="n"/>
      <c r="U527" s="92" t="n"/>
      <c r="V527" s="93" t="n"/>
      <c r="W527" s="93" t="n"/>
      <c r="X527" s="7" t="n"/>
      <c r="Y527" s="7" t="n"/>
      <c r="Z527" s="162" t="n"/>
      <c r="AA527" s="90" t="n"/>
      <c r="AB527" s="16" t="n"/>
      <c r="AC527" s="16" t="n"/>
      <c r="AD527" s="16" t="n"/>
    </row>
    <row r="528" ht="13.1" customHeight="1" s="151">
      <c r="A528" s="78" t="n"/>
      <c r="B528" s="16" t="n"/>
      <c r="C528" s="16" t="n"/>
      <c r="D528" s="16" t="n"/>
      <c r="E528" s="79" t="n"/>
      <c r="F528" s="94" t="n"/>
      <c r="G528" s="95" t="n"/>
      <c r="H528" s="96" t="n"/>
      <c r="I528" s="97" t="n"/>
      <c r="J528" s="97" t="n"/>
      <c r="K528" s="83" t="n"/>
      <c r="L528" s="83" t="n"/>
      <c r="M528" s="83" t="n"/>
      <c r="N528" s="83" t="n"/>
      <c r="O528" s="84" t="n"/>
      <c r="P528" s="83" t="n"/>
      <c r="Q528" s="83" t="n"/>
      <c r="R528" s="85" t="n"/>
      <c r="S528" s="83" t="n"/>
      <c r="T528" s="86" t="n"/>
      <c r="U528" s="92" t="n"/>
      <c r="V528" s="93" t="n"/>
      <c r="W528" s="93" t="n"/>
      <c r="X528" s="7" t="n"/>
      <c r="Y528" s="7" t="n"/>
      <c r="Z528" s="162" t="n"/>
      <c r="AA528" s="90" t="n"/>
      <c r="AB528" s="16" t="n"/>
      <c r="AC528" s="16" t="n"/>
      <c r="AD528" s="16" t="n"/>
    </row>
    <row r="529" ht="13.1" customHeight="1" s="151">
      <c r="A529" s="78" t="n"/>
      <c r="B529" s="16" t="n"/>
      <c r="C529" s="16" t="n"/>
      <c r="D529" s="16" t="n"/>
      <c r="E529" s="79" t="n"/>
      <c r="F529" s="94" t="n"/>
      <c r="G529" s="95" t="n"/>
      <c r="H529" s="96" t="n"/>
      <c r="I529" s="97" t="n"/>
      <c r="J529" s="97" t="n"/>
      <c r="K529" s="83" t="n"/>
      <c r="L529" s="83" t="n"/>
      <c r="M529" s="83" t="n"/>
      <c r="N529" s="83" t="n"/>
      <c r="O529" s="84" t="n"/>
      <c r="P529" s="83" t="n"/>
      <c r="Q529" s="83" t="n"/>
      <c r="R529" s="85" t="n"/>
      <c r="S529" s="83" t="n"/>
      <c r="T529" s="86" t="n"/>
      <c r="U529" s="92" t="n"/>
      <c r="V529" s="93" t="n"/>
      <c r="W529" s="93" t="n"/>
      <c r="X529" s="7" t="n"/>
      <c r="Y529" s="7" t="n"/>
      <c r="Z529" s="162" t="n"/>
      <c r="AA529" s="90" t="n"/>
      <c r="AB529" s="16" t="n"/>
      <c r="AC529" s="16" t="n"/>
      <c r="AD529" s="16" t="n"/>
    </row>
    <row r="530" ht="13.1" customHeight="1" s="151">
      <c r="A530" s="78" t="n"/>
      <c r="B530" s="16" t="n"/>
      <c r="C530" s="16" t="n"/>
      <c r="D530" s="16" t="n"/>
      <c r="E530" s="79" t="n"/>
      <c r="F530" s="94" t="n"/>
      <c r="G530" s="95" t="n"/>
      <c r="H530" s="96" t="n"/>
      <c r="I530" s="97" t="n"/>
      <c r="J530" s="97" t="n"/>
      <c r="K530" s="83" t="n"/>
      <c r="L530" s="83" t="n"/>
      <c r="M530" s="83" t="n"/>
      <c r="N530" s="83" t="n"/>
      <c r="O530" s="84" t="n"/>
      <c r="P530" s="83" t="n"/>
      <c r="Q530" s="83" t="n"/>
      <c r="R530" s="85" t="n"/>
      <c r="S530" s="83" t="n"/>
      <c r="T530" s="86" t="n"/>
      <c r="U530" s="92" t="n"/>
      <c r="V530" s="93" t="n"/>
      <c r="W530" s="93" t="n"/>
      <c r="X530" s="7" t="n"/>
      <c r="Y530" s="7" t="n"/>
      <c r="Z530" s="162" t="n"/>
      <c r="AA530" s="90" t="n"/>
      <c r="AB530" s="16" t="n"/>
      <c r="AC530" s="16" t="n"/>
      <c r="AD530" s="16" t="n"/>
    </row>
    <row r="531" ht="13.1" customHeight="1" s="151">
      <c r="A531" s="78" t="n"/>
      <c r="B531" s="16" t="n"/>
      <c r="C531" s="16" t="n"/>
      <c r="D531" s="16" t="n"/>
      <c r="E531" s="79" t="n"/>
      <c r="F531" s="94" t="n"/>
      <c r="G531" s="95" t="n"/>
      <c r="H531" s="96" t="n"/>
      <c r="I531" s="97" t="n"/>
      <c r="J531" s="97" t="n"/>
      <c r="K531" s="83" t="n"/>
      <c r="L531" s="83" t="n"/>
      <c r="M531" s="83" t="n"/>
      <c r="N531" s="83" t="n"/>
      <c r="O531" s="84" t="n"/>
      <c r="P531" s="83" t="n"/>
      <c r="Q531" s="83" t="n"/>
      <c r="R531" s="85" t="n"/>
      <c r="S531" s="83" t="n"/>
      <c r="T531" s="86" t="n"/>
      <c r="U531" s="92" t="n"/>
      <c r="V531" s="93" t="n"/>
      <c r="W531" s="93" t="n"/>
      <c r="X531" s="7" t="n"/>
      <c r="Y531" s="7" t="n"/>
      <c r="Z531" s="162" t="n"/>
      <c r="AA531" s="90" t="n"/>
      <c r="AB531" s="16" t="n"/>
      <c r="AC531" s="16" t="n"/>
      <c r="AD531" s="16" t="n"/>
    </row>
    <row r="532" ht="13.1" customHeight="1" s="151">
      <c r="A532" s="78" t="n"/>
      <c r="B532" s="16" t="n"/>
      <c r="C532" s="16" t="n"/>
      <c r="D532" s="16" t="n"/>
      <c r="E532" s="79" t="n"/>
      <c r="F532" s="94" t="n"/>
      <c r="G532" s="95" t="n"/>
      <c r="H532" s="96" t="n"/>
      <c r="I532" s="97" t="n"/>
      <c r="J532" s="97" t="n"/>
      <c r="K532" s="83" t="n"/>
      <c r="L532" s="83" t="n"/>
      <c r="M532" s="83" t="n"/>
      <c r="N532" s="83" t="n"/>
      <c r="O532" s="84" t="n"/>
      <c r="P532" s="83" t="n"/>
      <c r="Q532" s="83" t="n"/>
      <c r="R532" s="85" t="n"/>
      <c r="S532" s="83" t="n"/>
      <c r="T532" s="86" t="n"/>
      <c r="U532" s="92" t="n"/>
      <c r="V532" s="93" t="n"/>
      <c r="W532" s="93" t="n"/>
      <c r="X532" s="7" t="n"/>
      <c r="Y532" s="7" t="n"/>
      <c r="Z532" s="162" t="n"/>
      <c r="AA532" s="90" t="n"/>
      <c r="AB532" s="16" t="n"/>
      <c r="AC532" s="16" t="n"/>
      <c r="AD532" s="16" t="n"/>
    </row>
    <row r="533" ht="13.1" customHeight="1" s="151">
      <c r="A533" s="78" t="n"/>
      <c r="B533" s="16" t="n"/>
      <c r="C533" s="16" t="n"/>
      <c r="D533" s="16" t="n"/>
      <c r="E533" s="79" t="n"/>
      <c r="F533" s="94" t="n"/>
      <c r="G533" s="95" t="n"/>
      <c r="H533" s="96" t="n"/>
      <c r="I533" s="97" t="n"/>
      <c r="J533" s="97" t="n"/>
      <c r="K533" s="83" t="n"/>
      <c r="L533" s="83" t="n"/>
      <c r="M533" s="83" t="n"/>
      <c r="N533" s="83" t="n"/>
      <c r="O533" s="84" t="n"/>
      <c r="P533" s="83" t="n"/>
      <c r="Q533" s="83" t="n"/>
      <c r="R533" s="85" t="n"/>
      <c r="S533" s="83" t="n"/>
      <c r="T533" s="86" t="n"/>
      <c r="U533" s="92" t="n"/>
      <c r="V533" s="93" t="n"/>
      <c r="W533" s="93" t="n"/>
      <c r="X533" s="7" t="n"/>
      <c r="Y533" s="7" t="n"/>
      <c r="Z533" s="162" t="n"/>
      <c r="AA533" s="90" t="n"/>
      <c r="AB533" s="16" t="n"/>
      <c r="AC533" s="16" t="n"/>
      <c r="AD533" s="16" t="n"/>
    </row>
    <row r="534" ht="13.1" customHeight="1" s="151">
      <c r="A534" s="78" t="n"/>
      <c r="B534" s="16" t="n"/>
      <c r="C534" s="16" t="n"/>
      <c r="D534" s="16" t="n"/>
      <c r="E534" s="79" t="n"/>
      <c r="F534" s="94" t="n"/>
      <c r="G534" s="95" t="n"/>
      <c r="H534" s="96" t="n"/>
      <c r="I534" s="97" t="n"/>
      <c r="J534" s="97" t="n"/>
      <c r="K534" s="83" t="n"/>
      <c r="L534" s="83" t="n"/>
      <c r="M534" s="83" t="n"/>
      <c r="N534" s="83" t="n"/>
      <c r="O534" s="84" t="n"/>
      <c r="P534" s="83" t="n"/>
      <c r="Q534" s="83" t="n"/>
      <c r="R534" s="85" t="n"/>
      <c r="S534" s="83" t="n"/>
      <c r="T534" s="86" t="n"/>
      <c r="U534" s="92" t="n"/>
      <c r="V534" s="93" t="n"/>
      <c r="W534" s="93" t="n"/>
      <c r="X534" s="7" t="n"/>
      <c r="Y534" s="7" t="n"/>
      <c r="Z534" s="162" t="n"/>
      <c r="AA534" s="90" t="n"/>
      <c r="AB534" s="16" t="n"/>
      <c r="AC534" s="16" t="n"/>
      <c r="AD534" s="16" t="n"/>
    </row>
    <row r="535" ht="13.1" customHeight="1" s="151">
      <c r="A535" s="78" t="n"/>
      <c r="B535" s="16" t="n"/>
      <c r="C535" s="16" t="n"/>
      <c r="D535" s="16" t="n"/>
      <c r="E535" s="79" t="n"/>
      <c r="F535" s="94" t="n"/>
      <c r="G535" s="95" t="n"/>
      <c r="H535" s="96" t="n"/>
      <c r="I535" s="97" t="n"/>
      <c r="J535" s="97" t="n"/>
      <c r="K535" s="83" t="n"/>
      <c r="L535" s="83" t="n"/>
      <c r="M535" s="83" t="n"/>
      <c r="N535" s="83" t="n"/>
      <c r="O535" s="84" t="n"/>
      <c r="P535" s="83" t="n"/>
      <c r="Q535" s="83" t="n"/>
      <c r="R535" s="85" t="n"/>
      <c r="S535" s="83" t="n"/>
      <c r="T535" s="86" t="n"/>
      <c r="U535" s="92" t="n"/>
      <c r="V535" s="93" t="n"/>
      <c r="W535" s="93" t="n"/>
      <c r="X535" s="7" t="n"/>
      <c r="Y535" s="7" t="n"/>
      <c r="Z535" s="162" t="n"/>
      <c r="AA535" s="90" t="n"/>
      <c r="AB535" s="16" t="n"/>
      <c r="AC535" s="16" t="n"/>
      <c r="AD535" s="16" t="n"/>
    </row>
    <row r="536" ht="13.1" customHeight="1" s="151">
      <c r="A536" s="78" t="n"/>
      <c r="B536" s="16" t="n"/>
      <c r="C536" s="16" t="n"/>
      <c r="D536" s="16" t="n"/>
      <c r="E536" s="79" t="n"/>
      <c r="F536" s="94" t="n"/>
      <c r="G536" s="95" t="n"/>
      <c r="H536" s="96" t="n"/>
      <c r="I536" s="97" t="n"/>
      <c r="J536" s="97" t="n"/>
      <c r="K536" s="83" t="n"/>
      <c r="L536" s="83" t="n"/>
      <c r="M536" s="83" t="n"/>
      <c r="N536" s="83" t="n"/>
      <c r="O536" s="84" t="n"/>
      <c r="P536" s="83" t="n"/>
      <c r="Q536" s="83" t="n"/>
      <c r="R536" s="85" t="n"/>
      <c r="S536" s="83" t="n"/>
      <c r="T536" s="86" t="n"/>
      <c r="U536" s="92" t="n"/>
      <c r="V536" s="93" t="n"/>
      <c r="W536" s="93" t="n"/>
      <c r="X536" s="7" t="n"/>
      <c r="Y536" s="7" t="n"/>
      <c r="Z536" s="162" t="n"/>
      <c r="AA536" s="90" t="n"/>
      <c r="AB536" s="16" t="n"/>
      <c r="AC536" s="16" t="n"/>
      <c r="AD536" s="16" t="n"/>
    </row>
    <row r="537" ht="13.1" customHeight="1" s="151">
      <c r="A537" s="78" t="n"/>
      <c r="B537" s="16" t="n"/>
      <c r="C537" s="16" t="n"/>
      <c r="D537" s="16" t="n"/>
      <c r="E537" s="79" t="n"/>
      <c r="F537" s="94" t="n"/>
      <c r="G537" s="95" t="n"/>
      <c r="H537" s="96" t="n"/>
      <c r="I537" s="97" t="n"/>
      <c r="J537" s="97" t="n"/>
      <c r="K537" s="83" t="n"/>
      <c r="L537" s="83" t="n"/>
      <c r="M537" s="83" t="n"/>
      <c r="N537" s="83" t="n"/>
      <c r="O537" s="84" t="n"/>
      <c r="P537" s="83" t="n"/>
      <c r="Q537" s="83" t="n"/>
      <c r="R537" s="85" t="n"/>
      <c r="S537" s="83" t="n"/>
      <c r="T537" s="86" t="n"/>
      <c r="U537" s="92" t="n"/>
      <c r="V537" s="93" t="n"/>
      <c r="W537" s="93" t="n"/>
      <c r="X537" s="7" t="n"/>
      <c r="Y537" s="7" t="n"/>
      <c r="Z537" s="162" t="n"/>
      <c r="AA537" s="90" t="n"/>
      <c r="AB537" s="16" t="n"/>
      <c r="AC537" s="16" t="n"/>
      <c r="AD537" s="16" t="n"/>
    </row>
    <row r="538" ht="13.1" customHeight="1" s="151">
      <c r="A538" s="78" t="n"/>
      <c r="B538" s="16" t="n"/>
      <c r="C538" s="16" t="n"/>
      <c r="D538" s="16" t="n"/>
      <c r="E538" s="79" t="n"/>
      <c r="F538" s="94" t="n"/>
      <c r="G538" s="95" t="n"/>
      <c r="H538" s="96" t="n"/>
      <c r="I538" s="97" t="n"/>
      <c r="J538" s="97" t="n"/>
      <c r="K538" s="83" t="n"/>
      <c r="L538" s="83" t="n"/>
      <c r="M538" s="83" t="n"/>
      <c r="N538" s="83" t="n"/>
      <c r="O538" s="84" t="n"/>
      <c r="P538" s="83" t="n"/>
      <c r="Q538" s="83" t="n"/>
      <c r="R538" s="85" t="n"/>
      <c r="S538" s="83" t="n"/>
      <c r="T538" s="86" t="n"/>
      <c r="U538" s="92" t="n"/>
      <c r="V538" s="93" t="n"/>
      <c r="W538" s="93" t="n"/>
      <c r="X538" s="7" t="n"/>
      <c r="Y538" s="7" t="n"/>
      <c r="Z538" s="162" t="n"/>
      <c r="AA538" s="90" t="n"/>
      <c r="AB538" s="16" t="n"/>
      <c r="AC538" s="16" t="n"/>
      <c r="AD538" s="16" t="n"/>
    </row>
    <row r="539" ht="13.1" customHeight="1" s="151">
      <c r="A539" s="78" t="n"/>
      <c r="B539" s="16" t="n"/>
      <c r="C539" s="16" t="n"/>
      <c r="D539" s="16" t="n"/>
      <c r="E539" s="79" t="n"/>
      <c r="F539" s="94" t="n"/>
      <c r="G539" s="95" t="n"/>
      <c r="H539" s="96" t="n"/>
      <c r="I539" s="97" t="n"/>
      <c r="J539" s="97" t="n"/>
      <c r="K539" s="83" t="n"/>
      <c r="L539" s="83" t="n"/>
      <c r="M539" s="83" t="n"/>
      <c r="N539" s="83" t="n"/>
      <c r="O539" s="84" t="n"/>
      <c r="P539" s="83" t="n"/>
      <c r="Q539" s="83" t="n"/>
      <c r="R539" s="85" t="n"/>
      <c r="S539" s="83" t="n"/>
      <c r="T539" s="86" t="n"/>
      <c r="U539" s="92" t="n"/>
      <c r="V539" s="93" t="n"/>
      <c r="W539" s="93" t="n"/>
      <c r="X539" s="7" t="n"/>
      <c r="Y539" s="7" t="n"/>
      <c r="Z539" s="162" t="n"/>
      <c r="AA539" s="90" t="n"/>
      <c r="AB539" s="16" t="n"/>
      <c r="AC539" s="16" t="n"/>
      <c r="AD539" s="16" t="n"/>
    </row>
    <row r="540" ht="13.1" customHeight="1" s="151">
      <c r="A540" s="78" t="n"/>
      <c r="B540" s="16" t="n"/>
      <c r="C540" s="16" t="n"/>
      <c r="D540" s="16" t="n"/>
      <c r="E540" s="79" t="n"/>
      <c r="F540" s="94" t="n"/>
      <c r="G540" s="95" t="n"/>
      <c r="H540" s="96" t="n"/>
      <c r="I540" s="97" t="n"/>
      <c r="J540" s="97" t="n"/>
      <c r="K540" s="83" t="n"/>
      <c r="L540" s="83" t="n"/>
      <c r="M540" s="83" t="n"/>
      <c r="N540" s="83" t="n"/>
      <c r="O540" s="84" t="n"/>
      <c r="P540" s="83" t="n"/>
      <c r="Q540" s="83" t="n"/>
      <c r="R540" s="85" t="n"/>
      <c r="S540" s="83" t="n"/>
      <c r="T540" s="86" t="n"/>
      <c r="U540" s="92" t="n"/>
      <c r="V540" s="93" t="n"/>
      <c r="W540" s="93" t="n"/>
      <c r="X540" s="7" t="n"/>
      <c r="Y540" s="7" t="n"/>
      <c r="Z540" s="162" t="n"/>
      <c r="AA540" s="90" t="n"/>
      <c r="AB540" s="16" t="n"/>
      <c r="AC540" s="16" t="n"/>
      <c r="AD540" s="16" t="n"/>
    </row>
    <row r="541" ht="13.1" customHeight="1" s="151">
      <c r="A541" s="78" t="n"/>
      <c r="B541" s="16" t="n"/>
      <c r="C541" s="16" t="n"/>
      <c r="D541" s="16" t="n"/>
      <c r="E541" s="79" t="n"/>
      <c r="F541" s="94" t="n"/>
      <c r="G541" s="95" t="n"/>
      <c r="H541" s="96" t="n"/>
      <c r="I541" s="97" t="n"/>
      <c r="J541" s="97" t="n"/>
      <c r="K541" s="83" t="n"/>
      <c r="L541" s="83" t="n"/>
      <c r="M541" s="83" t="n"/>
      <c r="N541" s="83" t="n"/>
      <c r="O541" s="84" t="n"/>
      <c r="P541" s="83" t="n"/>
      <c r="Q541" s="83" t="n"/>
      <c r="R541" s="85" t="n"/>
      <c r="S541" s="83" t="n"/>
      <c r="T541" s="86" t="n"/>
      <c r="U541" s="92" t="n"/>
      <c r="V541" s="93" t="n"/>
      <c r="W541" s="93" t="n"/>
      <c r="X541" s="7" t="n"/>
      <c r="Y541" s="7" t="n"/>
      <c r="Z541" s="162" t="n"/>
      <c r="AA541" s="90" t="n"/>
      <c r="AB541" s="16" t="n"/>
      <c r="AC541" s="16" t="n"/>
      <c r="AD541" s="16" t="n"/>
    </row>
    <row r="542" ht="13.1" customHeight="1" s="151">
      <c r="A542" s="78" t="n"/>
      <c r="B542" s="16" t="n"/>
      <c r="C542" s="16" t="n"/>
      <c r="D542" s="16" t="n"/>
      <c r="E542" s="79" t="n"/>
      <c r="F542" s="94" t="n"/>
      <c r="G542" s="95" t="n"/>
      <c r="H542" s="96" t="n"/>
      <c r="I542" s="97" t="n"/>
      <c r="J542" s="97" t="n"/>
      <c r="K542" s="83" t="n"/>
      <c r="L542" s="83" t="n"/>
      <c r="M542" s="83" t="n"/>
      <c r="N542" s="83" t="n"/>
      <c r="O542" s="84" t="n"/>
      <c r="P542" s="83" t="n"/>
      <c r="Q542" s="83" t="n"/>
      <c r="R542" s="85" t="n"/>
      <c r="S542" s="83" t="n"/>
      <c r="T542" s="86" t="n"/>
      <c r="U542" s="92" t="n"/>
      <c r="V542" s="93" t="n"/>
      <c r="W542" s="93" t="n"/>
      <c r="X542" s="7" t="n"/>
      <c r="Y542" s="7" t="n"/>
      <c r="Z542" s="162" t="n"/>
      <c r="AA542" s="90" t="n"/>
      <c r="AB542" s="16" t="n"/>
      <c r="AC542" s="16" t="n"/>
      <c r="AD542" s="16" t="n"/>
    </row>
    <row r="543" ht="13.1" customHeight="1" s="151">
      <c r="A543" s="78" t="n"/>
      <c r="B543" s="16" t="n"/>
      <c r="C543" s="16" t="n"/>
      <c r="D543" s="16" t="n"/>
      <c r="E543" s="79" t="n"/>
      <c r="F543" s="94" t="n"/>
      <c r="G543" s="95" t="n"/>
      <c r="H543" s="96" t="n"/>
      <c r="I543" s="97" t="n"/>
      <c r="J543" s="97" t="n"/>
      <c r="K543" s="83" t="n"/>
      <c r="L543" s="83" t="n"/>
      <c r="M543" s="83" t="n"/>
      <c r="N543" s="83" t="n"/>
      <c r="O543" s="84" t="n"/>
      <c r="P543" s="83" t="n"/>
      <c r="Q543" s="83" t="n"/>
      <c r="R543" s="85" t="n"/>
      <c r="S543" s="83" t="n"/>
      <c r="T543" s="86" t="n"/>
      <c r="U543" s="92" t="n"/>
      <c r="V543" s="93" t="n"/>
      <c r="W543" s="93" t="n"/>
      <c r="X543" s="7" t="n"/>
      <c r="Y543" s="7" t="n"/>
      <c r="Z543" s="162" t="n"/>
      <c r="AA543" s="90" t="n"/>
      <c r="AB543" s="16" t="n"/>
      <c r="AC543" s="16" t="n"/>
      <c r="AD543" s="16" t="n"/>
    </row>
    <row r="544" ht="13.1" customHeight="1" s="151">
      <c r="A544" s="78" t="n"/>
      <c r="B544" s="16" t="n"/>
      <c r="C544" s="16" t="n"/>
      <c r="D544" s="16" t="n"/>
      <c r="E544" s="79" t="n"/>
      <c r="F544" s="94" t="n"/>
      <c r="G544" s="95" t="n"/>
      <c r="H544" s="96" t="n"/>
      <c r="I544" s="97" t="n"/>
      <c r="J544" s="97" t="n"/>
      <c r="K544" s="83" t="n"/>
      <c r="L544" s="83" t="n"/>
      <c r="M544" s="83" t="n"/>
      <c r="N544" s="83" t="n"/>
      <c r="O544" s="84" t="n"/>
      <c r="P544" s="83" t="n"/>
      <c r="Q544" s="83" t="n"/>
      <c r="R544" s="85" t="n"/>
      <c r="S544" s="83" t="n"/>
      <c r="T544" s="86" t="n"/>
      <c r="U544" s="92" t="n"/>
      <c r="V544" s="93" t="n"/>
      <c r="W544" s="93" t="n"/>
      <c r="X544" s="7" t="n"/>
      <c r="Y544" s="7" t="n"/>
      <c r="Z544" s="162" t="n"/>
      <c r="AA544" s="90" t="n"/>
      <c r="AB544" s="16" t="n"/>
      <c r="AC544" s="16" t="n"/>
      <c r="AD544" s="16" t="n"/>
    </row>
    <row r="545" ht="13.1" customHeight="1" s="151">
      <c r="A545" s="78" t="n"/>
      <c r="B545" s="16" t="n"/>
      <c r="C545" s="16" t="n"/>
      <c r="D545" s="16" t="n"/>
      <c r="E545" s="79" t="n"/>
      <c r="F545" s="94" t="n"/>
      <c r="G545" s="95" t="n"/>
      <c r="H545" s="96" t="n"/>
      <c r="I545" s="97" t="n"/>
      <c r="J545" s="97" t="n"/>
      <c r="K545" s="83" t="n"/>
      <c r="L545" s="83" t="n"/>
      <c r="M545" s="83" t="n"/>
      <c r="N545" s="83" t="n"/>
      <c r="O545" s="84" t="n"/>
      <c r="P545" s="83" t="n"/>
      <c r="Q545" s="83" t="n"/>
      <c r="R545" s="85" t="n"/>
      <c r="S545" s="83" t="n"/>
      <c r="T545" s="86" t="n"/>
      <c r="U545" s="92" t="n"/>
      <c r="V545" s="93" t="n"/>
      <c r="W545" s="93" t="n"/>
      <c r="X545" s="7" t="n"/>
      <c r="Y545" s="7" t="n"/>
      <c r="Z545" s="162" t="n"/>
      <c r="AA545" s="90" t="n"/>
      <c r="AB545" s="16" t="n"/>
      <c r="AC545" s="16" t="n"/>
      <c r="AD545" s="16" t="n"/>
    </row>
    <row r="546" ht="13.1" customHeight="1" s="151">
      <c r="A546" s="78" t="n"/>
      <c r="B546" s="16" t="n"/>
      <c r="C546" s="16" t="n"/>
      <c r="D546" s="16" t="n"/>
      <c r="E546" s="79" t="n"/>
      <c r="F546" s="94" t="n"/>
      <c r="G546" s="95" t="n"/>
      <c r="H546" s="96" t="n"/>
      <c r="I546" s="97" t="n"/>
      <c r="J546" s="97" t="n"/>
      <c r="K546" s="83" t="n"/>
      <c r="L546" s="83" t="n"/>
      <c r="M546" s="83" t="n"/>
      <c r="N546" s="83" t="n"/>
      <c r="O546" s="84" t="n"/>
      <c r="P546" s="83" t="n"/>
      <c r="Q546" s="83" t="n"/>
      <c r="R546" s="85" t="n"/>
      <c r="S546" s="83" t="n"/>
      <c r="T546" s="86" t="n"/>
      <c r="U546" s="92" t="n"/>
      <c r="V546" s="93" t="n"/>
      <c r="W546" s="93" t="n"/>
      <c r="X546" s="7" t="n"/>
      <c r="Y546" s="7" t="n"/>
      <c r="Z546" s="162" t="n"/>
      <c r="AA546" s="90" t="n"/>
      <c r="AB546" s="16" t="n"/>
      <c r="AC546" s="16" t="n"/>
      <c r="AD546" s="16" t="n"/>
    </row>
    <row r="547" ht="13.1" customHeight="1" s="151">
      <c r="A547" s="78" t="n"/>
      <c r="B547" s="16" t="n"/>
      <c r="C547" s="16" t="n"/>
      <c r="D547" s="16" t="n"/>
      <c r="E547" s="79" t="n"/>
      <c r="F547" s="94" t="n"/>
      <c r="G547" s="95" t="n"/>
      <c r="H547" s="96" t="n"/>
      <c r="I547" s="97" t="n"/>
      <c r="J547" s="97" t="n"/>
      <c r="K547" s="83" t="n"/>
      <c r="L547" s="83" t="n"/>
      <c r="M547" s="83" t="n"/>
      <c r="N547" s="83" t="n"/>
      <c r="O547" s="84" t="n"/>
      <c r="P547" s="83" t="n"/>
      <c r="Q547" s="83" t="n"/>
      <c r="R547" s="85" t="n"/>
      <c r="S547" s="83" t="n"/>
      <c r="T547" s="86" t="n"/>
      <c r="U547" s="92" t="n"/>
      <c r="V547" s="93" t="n"/>
      <c r="W547" s="93" t="n"/>
      <c r="X547" s="7" t="n"/>
      <c r="Y547" s="7" t="n"/>
      <c r="Z547" s="162" t="n"/>
      <c r="AA547" s="90" t="n"/>
      <c r="AB547" s="16" t="n"/>
      <c r="AC547" s="16" t="n"/>
      <c r="AD547" s="16" t="n"/>
    </row>
    <row r="548" ht="13.1" customHeight="1" s="151">
      <c r="A548" s="78" t="n"/>
      <c r="B548" s="16" t="n"/>
      <c r="C548" s="16" t="n"/>
      <c r="D548" s="16" t="n"/>
      <c r="E548" s="79" t="n"/>
      <c r="F548" s="94" t="n"/>
      <c r="G548" s="95" t="n"/>
      <c r="H548" s="96" t="n"/>
      <c r="I548" s="97" t="n"/>
      <c r="J548" s="97" t="n"/>
      <c r="K548" s="83" t="n"/>
      <c r="L548" s="83" t="n"/>
      <c r="M548" s="83" t="n"/>
      <c r="N548" s="83" t="n"/>
      <c r="O548" s="84" t="n"/>
      <c r="P548" s="83" t="n"/>
      <c r="Q548" s="83" t="n"/>
      <c r="R548" s="85" t="n"/>
      <c r="S548" s="83" t="n"/>
      <c r="T548" s="86" t="n"/>
      <c r="U548" s="92" t="n"/>
      <c r="V548" s="93" t="n"/>
      <c r="W548" s="93" t="n"/>
      <c r="X548" s="7" t="n"/>
      <c r="Y548" s="7" t="n"/>
      <c r="Z548" s="162" t="n"/>
      <c r="AA548" s="90" t="n"/>
      <c r="AB548" s="16" t="n"/>
      <c r="AC548" s="16" t="n"/>
      <c r="AD548" s="16" t="n"/>
    </row>
    <row r="549" ht="13.1" customHeight="1" s="151">
      <c r="A549" s="78" t="n"/>
      <c r="B549" s="16" t="n"/>
      <c r="C549" s="16" t="n"/>
      <c r="D549" s="16" t="n"/>
      <c r="E549" s="79" t="n"/>
      <c r="F549" s="94" t="n"/>
      <c r="G549" s="95" t="n"/>
      <c r="H549" s="96" t="n"/>
      <c r="I549" s="97" t="n"/>
      <c r="J549" s="97" t="n"/>
      <c r="K549" s="83" t="n"/>
      <c r="L549" s="83" t="n"/>
      <c r="M549" s="83" t="n"/>
      <c r="N549" s="83" t="n"/>
      <c r="O549" s="84" t="n"/>
      <c r="P549" s="83" t="n"/>
      <c r="Q549" s="83" t="n"/>
      <c r="R549" s="85" t="n"/>
      <c r="S549" s="83" t="n"/>
      <c r="T549" s="86" t="n"/>
      <c r="U549" s="92" t="n"/>
      <c r="V549" s="93" t="n"/>
      <c r="W549" s="93" t="n"/>
      <c r="X549" s="7" t="n"/>
      <c r="Y549" s="7" t="n"/>
      <c r="Z549" s="162" t="n"/>
      <c r="AA549" s="90" t="n"/>
      <c r="AB549" s="16" t="n"/>
      <c r="AC549" s="16" t="n"/>
      <c r="AD549" s="16" t="n"/>
    </row>
    <row r="550" ht="13.1" customHeight="1" s="151">
      <c r="A550" s="78" t="n"/>
      <c r="B550" s="16" t="n"/>
      <c r="C550" s="16" t="n"/>
      <c r="D550" s="16" t="n"/>
      <c r="E550" s="79" t="n"/>
      <c r="F550" s="94" t="n"/>
      <c r="G550" s="95" t="n"/>
      <c r="H550" s="96" t="n"/>
      <c r="I550" s="97" t="n"/>
      <c r="J550" s="97" t="n"/>
      <c r="K550" s="83" t="n"/>
      <c r="L550" s="83" t="n"/>
      <c r="M550" s="83" t="n"/>
      <c r="N550" s="83" t="n"/>
      <c r="O550" s="84" t="n"/>
      <c r="P550" s="83" t="n"/>
      <c r="Q550" s="83" t="n"/>
      <c r="R550" s="85" t="n"/>
      <c r="S550" s="83" t="n"/>
      <c r="T550" s="86" t="n"/>
      <c r="U550" s="92" t="n"/>
      <c r="V550" s="93" t="n"/>
      <c r="W550" s="93" t="n"/>
      <c r="X550" s="7" t="n"/>
      <c r="Y550" s="7" t="n"/>
      <c r="Z550" s="162" t="n"/>
      <c r="AA550" s="90" t="n"/>
      <c r="AB550" s="16" t="n"/>
      <c r="AC550" s="16" t="n"/>
      <c r="AD550" s="16" t="n"/>
    </row>
    <row r="551" ht="13.1" customHeight="1" s="151">
      <c r="A551" s="78" t="n"/>
      <c r="B551" s="16" t="n"/>
      <c r="C551" s="16" t="n"/>
      <c r="D551" s="16" t="n"/>
      <c r="E551" s="79" t="n"/>
      <c r="F551" s="94" t="n"/>
      <c r="G551" s="95" t="n"/>
      <c r="H551" s="96" t="n"/>
      <c r="I551" s="97" t="n"/>
      <c r="J551" s="97" t="n"/>
      <c r="K551" s="83" t="n"/>
      <c r="L551" s="83" t="n"/>
      <c r="M551" s="83" t="n"/>
      <c r="N551" s="83" t="n"/>
      <c r="O551" s="84" t="n"/>
      <c r="P551" s="83" t="n"/>
      <c r="Q551" s="83" t="n"/>
      <c r="R551" s="85" t="n"/>
      <c r="S551" s="83" t="n"/>
      <c r="T551" s="86" t="n"/>
      <c r="U551" s="92" t="n"/>
      <c r="V551" s="93" t="n"/>
      <c r="W551" s="93" t="n"/>
      <c r="X551" s="7" t="n"/>
      <c r="Y551" s="7" t="n"/>
      <c r="Z551" s="162" t="n"/>
      <c r="AA551" s="90" t="n"/>
      <c r="AB551" s="16" t="n"/>
      <c r="AC551" s="16" t="n"/>
      <c r="AD551" s="16" t="n"/>
    </row>
    <row r="552" ht="13.1" customHeight="1" s="151">
      <c r="A552" s="78" t="n"/>
      <c r="B552" s="16" t="n"/>
      <c r="C552" s="16" t="n"/>
      <c r="D552" s="16" t="n"/>
      <c r="E552" s="79" t="n"/>
      <c r="F552" s="94" t="n"/>
      <c r="G552" s="95" t="n"/>
      <c r="H552" s="96" t="n"/>
      <c r="I552" s="97" t="n"/>
      <c r="J552" s="97" t="n"/>
      <c r="K552" s="83" t="n"/>
      <c r="L552" s="83" t="n"/>
      <c r="M552" s="83" t="n"/>
      <c r="N552" s="83" t="n"/>
      <c r="O552" s="84" t="n"/>
      <c r="P552" s="83" t="n"/>
      <c r="Q552" s="83" t="n"/>
      <c r="R552" s="85" t="n"/>
      <c r="S552" s="83" t="n"/>
      <c r="T552" s="86" t="n"/>
      <c r="U552" s="92" t="n"/>
      <c r="V552" s="93" t="n"/>
      <c r="W552" s="93" t="n"/>
      <c r="X552" s="7" t="n"/>
      <c r="Y552" s="7" t="n"/>
      <c r="Z552" s="162" t="n"/>
      <c r="AA552" s="90" t="n"/>
      <c r="AB552" s="16" t="n"/>
      <c r="AC552" s="16" t="n"/>
      <c r="AD552" s="16" t="n"/>
    </row>
    <row r="553" ht="13.1" customHeight="1" s="151">
      <c r="A553" s="78" t="n"/>
      <c r="B553" s="16" t="n"/>
      <c r="C553" s="16" t="n"/>
      <c r="D553" s="16" t="n"/>
      <c r="E553" s="79" t="n"/>
      <c r="F553" s="94" t="n"/>
      <c r="G553" s="95" t="n"/>
      <c r="H553" s="96" t="n"/>
      <c r="I553" s="97" t="n"/>
      <c r="J553" s="97" t="n"/>
      <c r="K553" s="83" t="n"/>
      <c r="L553" s="83" t="n"/>
      <c r="M553" s="83" t="n"/>
      <c r="N553" s="83" t="n"/>
      <c r="O553" s="84" t="n"/>
      <c r="P553" s="83" t="n"/>
      <c r="Q553" s="83" t="n"/>
      <c r="R553" s="85" t="n"/>
      <c r="S553" s="83" t="n"/>
      <c r="T553" s="86" t="n"/>
      <c r="U553" s="92" t="n"/>
      <c r="V553" s="93" t="n"/>
      <c r="W553" s="93" t="n"/>
      <c r="X553" s="7" t="n"/>
      <c r="Y553" s="7" t="n"/>
      <c r="Z553" s="162" t="n"/>
      <c r="AA553" s="90" t="n"/>
      <c r="AB553" s="16" t="n"/>
      <c r="AC553" s="16" t="n"/>
      <c r="AD553" s="16" t="n"/>
    </row>
    <row r="554" ht="13.1" customHeight="1" s="151">
      <c r="A554" s="78" t="n"/>
      <c r="B554" s="16" t="n"/>
      <c r="C554" s="16" t="n"/>
      <c r="D554" s="16" t="n"/>
      <c r="E554" s="79" t="n"/>
      <c r="F554" s="94" t="n"/>
      <c r="G554" s="95" t="n"/>
      <c r="H554" s="96" t="n"/>
      <c r="I554" s="97" t="n"/>
      <c r="J554" s="97" t="n"/>
      <c r="K554" s="83" t="n"/>
      <c r="L554" s="83" t="n"/>
      <c r="M554" s="83" t="n"/>
      <c r="N554" s="83" t="n"/>
      <c r="O554" s="84" t="n"/>
      <c r="P554" s="83" t="n"/>
      <c r="Q554" s="83" t="n"/>
      <c r="R554" s="85" t="n"/>
      <c r="S554" s="83" t="n"/>
      <c r="T554" s="86" t="n"/>
      <c r="U554" s="92" t="n"/>
      <c r="V554" s="93" t="n"/>
      <c r="W554" s="93" t="n"/>
      <c r="X554" s="7" t="n"/>
      <c r="Y554" s="7" t="n"/>
      <c r="Z554" s="162" t="n"/>
      <c r="AA554" s="90" t="n"/>
      <c r="AB554" s="16" t="n"/>
      <c r="AC554" s="16" t="n"/>
      <c r="AD554" s="16" t="n"/>
    </row>
    <row r="555" ht="13.1" customHeight="1" s="151">
      <c r="A555" s="78" t="n"/>
      <c r="B555" s="16" t="n"/>
      <c r="C555" s="16" t="n"/>
      <c r="D555" s="16" t="n"/>
      <c r="E555" s="79" t="n"/>
      <c r="F555" s="94" t="n"/>
      <c r="G555" s="95" t="n"/>
      <c r="H555" s="96" t="n"/>
      <c r="I555" s="97" t="n"/>
      <c r="J555" s="97" t="n"/>
      <c r="K555" s="83" t="n"/>
      <c r="L555" s="83" t="n"/>
      <c r="M555" s="83" t="n"/>
      <c r="N555" s="83" t="n"/>
      <c r="O555" s="84" t="n"/>
      <c r="P555" s="83" t="n"/>
      <c r="Q555" s="83" t="n"/>
      <c r="R555" s="85" t="n"/>
      <c r="S555" s="83" t="n"/>
      <c r="T555" s="86" t="n"/>
      <c r="U555" s="92" t="n"/>
      <c r="V555" s="93" t="n"/>
      <c r="W555" s="93" t="n"/>
      <c r="X555" s="7" t="n"/>
      <c r="Y555" s="7" t="n"/>
      <c r="Z555" s="162" t="n"/>
      <c r="AA555" s="90" t="n"/>
      <c r="AB555" s="16" t="n"/>
      <c r="AC555" s="16" t="n"/>
      <c r="AD555" s="16" t="n"/>
    </row>
    <row r="556" ht="13.1" customHeight="1" s="151">
      <c r="A556" s="78" t="n"/>
      <c r="B556" s="16" t="n"/>
      <c r="C556" s="16" t="n"/>
      <c r="D556" s="16" t="n"/>
      <c r="E556" s="79" t="n"/>
      <c r="F556" s="94" t="n"/>
      <c r="G556" s="95" t="n"/>
      <c r="H556" s="96" t="n"/>
      <c r="I556" s="97" t="n"/>
      <c r="J556" s="97" t="n"/>
      <c r="K556" s="83" t="n"/>
      <c r="L556" s="83" t="n"/>
      <c r="M556" s="83" t="n"/>
      <c r="N556" s="83" t="n"/>
      <c r="O556" s="84" t="n"/>
      <c r="P556" s="83" t="n"/>
      <c r="Q556" s="83" t="n"/>
      <c r="R556" s="85" t="n"/>
      <c r="S556" s="83" t="n"/>
      <c r="T556" s="86" t="n"/>
      <c r="U556" s="92" t="n"/>
      <c r="V556" s="93" t="n"/>
      <c r="W556" s="93" t="n"/>
      <c r="X556" s="7" t="n"/>
      <c r="Y556" s="7" t="n"/>
      <c r="Z556" s="162" t="n"/>
      <c r="AA556" s="90" t="n"/>
      <c r="AB556" s="16" t="n"/>
      <c r="AC556" s="16" t="n"/>
      <c r="AD556" s="16" t="n"/>
    </row>
    <row r="557" ht="13.1" customHeight="1" s="151">
      <c r="A557" s="78" t="n"/>
      <c r="B557" s="16" t="n"/>
      <c r="C557" s="16" t="n"/>
      <c r="D557" s="16" t="n"/>
      <c r="E557" s="79" t="n"/>
      <c r="F557" s="94" t="n"/>
      <c r="G557" s="95" t="n"/>
      <c r="H557" s="96" t="n"/>
      <c r="I557" s="97" t="n"/>
      <c r="J557" s="97" t="n"/>
      <c r="K557" s="83" t="n"/>
      <c r="L557" s="83" t="n"/>
      <c r="M557" s="83" t="n"/>
      <c r="N557" s="83" t="n"/>
      <c r="O557" s="84" t="n"/>
      <c r="P557" s="83" t="n"/>
      <c r="Q557" s="83" t="n"/>
      <c r="R557" s="85" t="n"/>
      <c r="S557" s="83" t="n"/>
      <c r="T557" s="86" t="n"/>
      <c r="U557" s="92" t="n"/>
      <c r="V557" s="93" t="n"/>
      <c r="W557" s="93" t="n"/>
      <c r="X557" s="7" t="n"/>
      <c r="Y557" s="7" t="n"/>
      <c r="Z557" s="162" t="n"/>
      <c r="AA557" s="90" t="n"/>
      <c r="AB557" s="16" t="n"/>
      <c r="AC557" s="16" t="n"/>
      <c r="AD557" s="16" t="n"/>
    </row>
    <row r="558" ht="13.1" customHeight="1" s="151">
      <c r="A558" s="78" t="n"/>
      <c r="B558" s="16" t="n"/>
      <c r="C558" s="16" t="n"/>
      <c r="D558" s="16" t="n"/>
      <c r="E558" s="79" t="n"/>
      <c r="F558" s="94" t="n"/>
      <c r="G558" s="95" t="n"/>
      <c r="H558" s="96" t="n"/>
      <c r="I558" s="97" t="n"/>
      <c r="J558" s="97" t="n"/>
      <c r="K558" s="83" t="n"/>
      <c r="L558" s="83" t="n"/>
      <c r="M558" s="83" t="n"/>
      <c r="N558" s="83" t="n"/>
      <c r="O558" s="84" t="n"/>
      <c r="P558" s="83" t="n"/>
      <c r="Q558" s="83" t="n"/>
      <c r="R558" s="85" t="n"/>
      <c r="S558" s="83" t="n"/>
      <c r="T558" s="86" t="n"/>
      <c r="U558" s="92" t="n"/>
      <c r="V558" s="93" t="n"/>
      <c r="W558" s="93" t="n"/>
      <c r="X558" s="7" t="n"/>
      <c r="Y558" s="7" t="n"/>
      <c r="Z558" s="162" t="n"/>
      <c r="AA558" s="90" t="n"/>
      <c r="AB558" s="16" t="n"/>
      <c r="AC558" s="16" t="n"/>
      <c r="AD558" s="16" t="n"/>
    </row>
    <row r="559" ht="13.1" customHeight="1" s="151">
      <c r="A559" s="78" t="n"/>
      <c r="B559" s="16" t="n"/>
      <c r="C559" s="16" t="n"/>
      <c r="D559" s="16" t="n"/>
      <c r="E559" s="79" t="n"/>
      <c r="F559" s="94" t="n"/>
      <c r="G559" s="95" t="n"/>
      <c r="H559" s="96" t="n"/>
      <c r="I559" s="97" t="n"/>
      <c r="J559" s="97" t="n"/>
      <c r="K559" s="83" t="n"/>
      <c r="L559" s="83" t="n"/>
      <c r="M559" s="83" t="n"/>
      <c r="N559" s="83" t="n"/>
      <c r="O559" s="84" t="n"/>
      <c r="P559" s="83" t="n"/>
      <c r="Q559" s="83" t="n"/>
      <c r="R559" s="85" t="n"/>
      <c r="S559" s="83" t="n"/>
      <c r="T559" s="86" t="n"/>
      <c r="U559" s="92" t="n"/>
      <c r="V559" s="93" t="n"/>
      <c r="W559" s="93" t="n"/>
      <c r="X559" s="7" t="n"/>
      <c r="Y559" s="7" t="n"/>
      <c r="Z559" s="162" t="n"/>
      <c r="AA559" s="90" t="n"/>
      <c r="AB559" s="16" t="n"/>
      <c r="AC559" s="16" t="n"/>
      <c r="AD559" s="16" t="n"/>
    </row>
    <row r="560" ht="13.1" customHeight="1" s="151">
      <c r="A560" s="78" t="n"/>
      <c r="B560" s="16" t="n"/>
      <c r="C560" s="16" t="n"/>
      <c r="D560" s="16" t="n"/>
      <c r="E560" s="79" t="n"/>
      <c r="F560" s="94" t="n"/>
      <c r="G560" s="95" t="n"/>
      <c r="H560" s="96" t="n"/>
      <c r="I560" s="97" t="n"/>
      <c r="J560" s="97" t="n"/>
      <c r="K560" s="83" t="n"/>
      <c r="L560" s="83" t="n"/>
      <c r="M560" s="83" t="n"/>
      <c r="N560" s="83" t="n"/>
      <c r="O560" s="84" t="n"/>
      <c r="P560" s="83" t="n"/>
      <c r="Q560" s="83" t="n"/>
      <c r="R560" s="85" t="n"/>
      <c r="S560" s="83" t="n"/>
      <c r="T560" s="86" t="n"/>
      <c r="U560" s="92" t="n"/>
      <c r="V560" s="93" t="n"/>
      <c r="W560" s="93" t="n"/>
      <c r="X560" s="7" t="n"/>
      <c r="Y560" s="7" t="n"/>
      <c r="Z560" s="162" t="n"/>
      <c r="AA560" s="90" t="n"/>
      <c r="AB560" s="16" t="n"/>
      <c r="AC560" s="16" t="n"/>
      <c r="AD560" s="16" t="n"/>
    </row>
    <row r="561" ht="13.1" customHeight="1" s="151">
      <c r="A561" s="78" t="n"/>
      <c r="B561" s="16" t="n"/>
      <c r="C561" s="16" t="n"/>
      <c r="D561" s="16" t="n"/>
      <c r="E561" s="79" t="n"/>
      <c r="F561" s="94" t="n"/>
      <c r="G561" s="95" t="n"/>
      <c r="H561" s="96" t="n"/>
      <c r="I561" s="97" t="n"/>
      <c r="J561" s="97" t="n"/>
      <c r="K561" s="83" t="n"/>
      <c r="L561" s="83" t="n"/>
      <c r="M561" s="83" t="n"/>
      <c r="N561" s="83" t="n"/>
      <c r="O561" s="84" t="n"/>
      <c r="P561" s="83" t="n"/>
      <c r="Q561" s="83" t="n"/>
      <c r="R561" s="85" t="n"/>
      <c r="S561" s="83" t="n"/>
      <c r="T561" s="86" t="n"/>
      <c r="U561" s="92" t="n"/>
      <c r="V561" s="93" t="n"/>
      <c r="W561" s="93" t="n"/>
      <c r="X561" s="7" t="n"/>
      <c r="Y561" s="7" t="n"/>
      <c r="Z561" s="162" t="n"/>
      <c r="AA561" s="90" t="n"/>
      <c r="AB561" s="16" t="n"/>
      <c r="AC561" s="16" t="n"/>
      <c r="AD561" s="16" t="n"/>
    </row>
    <row r="562" ht="13.1" customHeight="1" s="151">
      <c r="A562" s="78" t="n"/>
      <c r="B562" s="16" t="n"/>
      <c r="C562" s="16" t="n"/>
      <c r="D562" s="16" t="n"/>
      <c r="E562" s="79" t="n"/>
      <c r="F562" s="94" t="n"/>
      <c r="G562" s="95" t="n"/>
      <c r="H562" s="96" t="n"/>
      <c r="I562" s="97" t="n"/>
      <c r="J562" s="97" t="n"/>
      <c r="K562" s="83" t="n"/>
      <c r="L562" s="83" t="n"/>
      <c r="M562" s="83" t="n"/>
      <c r="N562" s="83" t="n"/>
      <c r="O562" s="84" t="n"/>
      <c r="P562" s="83" t="n"/>
      <c r="Q562" s="83" t="n"/>
      <c r="R562" s="85" t="n"/>
      <c r="S562" s="83" t="n"/>
      <c r="T562" s="86" t="n"/>
      <c r="U562" s="92" t="n"/>
      <c r="V562" s="93" t="n"/>
      <c r="W562" s="93" t="n"/>
      <c r="X562" s="7" t="n"/>
      <c r="Y562" s="7" t="n"/>
      <c r="Z562" s="162" t="n"/>
      <c r="AA562" s="90" t="n"/>
      <c r="AB562" s="16" t="n"/>
      <c r="AC562" s="16" t="n"/>
      <c r="AD562" s="16" t="n"/>
    </row>
    <row r="563" ht="13.1" customHeight="1" s="151">
      <c r="A563" s="78" t="n"/>
      <c r="B563" s="16" t="n"/>
      <c r="C563" s="16" t="n"/>
      <c r="D563" s="16" t="n"/>
      <c r="E563" s="79" t="n"/>
      <c r="F563" s="94" t="n"/>
      <c r="G563" s="95" t="n"/>
      <c r="H563" s="96" t="n"/>
      <c r="I563" s="97" t="n"/>
      <c r="J563" s="97" t="n"/>
      <c r="K563" s="83" t="n"/>
      <c r="L563" s="83" t="n"/>
      <c r="M563" s="83" t="n"/>
      <c r="N563" s="83" t="n"/>
      <c r="O563" s="84" t="n"/>
      <c r="P563" s="83" t="n"/>
      <c r="Q563" s="83" t="n"/>
      <c r="R563" s="85" t="n"/>
      <c r="S563" s="83" t="n"/>
      <c r="T563" s="86" t="n"/>
      <c r="U563" s="92" t="n"/>
      <c r="V563" s="93" t="n"/>
      <c r="W563" s="93" t="n"/>
      <c r="X563" s="7" t="n"/>
      <c r="Y563" s="7" t="n"/>
      <c r="Z563" s="162" t="n"/>
      <c r="AA563" s="90" t="n"/>
      <c r="AB563" s="16" t="n"/>
      <c r="AC563" s="16" t="n"/>
      <c r="AD563" s="16" t="n"/>
    </row>
    <row r="564" ht="13.1" customHeight="1" s="151">
      <c r="A564" s="78" t="n"/>
      <c r="B564" s="16" t="n"/>
      <c r="C564" s="16" t="n"/>
      <c r="D564" s="16" t="n"/>
      <c r="E564" s="79" t="n"/>
      <c r="F564" s="94" t="n"/>
      <c r="G564" s="95" t="n"/>
      <c r="H564" s="96" t="n"/>
      <c r="I564" s="97" t="n"/>
      <c r="J564" s="97" t="n"/>
      <c r="K564" s="83" t="n"/>
      <c r="L564" s="83" t="n"/>
      <c r="M564" s="83" t="n"/>
      <c r="N564" s="83" t="n"/>
      <c r="O564" s="84" t="n"/>
      <c r="P564" s="83" t="n"/>
      <c r="Q564" s="83" t="n"/>
      <c r="R564" s="85" t="n"/>
      <c r="S564" s="83" t="n"/>
      <c r="T564" s="86" t="n"/>
      <c r="U564" s="92" t="n"/>
      <c r="V564" s="93" t="n"/>
      <c r="W564" s="93" t="n"/>
      <c r="X564" s="7" t="n"/>
      <c r="Y564" s="7" t="n"/>
      <c r="Z564" s="162" t="n"/>
      <c r="AA564" s="90" t="n"/>
      <c r="AB564" s="16" t="n"/>
      <c r="AC564" s="16" t="n"/>
      <c r="AD564" s="16" t="n"/>
    </row>
    <row r="565" ht="13.1" customHeight="1" s="151">
      <c r="A565" s="78" t="n"/>
      <c r="B565" s="16" t="n"/>
      <c r="C565" s="16" t="n"/>
      <c r="D565" s="16" t="n"/>
      <c r="E565" s="79" t="n"/>
      <c r="F565" s="94" t="n"/>
      <c r="G565" s="95" t="n"/>
      <c r="H565" s="96" t="n"/>
      <c r="I565" s="97" t="n"/>
      <c r="J565" s="97" t="n"/>
      <c r="K565" s="83" t="n"/>
      <c r="L565" s="83" t="n"/>
      <c r="M565" s="83" t="n"/>
      <c r="N565" s="83" t="n"/>
      <c r="O565" s="84" t="n"/>
      <c r="P565" s="83" t="n"/>
      <c r="Q565" s="83" t="n"/>
      <c r="R565" s="85" t="n"/>
      <c r="S565" s="83" t="n"/>
      <c r="T565" s="86" t="n"/>
      <c r="U565" s="92" t="n"/>
      <c r="V565" s="93" t="n"/>
      <c r="W565" s="93" t="n"/>
      <c r="X565" s="7" t="n"/>
      <c r="Y565" s="7" t="n"/>
      <c r="Z565" s="162" t="n"/>
      <c r="AA565" s="90" t="n"/>
      <c r="AB565" s="16" t="n"/>
      <c r="AC565" s="16" t="n"/>
      <c r="AD565" s="16" t="n"/>
    </row>
    <row r="566" ht="13.1" customHeight="1" s="151">
      <c r="A566" s="78" t="n"/>
      <c r="B566" s="16" t="n"/>
      <c r="C566" s="16" t="n"/>
      <c r="D566" s="16" t="n"/>
      <c r="E566" s="79" t="n"/>
      <c r="F566" s="94" t="n"/>
      <c r="G566" s="95" t="n"/>
      <c r="H566" s="96" t="n"/>
      <c r="I566" s="97" t="n"/>
      <c r="J566" s="97" t="n"/>
      <c r="K566" s="83" t="n"/>
      <c r="L566" s="83" t="n"/>
      <c r="M566" s="83" t="n"/>
      <c r="N566" s="83" t="n"/>
      <c r="O566" s="84" t="n"/>
      <c r="P566" s="83" t="n"/>
      <c r="Q566" s="83" t="n"/>
      <c r="R566" s="85" t="n"/>
      <c r="S566" s="83" t="n"/>
      <c r="T566" s="86" t="n"/>
      <c r="U566" s="92" t="n"/>
      <c r="V566" s="93" t="n"/>
      <c r="W566" s="93" t="n"/>
      <c r="X566" s="7" t="n"/>
      <c r="Y566" s="7" t="n"/>
      <c r="Z566" s="162" t="n"/>
      <c r="AA566" s="90" t="n"/>
      <c r="AB566" s="16" t="n"/>
      <c r="AC566" s="16" t="n"/>
      <c r="AD566" s="16" t="n"/>
    </row>
    <row r="567" ht="13.1" customHeight="1" s="151">
      <c r="A567" s="78" t="n"/>
      <c r="B567" s="16" t="n"/>
      <c r="C567" s="16" t="n"/>
      <c r="D567" s="16" t="n"/>
      <c r="E567" s="79" t="n"/>
      <c r="F567" s="94" t="n"/>
      <c r="G567" s="95" t="n"/>
      <c r="H567" s="96" t="n"/>
      <c r="I567" s="97" t="n"/>
      <c r="J567" s="97" t="n"/>
      <c r="K567" s="83" t="n"/>
      <c r="L567" s="83" t="n"/>
      <c r="M567" s="83" t="n"/>
      <c r="N567" s="83" t="n"/>
      <c r="O567" s="84" t="n"/>
      <c r="P567" s="83" t="n"/>
      <c r="Q567" s="83" t="n"/>
      <c r="R567" s="85" t="n"/>
      <c r="S567" s="83" t="n"/>
      <c r="T567" s="86" t="n"/>
      <c r="U567" s="92" t="n"/>
      <c r="V567" s="93" t="n"/>
      <c r="W567" s="93" t="n"/>
      <c r="X567" s="7" t="n"/>
      <c r="Y567" s="7" t="n"/>
      <c r="Z567" s="162" t="n"/>
      <c r="AA567" s="90" t="n"/>
      <c r="AB567" s="16" t="n"/>
      <c r="AC567" s="16" t="n"/>
      <c r="AD567" s="16" t="n"/>
    </row>
    <row r="568" ht="13.1" customHeight="1" s="151">
      <c r="A568" s="78" t="n"/>
      <c r="B568" s="16" t="n"/>
      <c r="C568" s="16" t="n"/>
      <c r="D568" s="16" t="n"/>
      <c r="E568" s="79" t="n"/>
      <c r="F568" s="94" t="n"/>
      <c r="G568" s="95" t="n"/>
      <c r="H568" s="96" t="n"/>
      <c r="I568" s="97" t="n"/>
      <c r="J568" s="97" t="n"/>
      <c r="K568" s="83" t="n"/>
      <c r="L568" s="83" t="n"/>
      <c r="M568" s="83" t="n"/>
      <c r="N568" s="83" t="n"/>
      <c r="O568" s="84" t="n"/>
      <c r="P568" s="83" t="n"/>
      <c r="Q568" s="83" t="n"/>
      <c r="R568" s="85" t="n"/>
      <c r="S568" s="83" t="n"/>
      <c r="T568" s="86" t="n"/>
      <c r="U568" s="92" t="n"/>
      <c r="V568" s="93" t="n"/>
      <c r="W568" s="93" t="n"/>
      <c r="X568" s="7" t="n"/>
      <c r="Y568" s="7" t="n"/>
      <c r="Z568" s="162" t="n"/>
      <c r="AA568" s="90" t="n"/>
      <c r="AB568" s="16" t="n"/>
      <c r="AC568" s="16" t="n"/>
      <c r="AD568" s="16" t="n"/>
    </row>
    <row r="569" ht="13.1" customHeight="1" s="151">
      <c r="A569" s="78" t="n"/>
      <c r="B569" s="16" t="n"/>
      <c r="C569" s="16" t="n"/>
      <c r="D569" s="16" t="n"/>
      <c r="E569" s="79" t="n"/>
      <c r="F569" s="94" t="n"/>
      <c r="G569" s="95" t="n"/>
      <c r="H569" s="96" t="n"/>
      <c r="I569" s="97" t="n"/>
      <c r="J569" s="97" t="n"/>
      <c r="K569" s="83" t="n"/>
      <c r="L569" s="83" t="n"/>
      <c r="M569" s="83" t="n"/>
      <c r="N569" s="83" t="n"/>
      <c r="O569" s="84" t="n"/>
      <c r="P569" s="83" t="n"/>
      <c r="Q569" s="83" t="n"/>
      <c r="R569" s="85" t="n"/>
      <c r="S569" s="83" t="n"/>
      <c r="T569" s="86" t="n"/>
      <c r="U569" s="92" t="n"/>
      <c r="V569" s="93" t="n"/>
      <c r="W569" s="93" t="n"/>
      <c r="X569" s="7" t="n"/>
      <c r="Y569" s="7" t="n"/>
      <c r="Z569" s="162" t="n"/>
      <c r="AA569" s="90" t="n"/>
      <c r="AB569" s="16" t="n"/>
      <c r="AC569" s="16" t="n"/>
      <c r="AD569" s="16" t="n"/>
    </row>
    <row r="570" ht="13.1" customHeight="1" s="151">
      <c r="A570" s="78" t="n"/>
      <c r="B570" s="16" t="n"/>
      <c r="C570" s="16" t="n"/>
      <c r="D570" s="16" t="n"/>
      <c r="E570" s="79" t="n"/>
      <c r="F570" s="94" t="n"/>
      <c r="G570" s="95" t="n"/>
      <c r="H570" s="96" t="n"/>
      <c r="I570" s="97" t="n"/>
      <c r="J570" s="97" t="n"/>
      <c r="K570" s="83" t="n"/>
      <c r="L570" s="83" t="n"/>
      <c r="M570" s="83" t="n"/>
      <c r="N570" s="83" t="n"/>
      <c r="O570" s="84" t="n"/>
      <c r="P570" s="83" t="n"/>
      <c r="Q570" s="83" t="n"/>
      <c r="R570" s="85" t="n"/>
      <c r="S570" s="83" t="n"/>
      <c r="T570" s="86" t="n"/>
      <c r="U570" s="92" t="n"/>
      <c r="V570" s="93" t="n"/>
      <c r="W570" s="93" t="n"/>
      <c r="X570" s="7" t="n"/>
      <c r="Y570" s="7" t="n"/>
      <c r="Z570" s="162" t="n"/>
      <c r="AA570" s="90" t="n"/>
      <c r="AB570" s="16" t="n"/>
      <c r="AC570" s="16" t="n"/>
      <c r="AD570" s="16" t="n"/>
    </row>
    <row r="571" ht="13.1" customHeight="1" s="151">
      <c r="A571" s="78" t="n"/>
      <c r="B571" s="16" t="n"/>
      <c r="C571" s="16" t="n"/>
      <c r="D571" s="16" t="n"/>
      <c r="E571" s="79" t="n"/>
      <c r="F571" s="94" t="n"/>
      <c r="G571" s="95" t="n"/>
      <c r="H571" s="96" t="n"/>
      <c r="I571" s="97" t="n"/>
      <c r="J571" s="97" t="n"/>
      <c r="K571" s="83" t="n"/>
      <c r="L571" s="83" t="n"/>
      <c r="M571" s="83" t="n"/>
      <c r="N571" s="83" t="n"/>
      <c r="O571" s="84" t="n"/>
      <c r="P571" s="83" t="n"/>
      <c r="Q571" s="83" t="n"/>
      <c r="R571" s="85" t="n"/>
      <c r="S571" s="83" t="n"/>
      <c r="T571" s="86" t="n"/>
      <c r="U571" s="92" t="n"/>
      <c r="V571" s="93" t="n"/>
      <c r="W571" s="93" t="n"/>
      <c r="X571" s="7" t="n"/>
      <c r="Y571" s="7" t="n"/>
      <c r="Z571" s="162" t="n"/>
      <c r="AA571" s="90" t="n"/>
      <c r="AB571" s="16" t="n"/>
      <c r="AC571" s="16" t="n"/>
      <c r="AD571" s="16" t="n"/>
    </row>
    <row r="572" ht="13.1" customHeight="1" s="151">
      <c r="A572" s="78" t="n"/>
      <c r="B572" s="16" t="n"/>
      <c r="C572" s="16" t="n"/>
      <c r="D572" s="16" t="n"/>
      <c r="E572" s="79" t="n"/>
      <c r="F572" s="94" t="n"/>
      <c r="G572" s="95" t="n"/>
      <c r="H572" s="96" t="n"/>
      <c r="I572" s="97" t="n"/>
      <c r="J572" s="97" t="n"/>
      <c r="K572" s="83" t="n"/>
      <c r="L572" s="83" t="n"/>
      <c r="M572" s="83" t="n"/>
      <c r="N572" s="83" t="n"/>
      <c r="O572" s="84" t="n"/>
      <c r="P572" s="83" t="n"/>
      <c r="Q572" s="83" t="n"/>
      <c r="R572" s="85" t="n"/>
      <c r="S572" s="83" t="n"/>
      <c r="T572" s="86" t="n"/>
      <c r="U572" s="92" t="n"/>
      <c r="V572" s="93" t="n"/>
      <c r="W572" s="93" t="n"/>
      <c r="X572" s="7" t="n"/>
      <c r="Y572" s="7" t="n"/>
      <c r="Z572" s="162" t="n"/>
      <c r="AA572" s="90" t="n"/>
      <c r="AB572" s="16" t="n"/>
      <c r="AC572" s="16" t="n"/>
      <c r="AD572" s="16" t="n"/>
    </row>
    <row r="573" ht="13.1" customHeight="1" s="151">
      <c r="A573" s="78" t="n"/>
      <c r="B573" s="16" t="n"/>
      <c r="C573" s="16" t="n"/>
      <c r="D573" s="16" t="n"/>
      <c r="E573" s="79" t="n"/>
      <c r="F573" s="94" t="n"/>
      <c r="G573" s="95" t="n"/>
      <c r="H573" s="96" t="n"/>
      <c r="I573" s="97" t="n"/>
      <c r="J573" s="97" t="n"/>
      <c r="K573" s="83" t="n"/>
      <c r="L573" s="83" t="n"/>
      <c r="M573" s="83" t="n"/>
      <c r="N573" s="83" t="n"/>
      <c r="O573" s="84" t="n"/>
      <c r="P573" s="83" t="n"/>
      <c r="Q573" s="83" t="n"/>
      <c r="R573" s="85" t="n"/>
      <c r="S573" s="83" t="n"/>
      <c r="T573" s="86" t="n"/>
      <c r="U573" s="92" t="n"/>
      <c r="V573" s="93" t="n"/>
      <c r="W573" s="93" t="n"/>
      <c r="X573" s="7" t="n"/>
      <c r="Y573" s="7" t="n"/>
      <c r="Z573" s="162" t="n"/>
      <c r="AA573" s="90" t="n"/>
      <c r="AB573" s="16" t="n"/>
      <c r="AC573" s="16" t="n"/>
      <c r="AD573" s="16" t="n"/>
    </row>
    <row r="574" ht="13.1" customHeight="1" s="151">
      <c r="A574" s="78" t="n"/>
      <c r="B574" s="16" t="n"/>
      <c r="C574" s="16" t="n"/>
      <c r="D574" s="16" t="n"/>
      <c r="E574" s="79" t="n"/>
      <c r="F574" s="94" t="n"/>
      <c r="G574" s="95" t="n"/>
      <c r="H574" s="96" t="n"/>
      <c r="I574" s="97" t="n"/>
      <c r="J574" s="97" t="n"/>
      <c r="K574" s="83" t="n"/>
      <c r="L574" s="83" t="n"/>
      <c r="M574" s="83" t="n"/>
      <c r="N574" s="83" t="n"/>
      <c r="O574" s="84" t="n"/>
      <c r="P574" s="83" t="n"/>
      <c r="Q574" s="83" t="n"/>
      <c r="R574" s="85" t="n"/>
      <c r="S574" s="83" t="n"/>
      <c r="T574" s="86" t="n"/>
      <c r="U574" s="92" t="n"/>
      <c r="V574" s="93" t="n"/>
      <c r="W574" s="93" t="n"/>
      <c r="X574" s="7" t="n"/>
      <c r="Y574" s="7" t="n"/>
      <c r="Z574" s="162" t="n"/>
      <c r="AA574" s="90" t="n"/>
      <c r="AB574" s="16" t="n"/>
      <c r="AC574" s="16" t="n"/>
      <c r="AD574" s="16" t="n"/>
    </row>
    <row r="575" ht="13.1" customHeight="1" s="151">
      <c r="A575" s="78" t="n"/>
      <c r="B575" s="16" t="n"/>
      <c r="C575" s="16" t="n"/>
      <c r="D575" s="16" t="n"/>
      <c r="E575" s="79" t="n"/>
      <c r="F575" s="94" t="n"/>
      <c r="G575" s="95" t="n"/>
      <c r="H575" s="96" t="n"/>
      <c r="I575" s="97" t="n"/>
      <c r="J575" s="97" t="n"/>
      <c r="K575" s="83" t="n"/>
      <c r="L575" s="83" t="n"/>
      <c r="M575" s="83" t="n"/>
      <c r="N575" s="83" t="n"/>
      <c r="O575" s="84" t="n"/>
      <c r="P575" s="83" t="n"/>
      <c r="Q575" s="83" t="n"/>
      <c r="R575" s="85" t="n"/>
      <c r="S575" s="83" t="n"/>
      <c r="T575" s="86" t="n"/>
      <c r="U575" s="92" t="n"/>
      <c r="V575" s="93" t="n"/>
      <c r="W575" s="93" t="n"/>
      <c r="X575" s="7" t="n"/>
      <c r="Y575" s="7" t="n"/>
      <c r="Z575" s="162" t="n"/>
      <c r="AA575" s="90" t="n"/>
      <c r="AB575" s="16" t="n"/>
      <c r="AC575" s="16" t="n"/>
      <c r="AD575" s="16" t="n"/>
    </row>
    <row r="576" ht="13.1" customHeight="1" s="151">
      <c r="A576" s="78" t="n"/>
      <c r="B576" s="16" t="n"/>
      <c r="C576" s="16" t="n"/>
      <c r="D576" s="16" t="n"/>
      <c r="E576" s="79" t="n"/>
      <c r="F576" s="94" t="n"/>
      <c r="G576" s="95" t="n"/>
      <c r="H576" s="96" t="n"/>
      <c r="I576" s="97" t="n"/>
      <c r="J576" s="97" t="n"/>
      <c r="K576" s="83" t="n"/>
      <c r="L576" s="83" t="n"/>
      <c r="M576" s="83" t="n"/>
      <c r="N576" s="83" t="n"/>
      <c r="O576" s="84" t="n"/>
      <c r="P576" s="83" t="n"/>
      <c r="Q576" s="83" t="n"/>
      <c r="R576" s="85" t="n"/>
      <c r="S576" s="83" t="n"/>
      <c r="T576" s="86" t="n"/>
      <c r="U576" s="92" t="n"/>
      <c r="V576" s="93" t="n"/>
      <c r="W576" s="93" t="n"/>
      <c r="X576" s="7" t="n"/>
      <c r="Y576" s="7" t="n"/>
      <c r="Z576" s="162" t="n"/>
      <c r="AA576" s="90" t="n"/>
      <c r="AB576" s="16" t="n"/>
      <c r="AC576" s="16" t="n"/>
      <c r="AD576" s="16" t="n"/>
    </row>
    <row r="577" ht="13.1" customHeight="1" s="151">
      <c r="A577" s="78" t="n"/>
      <c r="B577" s="16" t="n"/>
      <c r="C577" s="16" t="n"/>
      <c r="D577" s="16" t="n"/>
      <c r="E577" s="79" t="n"/>
      <c r="F577" s="94" t="n"/>
      <c r="G577" s="95" t="n"/>
      <c r="H577" s="96" t="n"/>
      <c r="I577" s="97" t="n"/>
      <c r="J577" s="97" t="n"/>
      <c r="K577" s="83" t="n"/>
      <c r="L577" s="83" t="n"/>
      <c r="M577" s="83" t="n"/>
      <c r="N577" s="83" t="n"/>
      <c r="O577" s="84" t="n"/>
      <c r="P577" s="83" t="n"/>
      <c r="Q577" s="83" t="n"/>
      <c r="R577" s="85" t="n"/>
      <c r="S577" s="83" t="n"/>
      <c r="T577" s="86" t="n"/>
      <c r="U577" s="92" t="n"/>
      <c r="V577" s="93" t="n"/>
      <c r="W577" s="93" t="n"/>
      <c r="X577" s="7" t="n"/>
      <c r="Y577" s="7" t="n"/>
      <c r="Z577" s="162" t="n"/>
      <c r="AA577" s="90" t="n"/>
      <c r="AB577" s="16" t="n"/>
      <c r="AC577" s="16" t="n"/>
      <c r="AD577" s="16" t="n"/>
    </row>
    <row r="578" ht="13.1" customHeight="1" s="151">
      <c r="A578" s="78" t="n"/>
      <c r="B578" s="16" t="n"/>
      <c r="C578" s="16" t="n"/>
      <c r="D578" s="16" t="n"/>
      <c r="E578" s="79" t="n"/>
      <c r="F578" s="94" t="n"/>
      <c r="G578" s="95" t="n"/>
      <c r="H578" s="96" t="n"/>
      <c r="I578" s="97" t="n"/>
      <c r="J578" s="97" t="n"/>
      <c r="K578" s="83" t="n"/>
      <c r="L578" s="83" t="n"/>
      <c r="M578" s="83" t="n"/>
      <c r="N578" s="83" t="n"/>
      <c r="O578" s="84" t="n"/>
      <c r="P578" s="83" t="n"/>
      <c r="Q578" s="83" t="n"/>
      <c r="R578" s="85" t="n"/>
      <c r="S578" s="83" t="n"/>
      <c r="T578" s="86" t="n"/>
      <c r="U578" s="92" t="n"/>
      <c r="V578" s="93" t="n"/>
      <c r="W578" s="93" t="n"/>
      <c r="X578" s="7" t="n"/>
      <c r="Y578" s="7" t="n"/>
      <c r="Z578" s="162" t="n"/>
      <c r="AA578" s="90" t="n"/>
      <c r="AB578" s="16" t="n"/>
      <c r="AC578" s="16" t="n"/>
      <c r="AD578" s="16" t="n"/>
    </row>
    <row r="579" ht="13.1" customHeight="1" s="151">
      <c r="A579" s="78" t="n"/>
      <c r="B579" s="16" t="n"/>
      <c r="C579" s="16" t="n"/>
      <c r="D579" s="16" t="n"/>
      <c r="E579" s="79" t="n"/>
      <c r="F579" s="94" t="n"/>
      <c r="G579" s="95" t="n"/>
      <c r="H579" s="96" t="n"/>
      <c r="I579" s="97" t="n"/>
      <c r="J579" s="97" t="n"/>
      <c r="K579" s="83" t="n"/>
      <c r="L579" s="83" t="n"/>
      <c r="M579" s="83" t="n"/>
      <c r="N579" s="83" t="n"/>
      <c r="O579" s="84" t="n"/>
      <c r="P579" s="83" t="n"/>
      <c r="Q579" s="83" t="n"/>
      <c r="R579" s="85" t="n"/>
      <c r="S579" s="83" t="n"/>
      <c r="T579" s="86" t="n"/>
      <c r="U579" s="92" t="n"/>
      <c r="V579" s="93" t="n"/>
      <c r="W579" s="93" t="n"/>
      <c r="X579" s="7" t="n"/>
      <c r="Y579" s="7" t="n"/>
      <c r="Z579" s="162" t="n"/>
      <c r="AA579" s="90" t="n"/>
      <c r="AB579" s="16" t="n"/>
      <c r="AC579" s="16" t="n"/>
      <c r="AD579" s="16" t="n"/>
    </row>
    <row r="580" ht="13.1" customHeight="1" s="151">
      <c r="A580" s="78" t="n"/>
      <c r="B580" s="16" t="n"/>
      <c r="C580" s="16" t="n"/>
      <c r="D580" s="16" t="n"/>
      <c r="E580" s="79" t="n"/>
      <c r="F580" s="94" t="n"/>
      <c r="G580" s="95" t="n"/>
      <c r="H580" s="96" t="n"/>
      <c r="I580" s="97" t="n"/>
      <c r="J580" s="97" t="n"/>
      <c r="K580" s="83" t="n"/>
      <c r="L580" s="83" t="n"/>
      <c r="M580" s="83" t="n"/>
      <c r="N580" s="83" t="n"/>
      <c r="O580" s="84" t="n"/>
      <c r="P580" s="83" t="n"/>
      <c r="Q580" s="83" t="n"/>
      <c r="R580" s="85" t="n"/>
      <c r="S580" s="83" t="n"/>
      <c r="T580" s="86" t="n"/>
      <c r="U580" s="92" t="n"/>
      <c r="V580" s="93" t="n"/>
      <c r="W580" s="93" t="n"/>
      <c r="X580" s="7" t="n"/>
      <c r="Y580" s="7" t="n"/>
      <c r="Z580" s="162" t="n"/>
      <c r="AA580" s="90" t="n"/>
      <c r="AB580" s="16" t="n"/>
      <c r="AC580" s="16" t="n"/>
      <c r="AD580" s="16" t="n"/>
    </row>
    <row r="581" ht="13.1" customHeight="1" s="151">
      <c r="A581" s="78" t="n"/>
      <c r="B581" s="16" t="n"/>
      <c r="C581" s="16" t="n"/>
      <c r="D581" s="16" t="n"/>
      <c r="E581" s="79" t="n"/>
      <c r="F581" s="94" t="n"/>
      <c r="G581" s="95" t="n"/>
      <c r="H581" s="96" t="n"/>
      <c r="I581" s="97" t="n"/>
      <c r="J581" s="97" t="n"/>
      <c r="K581" s="83" t="n"/>
      <c r="L581" s="83" t="n"/>
      <c r="M581" s="83" t="n"/>
      <c r="N581" s="83" t="n"/>
      <c r="O581" s="84" t="n"/>
      <c r="P581" s="83" t="n"/>
      <c r="Q581" s="83" t="n"/>
      <c r="R581" s="85" t="n"/>
      <c r="S581" s="83" t="n"/>
      <c r="T581" s="86" t="n"/>
      <c r="U581" s="92" t="n"/>
      <c r="V581" s="93" t="n"/>
      <c r="W581" s="93" t="n"/>
      <c r="X581" s="7" t="n"/>
      <c r="Y581" s="7" t="n"/>
      <c r="Z581" s="162" t="n"/>
      <c r="AA581" s="90" t="n"/>
      <c r="AB581" s="16" t="n"/>
      <c r="AC581" s="16" t="n"/>
      <c r="AD581" s="16" t="n"/>
    </row>
    <row r="582" ht="13.1" customHeight="1" s="151">
      <c r="A582" s="78" t="n"/>
      <c r="B582" s="16" t="n"/>
      <c r="C582" s="16" t="n"/>
      <c r="D582" s="16" t="n"/>
      <c r="E582" s="79" t="n"/>
      <c r="F582" s="94" t="n"/>
      <c r="G582" s="95" t="n"/>
      <c r="H582" s="96" t="n"/>
      <c r="I582" s="97" t="n"/>
      <c r="J582" s="97" t="n"/>
      <c r="K582" s="83" t="n"/>
      <c r="L582" s="83" t="n"/>
      <c r="M582" s="83" t="n"/>
      <c r="N582" s="83" t="n"/>
      <c r="O582" s="84" t="n"/>
      <c r="P582" s="83" t="n"/>
      <c r="Q582" s="83" t="n"/>
      <c r="R582" s="85" t="n"/>
      <c r="S582" s="83" t="n"/>
      <c r="T582" s="86" t="n"/>
      <c r="U582" s="92" t="n"/>
      <c r="V582" s="93" t="n"/>
      <c r="W582" s="93" t="n"/>
      <c r="X582" s="7" t="n"/>
      <c r="Y582" s="7" t="n"/>
      <c r="Z582" s="162" t="n"/>
      <c r="AA582" s="90" t="n"/>
      <c r="AB582" s="16" t="n"/>
      <c r="AC582" s="16" t="n"/>
      <c r="AD582" s="16" t="n"/>
    </row>
    <row r="583" ht="13.1" customHeight="1" s="151">
      <c r="A583" s="78" t="n"/>
      <c r="B583" s="16" t="n"/>
      <c r="C583" s="16" t="n"/>
      <c r="D583" s="16" t="n"/>
      <c r="E583" s="79" t="n"/>
      <c r="F583" s="94" t="n"/>
      <c r="G583" s="95" t="n"/>
      <c r="H583" s="96" t="n"/>
      <c r="I583" s="97" t="n"/>
      <c r="J583" s="97" t="n"/>
      <c r="K583" s="83" t="n"/>
      <c r="L583" s="83" t="n"/>
      <c r="M583" s="83" t="n"/>
      <c r="N583" s="83" t="n"/>
      <c r="O583" s="84" t="n"/>
      <c r="P583" s="83" t="n"/>
      <c r="Q583" s="83" t="n"/>
      <c r="R583" s="85" t="n"/>
      <c r="S583" s="83" t="n"/>
      <c r="T583" s="86" t="n"/>
      <c r="U583" s="92" t="n"/>
      <c r="V583" s="93" t="n"/>
      <c r="W583" s="93" t="n"/>
      <c r="X583" s="7" t="n"/>
      <c r="Y583" s="7" t="n"/>
      <c r="Z583" s="162" t="n"/>
      <c r="AA583" s="90" t="n"/>
      <c r="AB583" s="16" t="n"/>
      <c r="AC583" s="16" t="n"/>
      <c r="AD583" s="16" t="n"/>
    </row>
    <row r="584" ht="13.1" customHeight="1" s="151">
      <c r="A584" s="78" t="n"/>
      <c r="B584" s="16" t="n"/>
      <c r="C584" s="16" t="n"/>
      <c r="D584" s="16" t="n"/>
      <c r="E584" s="79" t="n"/>
      <c r="F584" s="94" t="n"/>
      <c r="G584" s="95" t="n"/>
      <c r="H584" s="96" t="n"/>
      <c r="I584" s="97" t="n"/>
      <c r="J584" s="97" t="n"/>
      <c r="K584" s="83" t="n"/>
      <c r="L584" s="83" t="n"/>
      <c r="M584" s="83" t="n"/>
      <c r="N584" s="83" t="n"/>
      <c r="O584" s="84" t="n"/>
      <c r="P584" s="83" t="n"/>
      <c r="Q584" s="83" t="n"/>
      <c r="R584" s="85" t="n"/>
      <c r="S584" s="83" t="n"/>
      <c r="T584" s="86" t="n"/>
      <c r="U584" s="92" t="n"/>
      <c r="V584" s="93" t="n"/>
      <c r="W584" s="93" t="n"/>
      <c r="X584" s="7" t="n"/>
      <c r="Y584" s="7" t="n"/>
      <c r="Z584" s="162" t="n"/>
      <c r="AA584" s="90" t="n"/>
      <c r="AB584" s="16" t="n"/>
      <c r="AC584" s="16" t="n"/>
      <c r="AD584" s="16" t="n"/>
    </row>
    <row r="585" ht="13.1" customHeight="1" s="151">
      <c r="A585" s="78" t="n"/>
      <c r="B585" s="16" t="n"/>
      <c r="C585" s="16" t="n"/>
      <c r="D585" s="16" t="n"/>
      <c r="E585" s="79" t="n"/>
      <c r="F585" s="94" t="n"/>
      <c r="G585" s="95" t="n"/>
      <c r="H585" s="96" t="n"/>
      <c r="I585" s="97" t="n"/>
      <c r="J585" s="97" t="n"/>
      <c r="K585" s="83" t="n"/>
      <c r="L585" s="83" t="n"/>
      <c r="M585" s="83" t="n"/>
      <c r="N585" s="83" t="n"/>
      <c r="O585" s="84" t="n"/>
      <c r="P585" s="83" t="n"/>
      <c r="Q585" s="83" t="n"/>
      <c r="R585" s="85" t="n"/>
      <c r="S585" s="83" t="n"/>
      <c r="T585" s="86" t="n"/>
      <c r="U585" s="92" t="n"/>
      <c r="V585" s="93" t="n"/>
      <c r="W585" s="93" t="n"/>
      <c r="X585" s="7" t="n"/>
      <c r="Y585" s="7" t="n"/>
      <c r="Z585" s="162" t="n"/>
      <c r="AA585" s="90" t="n"/>
      <c r="AB585" s="16" t="n"/>
      <c r="AC585" s="16" t="n"/>
      <c r="AD585" s="16" t="n"/>
    </row>
    <row r="586" ht="13.1" customHeight="1" s="151">
      <c r="A586" s="78" t="n"/>
      <c r="B586" s="16" t="n"/>
      <c r="C586" s="16" t="n"/>
      <c r="D586" s="16" t="n"/>
      <c r="E586" s="79" t="n"/>
      <c r="F586" s="94" t="n"/>
      <c r="G586" s="95" t="n"/>
      <c r="H586" s="96" t="n"/>
      <c r="I586" s="97" t="n"/>
      <c r="J586" s="97" t="n"/>
      <c r="K586" s="83" t="n"/>
      <c r="L586" s="83" t="n"/>
      <c r="M586" s="83" t="n"/>
      <c r="N586" s="83" t="n"/>
      <c r="O586" s="84" t="n"/>
      <c r="P586" s="83" t="n"/>
      <c r="Q586" s="83" t="n"/>
      <c r="R586" s="85" t="n"/>
      <c r="S586" s="83" t="n"/>
      <c r="T586" s="86" t="n"/>
      <c r="U586" s="92" t="n"/>
      <c r="V586" s="93" t="n"/>
      <c r="W586" s="93" t="n"/>
      <c r="X586" s="7" t="n"/>
      <c r="Y586" s="7" t="n"/>
      <c r="Z586" s="162" t="n"/>
      <c r="AA586" s="90" t="n"/>
      <c r="AB586" s="16" t="n"/>
      <c r="AC586" s="16" t="n"/>
      <c r="AD586" s="16" t="n"/>
    </row>
    <row r="587" ht="13.1" customHeight="1" s="151">
      <c r="A587" s="78" t="n"/>
      <c r="B587" s="16" t="n"/>
      <c r="C587" s="16" t="n"/>
      <c r="D587" s="16" t="n"/>
      <c r="E587" s="79" t="n"/>
      <c r="F587" s="94" t="n"/>
      <c r="G587" s="95" t="n"/>
      <c r="H587" s="96" t="n"/>
      <c r="I587" s="97" t="n"/>
      <c r="J587" s="97" t="n"/>
      <c r="K587" s="83" t="n"/>
      <c r="L587" s="83" t="n"/>
      <c r="M587" s="83" t="n"/>
      <c r="N587" s="83" t="n"/>
      <c r="O587" s="84" t="n"/>
      <c r="P587" s="83" t="n"/>
      <c r="Q587" s="83" t="n"/>
      <c r="R587" s="85" t="n"/>
      <c r="S587" s="83" t="n"/>
      <c r="T587" s="86" t="n"/>
      <c r="U587" s="92" t="n"/>
      <c r="V587" s="93" t="n"/>
      <c r="W587" s="93" t="n"/>
      <c r="X587" s="7" t="n"/>
      <c r="Y587" s="7" t="n"/>
      <c r="Z587" s="162" t="n"/>
      <c r="AA587" s="90" t="n"/>
      <c r="AB587" s="16" t="n"/>
      <c r="AC587" s="16" t="n"/>
      <c r="AD587" s="16" t="n"/>
    </row>
    <row r="588" ht="13.1" customHeight="1" s="151">
      <c r="A588" s="78" t="n"/>
      <c r="B588" s="16" t="n"/>
      <c r="C588" s="16" t="n"/>
      <c r="D588" s="16" t="n"/>
      <c r="E588" s="79" t="n"/>
      <c r="F588" s="94" t="n"/>
      <c r="G588" s="95" t="n"/>
      <c r="H588" s="96" t="n"/>
      <c r="I588" s="97" t="n"/>
      <c r="J588" s="97" t="n"/>
      <c r="K588" s="83" t="n"/>
      <c r="L588" s="83" t="n"/>
      <c r="M588" s="83" t="n"/>
      <c r="N588" s="83" t="n"/>
      <c r="O588" s="84" t="n"/>
      <c r="P588" s="83" t="n"/>
      <c r="Q588" s="83" t="n"/>
      <c r="R588" s="85" t="n"/>
      <c r="S588" s="83" t="n"/>
      <c r="T588" s="86" t="n"/>
      <c r="U588" s="92" t="n"/>
      <c r="V588" s="93" t="n"/>
      <c r="W588" s="93" t="n"/>
      <c r="X588" s="7" t="n"/>
      <c r="Y588" s="7" t="n"/>
      <c r="Z588" s="162" t="n"/>
      <c r="AA588" s="90" t="n"/>
      <c r="AB588" s="16" t="n"/>
      <c r="AC588" s="16" t="n"/>
      <c r="AD588" s="16" t="n"/>
    </row>
    <row r="589" ht="13.1" customHeight="1" s="151">
      <c r="A589" s="78" t="n"/>
      <c r="B589" s="16" t="n"/>
      <c r="C589" s="16" t="n"/>
      <c r="D589" s="16" t="n"/>
      <c r="E589" s="79" t="n"/>
      <c r="F589" s="94" t="n"/>
      <c r="G589" s="95" t="n"/>
      <c r="H589" s="96" t="n"/>
      <c r="I589" s="97" t="n"/>
      <c r="J589" s="97" t="n"/>
      <c r="K589" s="83" t="n"/>
      <c r="L589" s="83" t="n"/>
      <c r="M589" s="83" t="n"/>
      <c r="N589" s="83" t="n"/>
      <c r="O589" s="84" t="n"/>
      <c r="P589" s="83" t="n"/>
      <c r="Q589" s="83" t="n"/>
      <c r="R589" s="85" t="n"/>
      <c r="S589" s="83" t="n"/>
      <c r="T589" s="86" t="n"/>
      <c r="U589" s="92" t="n"/>
      <c r="V589" s="93" t="n"/>
      <c r="W589" s="93" t="n"/>
      <c r="X589" s="7" t="n"/>
      <c r="Y589" s="7" t="n"/>
      <c r="Z589" s="162" t="n"/>
      <c r="AA589" s="90" t="n"/>
      <c r="AB589" s="16" t="n"/>
      <c r="AC589" s="16" t="n"/>
      <c r="AD589" s="16" t="n"/>
    </row>
    <row r="590" ht="13.1" customHeight="1" s="151">
      <c r="A590" s="78" t="n"/>
      <c r="B590" s="16" t="n"/>
      <c r="C590" s="16" t="n"/>
      <c r="D590" s="16" t="n"/>
      <c r="E590" s="79" t="n"/>
      <c r="F590" s="94" t="n"/>
      <c r="G590" s="95" t="n"/>
      <c r="H590" s="96" t="n"/>
      <c r="I590" s="97" t="n"/>
      <c r="J590" s="97" t="n"/>
      <c r="K590" s="83" t="n"/>
      <c r="L590" s="83" t="n"/>
      <c r="M590" s="83" t="n"/>
      <c r="N590" s="83" t="n"/>
      <c r="O590" s="84" t="n"/>
      <c r="P590" s="83" t="n"/>
      <c r="Q590" s="83" t="n"/>
      <c r="R590" s="85" t="n"/>
      <c r="S590" s="83" t="n"/>
      <c r="T590" s="86" t="n"/>
      <c r="U590" s="92" t="n"/>
      <c r="V590" s="93" t="n"/>
      <c r="W590" s="93" t="n"/>
      <c r="X590" s="7" t="n"/>
      <c r="Y590" s="7" t="n"/>
      <c r="Z590" s="162" t="n"/>
      <c r="AA590" s="90" t="n"/>
      <c r="AB590" s="16" t="n"/>
      <c r="AC590" s="16" t="n"/>
      <c r="AD590" s="16" t="n"/>
    </row>
    <row r="591" ht="13.1" customHeight="1" s="151">
      <c r="A591" s="78" t="n"/>
      <c r="B591" s="16" t="n"/>
      <c r="C591" s="16" t="n"/>
      <c r="D591" s="16" t="n"/>
      <c r="E591" s="79" t="n"/>
      <c r="F591" s="94" t="n"/>
      <c r="G591" s="95" t="n"/>
      <c r="H591" s="96" t="n"/>
      <c r="I591" s="97" t="n"/>
      <c r="J591" s="97" t="n"/>
      <c r="K591" s="83" t="n"/>
      <c r="L591" s="83" t="n"/>
      <c r="M591" s="83" t="n"/>
      <c r="N591" s="83" t="n"/>
      <c r="O591" s="84" t="n"/>
      <c r="P591" s="83" t="n"/>
      <c r="Q591" s="83" t="n"/>
      <c r="R591" s="85" t="n"/>
      <c r="S591" s="83" t="n"/>
      <c r="T591" s="86" t="n"/>
      <c r="U591" s="92" t="n"/>
      <c r="V591" s="93" t="n"/>
      <c r="W591" s="93" t="n"/>
      <c r="X591" s="7" t="n"/>
      <c r="Y591" s="7" t="n"/>
      <c r="Z591" s="162" t="n"/>
      <c r="AA591" s="90" t="n"/>
      <c r="AB591" s="16" t="n"/>
      <c r="AC591" s="16" t="n"/>
      <c r="AD591" s="16" t="n"/>
    </row>
    <row r="592" ht="13.1" customHeight="1" s="151">
      <c r="A592" s="78" t="n"/>
      <c r="B592" s="16" t="n"/>
      <c r="C592" s="16" t="n"/>
      <c r="D592" s="16" t="n"/>
      <c r="E592" s="79" t="n"/>
      <c r="F592" s="94" t="n"/>
      <c r="G592" s="95" t="n"/>
      <c r="H592" s="96" t="n"/>
      <c r="I592" s="97" t="n"/>
      <c r="J592" s="97" t="n"/>
      <c r="K592" s="83" t="n"/>
      <c r="L592" s="83" t="n"/>
      <c r="M592" s="83" t="n"/>
      <c r="N592" s="83" t="n"/>
      <c r="O592" s="84" t="n"/>
      <c r="P592" s="83" t="n"/>
      <c r="Q592" s="83" t="n"/>
      <c r="R592" s="85" t="n"/>
      <c r="S592" s="83" t="n"/>
      <c r="T592" s="86" t="n"/>
      <c r="U592" s="92" t="n"/>
      <c r="V592" s="93" t="n"/>
      <c r="W592" s="93" t="n"/>
      <c r="X592" s="7" t="n"/>
      <c r="Y592" s="7" t="n"/>
      <c r="Z592" s="162" t="n"/>
      <c r="AA592" s="90" t="n"/>
      <c r="AB592" s="16" t="n"/>
      <c r="AC592" s="16" t="n"/>
      <c r="AD592" s="16" t="n"/>
    </row>
    <row r="593" ht="13.1" customHeight="1" s="151">
      <c r="A593" s="78" t="n"/>
      <c r="B593" s="16" t="n"/>
      <c r="C593" s="16" t="n"/>
      <c r="D593" s="16" t="n"/>
      <c r="E593" s="79" t="n"/>
      <c r="F593" s="94" t="n"/>
      <c r="G593" s="95" t="n"/>
      <c r="H593" s="96" t="n"/>
      <c r="I593" s="97" t="n"/>
      <c r="J593" s="97" t="n"/>
      <c r="K593" s="83" t="n"/>
      <c r="L593" s="83" t="n"/>
      <c r="M593" s="83" t="n"/>
      <c r="N593" s="83" t="n"/>
      <c r="O593" s="84" t="n"/>
      <c r="P593" s="83" t="n"/>
      <c r="Q593" s="83" t="n"/>
      <c r="R593" s="85" t="n"/>
      <c r="S593" s="83" t="n"/>
      <c r="T593" s="86" t="n"/>
      <c r="U593" s="92" t="n"/>
      <c r="V593" s="93" t="n"/>
      <c r="W593" s="93" t="n"/>
      <c r="X593" s="7" t="n"/>
      <c r="Y593" s="7" t="n"/>
      <c r="Z593" s="162" t="n"/>
      <c r="AA593" s="90" t="n"/>
      <c r="AB593" s="16" t="n"/>
      <c r="AC593" s="16" t="n"/>
      <c r="AD593" s="16" t="n"/>
    </row>
    <row r="594" ht="13.1" customHeight="1" s="151">
      <c r="A594" s="78" t="n"/>
      <c r="B594" s="16" t="n"/>
      <c r="C594" s="16" t="n"/>
      <c r="D594" s="16" t="n"/>
      <c r="E594" s="79" t="n"/>
      <c r="F594" s="94" t="n"/>
      <c r="G594" s="95" t="n"/>
      <c r="H594" s="96" t="n"/>
      <c r="I594" s="97" t="n"/>
      <c r="J594" s="97" t="n"/>
      <c r="K594" s="83" t="n"/>
      <c r="L594" s="83" t="n"/>
      <c r="M594" s="83" t="n"/>
      <c r="N594" s="83" t="n"/>
      <c r="O594" s="84" t="n"/>
      <c r="P594" s="83" t="n"/>
      <c r="Q594" s="83" t="n"/>
      <c r="R594" s="85" t="n"/>
      <c r="S594" s="83" t="n"/>
      <c r="T594" s="86" t="n"/>
      <c r="U594" s="92" t="n"/>
      <c r="V594" s="93" t="n"/>
      <c r="W594" s="93" t="n"/>
      <c r="X594" s="7" t="n"/>
      <c r="Y594" s="7" t="n"/>
      <c r="Z594" s="162" t="n"/>
      <c r="AA594" s="90" t="n"/>
      <c r="AB594" s="16" t="n"/>
      <c r="AC594" s="16" t="n"/>
      <c r="AD594" s="16" t="n"/>
    </row>
    <row r="595" ht="13.1" customHeight="1" s="151">
      <c r="A595" s="78" t="n"/>
      <c r="B595" s="16" t="n"/>
      <c r="C595" s="16" t="n"/>
      <c r="D595" s="16" t="n"/>
      <c r="E595" s="79" t="n"/>
      <c r="F595" s="94" t="n"/>
      <c r="G595" s="95" t="n"/>
      <c r="H595" s="96" t="n"/>
      <c r="I595" s="97" t="n"/>
      <c r="J595" s="97" t="n"/>
      <c r="K595" s="83" t="n"/>
      <c r="L595" s="83" t="n"/>
      <c r="M595" s="83" t="n"/>
      <c r="N595" s="83" t="n"/>
      <c r="O595" s="84" t="n"/>
      <c r="P595" s="83" t="n"/>
      <c r="Q595" s="83" t="n"/>
      <c r="R595" s="85" t="n"/>
      <c r="S595" s="83" t="n"/>
      <c r="T595" s="86" t="n"/>
      <c r="U595" s="92" t="n"/>
      <c r="V595" s="93" t="n"/>
      <c r="W595" s="93" t="n"/>
      <c r="X595" s="7" t="n"/>
      <c r="Y595" s="7" t="n"/>
      <c r="Z595" s="162" t="n"/>
      <c r="AA595" s="90" t="n"/>
      <c r="AB595" s="16" t="n"/>
      <c r="AC595" s="16" t="n"/>
      <c r="AD595" s="16" t="n"/>
    </row>
    <row r="596" ht="13.1" customHeight="1" s="151">
      <c r="A596" s="78" t="n"/>
      <c r="B596" s="16" t="n"/>
      <c r="C596" s="16" t="n"/>
      <c r="D596" s="16" t="n"/>
      <c r="E596" s="79" t="n"/>
      <c r="F596" s="94" t="n"/>
      <c r="G596" s="95" t="n"/>
      <c r="H596" s="96" t="n"/>
      <c r="I596" s="97" t="n"/>
      <c r="J596" s="97" t="n"/>
      <c r="K596" s="83" t="n"/>
      <c r="L596" s="83" t="n"/>
      <c r="M596" s="83" t="n"/>
      <c r="N596" s="83" t="n"/>
      <c r="O596" s="84" t="n"/>
      <c r="P596" s="83" t="n"/>
      <c r="Q596" s="83" t="n"/>
      <c r="R596" s="85" t="n"/>
      <c r="S596" s="83" t="n"/>
      <c r="T596" s="86" t="n"/>
      <c r="U596" s="92" t="n"/>
      <c r="V596" s="93" t="n"/>
      <c r="W596" s="93" t="n"/>
      <c r="X596" s="7" t="n"/>
      <c r="Y596" s="7" t="n"/>
      <c r="Z596" s="162" t="n"/>
      <c r="AA596" s="90" t="n"/>
      <c r="AB596" s="16" t="n"/>
      <c r="AC596" s="16" t="n"/>
      <c r="AD596" s="16" t="n"/>
    </row>
    <row r="597" ht="13.1" customHeight="1" s="151">
      <c r="A597" s="78" t="n"/>
      <c r="B597" s="16" t="n"/>
      <c r="C597" s="16" t="n"/>
      <c r="D597" s="16" t="n"/>
      <c r="E597" s="79" t="n"/>
      <c r="F597" s="94" t="n"/>
      <c r="G597" s="95" t="n"/>
      <c r="H597" s="96" t="n"/>
      <c r="I597" s="97" t="n"/>
      <c r="J597" s="97" t="n"/>
      <c r="K597" s="83" t="n"/>
      <c r="L597" s="83" t="n"/>
      <c r="M597" s="83" t="n"/>
      <c r="N597" s="83" t="n"/>
      <c r="O597" s="84" t="n"/>
      <c r="P597" s="83" t="n"/>
      <c r="Q597" s="83" t="n"/>
      <c r="R597" s="85" t="n"/>
      <c r="S597" s="83" t="n"/>
      <c r="T597" s="86" t="n"/>
      <c r="U597" s="92" t="n"/>
      <c r="V597" s="93" t="n"/>
      <c r="W597" s="93" t="n"/>
      <c r="X597" s="7" t="n"/>
      <c r="Y597" s="7" t="n"/>
      <c r="Z597" s="162" t="n"/>
      <c r="AA597" s="90" t="n"/>
      <c r="AB597" s="16" t="n"/>
      <c r="AC597" s="16" t="n"/>
      <c r="AD597" s="16" t="n"/>
    </row>
    <row r="598" ht="13.1" customHeight="1" s="151">
      <c r="A598" s="78" t="n"/>
      <c r="B598" s="16" t="n"/>
      <c r="C598" s="16" t="n"/>
      <c r="D598" s="16" t="n"/>
      <c r="E598" s="79" t="n"/>
      <c r="F598" s="94" t="n"/>
      <c r="G598" s="95" t="n"/>
      <c r="H598" s="96" t="n"/>
      <c r="I598" s="97" t="n"/>
      <c r="J598" s="97" t="n"/>
      <c r="K598" s="83" t="n"/>
      <c r="L598" s="83" t="n"/>
      <c r="M598" s="83" t="n"/>
      <c r="N598" s="83" t="n"/>
      <c r="O598" s="84" t="n"/>
      <c r="P598" s="83" t="n"/>
      <c r="Q598" s="83" t="n"/>
      <c r="R598" s="85" t="n"/>
      <c r="S598" s="83" t="n"/>
      <c r="T598" s="86" t="n"/>
      <c r="U598" s="92" t="n"/>
      <c r="V598" s="93" t="n"/>
      <c r="W598" s="93" t="n"/>
      <c r="X598" s="7" t="n"/>
      <c r="Y598" s="7" t="n"/>
      <c r="Z598" s="162" t="n"/>
      <c r="AA598" s="90" t="n"/>
      <c r="AB598" s="16" t="n"/>
      <c r="AC598" s="16" t="n"/>
      <c r="AD598" s="16" t="n"/>
    </row>
    <row r="599" ht="13.1" customHeight="1" s="151">
      <c r="A599" s="78" t="n"/>
      <c r="B599" s="16" t="n"/>
      <c r="C599" s="16" t="n"/>
      <c r="D599" s="16" t="n"/>
      <c r="E599" s="79" t="n"/>
      <c r="F599" s="94" t="n"/>
      <c r="G599" s="95" t="n"/>
      <c r="H599" s="96" t="n"/>
      <c r="I599" s="97" t="n"/>
      <c r="J599" s="97" t="n"/>
      <c r="K599" s="83" t="n"/>
      <c r="L599" s="83" t="n"/>
      <c r="M599" s="83" t="n"/>
      <c r="N599" s="83" t="n"/>
      <c r="O599" s="84" t="n"/>
      <c r="P599" s="83" t="n"/>
      <c r="Q599" s="83" t="n"/>
      <c r="R599" s="85" t="n"/>
      <c r="S599" s="83" t="n"/>
      <c r="T599" s="86" t="n"/>
      <c r="U599" s="92" t="n"/>
      <c r="V599" s="93" t="n"/>
      <c r="W599" s="93" t="n"/>
      <c r="X599" s="7" t="n"/>
      <c r="Y599" s="7" t="n"/>
      <c r="Z599" s="162" t="n"/>
      <c r="AA599" s="90" t="n"/>
      <c r="AB599" s="16" t="n"/>
      <c r="AC599" s="16" t="n"/>
      <c r="AD599" s="16" t="n"/>
    </row>
    <row r="600" ht="13.1" customHeight="1" s="151">
      <c r="A600" s="78" t="n"/>
      <c r="B600" s="16" t="n"/>
      <c r="C600" s="16" t="n"/>
      <c r="D600" s="16" t="n"/>
      <c r="E600" s="79" t="n"/>
      <c r="F600" s="94" t="n"/>
      <c r="G600" s="95" t="n"/>
      <c r="H600" s="96" t="n"/>
      <c r="I600" s="97" t="n"/>
      <c r="J600" s="97" t="n"/>
      <c r="K600" s="83" t="n"/>
      <c r="L600" s="83" t="n"/>
      <c r="M600" s="83" t="n"/>
      <c r="N600" s="83" t="n"/>
      <c r="O600" s="84" t="n"/>
      <c r="P600" s="83" t="n"/>
      <c r="Q600" s="83" t="n"/>
      <c r="R600" s="85" t="n"/>
      <c r="S600" s="83" t="n"/>
      <c r="T600" s="86" t="n"/>
      <c r="U600" s="92" t="n"/>
      <c r="V600" s="93" t="n"/>
      <c r="W600" s="93" t="n"/>
      <c r="X600" s="7" t="n"/>
      <c r="Y600" s="7" t="n"/>
      <c r="Z600" s="162" t="n"/>
      <c r="AA600" s="90" t="n"/>
      <c r="AB600" s="16" t="n"/>
      <c r="AC600" s="16" t="n"/>
      <c r="AD600" s="16" t="n"/>
    </row>
    <row r="601" ht="13.1" customHeight="1" s="151">
      <c r="A601" s="78" t="n"/>
      <c r="B601" s="16" t="n"/>
      <c r="C601" s="16" t="n"/>
      <c r="D601" s="16" t="n"/>
      <c r="E601" s="79" t="n"/>
      <c r="F601" s="94" t="n"/>
      <c r="G601" s="95" t="n"/>
      <c r="H601" s="96" t="n"/>
      <c r="I601" s="97" t="n"/>
      <c r="J601" s="97" t="n"/>
      <c r="K601" s="83" t="n"/>
      <c r="L601" s="83" t="n"/>
      <c r="M601" s="83" t="n"/>
      <c r="N601" s="83" t="n"/>
      <c r="O601" s="84" t="n"/>
      <c r="P601" s="83" t="n"/>
      <c r="Q601" s="83" t="n"/>
      <c r="R601" s="85" t="n"/>
      <c r="S601" s="83" t="n"/>
      <c r="T601" s="86" t="n"/>
      <c r="U601" s="92" t="n"/>
      <c r="V601" s="93" t="n"/>
      <c r="W601" s="93" t="n"/>
      <c r="X601" s="7" t="n"/>
      <c r="Y601" s="7" t="n"/>
      <c r="Z601" s="162" t="n"/>
      <c r="AA601" s="90" t="n"/>
      <c r="AB601" s="16" t="n"/>
      <c r="AC601" s="16" t="n"/>
      <c r="AD601" s="16" t="n"/>
    </row>
    <row r="602" ht="13.1" customHeight="1" s="151">
      <c r="A602" s="78" t="n"/>
      <c r="B602" s="16" t="n"/>
      <c r="C602" s="16" t="n"/>
      <c r="D602" s="16" t="n"/>
      <c r="E602" s="79" t="n"/>
      <c r="F602" s="94" t="n"/>
      <c r="G602" s="95" t="n"/>
      <c r="H602" s="96" t="n"/>
      <c r="I602" s="97" t="n"/>
      <c r="J602" s="97" t="n"/>
      <c r="K602" s="83" t="n"/>
      <c r="L602" s="83" t="n"/>
      <c r="M602" s="83" t="n"/>
      <c r="N602" s="83" t="n"/>
      <c r="O602" s="84" t="n"/>
      <c r="P602" s="83" t="n"/>
      <c r="Q602" s="83" t="n"/>
      <c r="R602" s="85" t="n"/>
      <c r="S602" s="83" t="n"/>
      <c r="T602" s="86" t="n"/>
      <c r="U602" s="92" t="n"/>
      <c r="V602" s="93" t="n"/>
      <c r="W602" s="93" t="n"/>
      <c r="X602" s="7" t="n"/>
      <c r="Y602" s="7" t="n"/>
      <c r="Z602" s="162" t="n"/>
      <c r="AA602" s="90" t="n"/>
      <c r="AB602" s="16" t="n"/>
      <c r="AC602" s="16" t="n"/>
      <c r="AD602" s="16" t="n"/>
    </row>
    <row r="603" ht="13.1" customHeight="1" s="151">
      <c r="A603" s="78" t="n"/>
      <c r="B603" s="16" t="n"/>
      <c r="C603" s="16" t="n"/>
      <c r="D603" s="16" t="n"/>
      <c r="E603" s="79" t="n"/>
      <c r="F603" s="94" t="n"/>
      <c r="G603" s="95" t="n"/>
      <c r="H603" s="96" t="n"/>
      <c r="I603" s="97" t="n"/>
      <c r="J603" s="97" t="n"/>
      <c r="K603" s="83" t="n"/>
      <c r="L603" s="83" t="n"/>
      <c r="M603" s="83" t="n"/>
      <c r="N603" s="83" t="n"/>
      <c r="O603" s="84" t="n"/>
      <c r="P603" s="83" t="n"/>
      <c r="Q603" s="83" t="n"/>
      <c r="R603" s="85" t="n"/>
      <c r="S603" s="83" t="n"/>
      <c r="T603" s="86" t="n"/>
      <c r="U603" s="92" t="n"/>
      <c r="V603" s="93" t="n"/>
      <c r="W603" s="93" t="n"/>
      <c r="X603" s="7" t="n"/>
      <c r="Y603" s="7" t="n"/>
      <c r="Z603" s="162" t="n"/>
      <c r="AA603" s="90" t="n"/>
      <c r="AB603" s="16" t="n"/>
      <c r="AC603" s="16" t="n"/>
      <c r="AD603" s="16" t="n"/>
    </row>
    <row r="604" ht="13.1" customHeight="1" s="151">
      <c r="A604" s="78" t="n"/>
      <c r="B604" s="16" t="n"/>
      <c r="C604" s="16" t="n"/>
      <c r="D604" s="16" t="n"/>
      <c r="E604" s="79" t="n"/>
      <c r="F604" s="94" t="n"/>
      <c r="G604" s="95" t="n"/>
      <c r="H604" s="96" t="n"/>
      <c r="I604" s="97" t="n"/>
      <c r="J604" s="97" t="n"/>
      <c r="K604" s="83" t="n"/>
      <c r="L604" s="83" t="n"/>
      <c r="M604" s="83" t="n"/>
      <c r="N604" s="83" t="n"/>
      <c r="O604" s="84" t="n"/>
      <c r="P604" s="83" t="n"/>
      <c r="Q604" s="83" t="n"/>
      <c r="R604" s="85" t="n"/>
      <c r="S604" s="83" t="n"/>
      <c r="T604" s="86" t="n"/>
      <c r="U604" s="92" t="n"/>
      <c r="V604" s="93" t="n"/>
      <c r="W604" s="93" t="n"/>
      <c r="X604" s="7" t="n"/>
      <c r="Y604" s="7" t="n"/>
      <c r="Z604" s="162" t="n"/>
      <c r="AA604" s="90" t="n"/>
      <c r="AB604" s="16" t="n"/>
      <c r="AC604" s="16" t="n"/>
      <c r="AD604" s="16" t="n"/>
    </row>
    <row r="605" ht="13.1" customHeight="1" s="151">
      <c r="A605" s="78" t="n"/>
      <c r="B605" s="16" t="n"/>
      <c r="C605" s="16" t="n"/>
      <c r="D605" s="16" t="n"/>
      <c r="E605" s="79" t="n"/>
      <c r="F605" s="94" t="n"/>
      <c r="G605" s="95" t="n"/>
      <c r="H605" s="96" t="n"/>
      <c r="I605" s="97" t="n"/>
      <c r="J605" s="97" t="n"/>
      <c r="K605" s="83" t="n"/>
      <c r="L605" s="83" t="n"/>
      <c r="M605" s="83" t="n"/>
      <c r="N605" s="83" t="n"/>
      <c r="O605" s="84" t="n"/>
      <c r="P605" s="83" t="n"/>
      <c r="Q605" s="83" t="n"/>
      <c r="R605" s="85" t="n"/>
      <c r="S605" s="83" t="n"/>
      <c r="T605" s="86" t="n"/>
      <c r="U605" s="92" t="n"/>
      <c r="V605" s="93" t="n"/>
      <c r="W605" s="93" t="n"/>
      <c r="X605" s="7" t="n"/>
      <c r="Y605" s="7" t="n"/>
      <c r="Z605" s="162" t="n"/>
      <c r="AA605" s="90" t="n"/>
      <c r="AB605" s="16" t="n"/>
      <c r="AC605" s="16" t="n"/>
      <c r="AD605" s="16" t="n"/>
    </row>
    <row r="606" ht="13.1" customHeight="1" s="151">
      <c r="A606" s="78" t="n"/>
      <c r="B606" s="16" t="n"/>
      <c r="C606" s="16" t="n"/>
      <c r="D606" s="16" t="n"/>
      <c r="E606" s="79" t="n"/>
      <c r="F606" s="94" t="n"/>
      <c r="G606" s="95" t="n"/>
      <c r="H606" s="96" t="n"/>
      <c r="I606" s="97" t="n"/>
      <c r="J606" s="97" t="n"/>
      <c r="K606" s="83" t="n"/>
      <c r="L606" s="83" t="n"/>
      <c r="M606" s="83" t="n"/>
      <c r="N606" s="83" t="n"/>
      <c r="O606" s="84" t="n"/>
      <c r="P606" s="83" t="n"/>
      <c r="Q606" s="83" t="n"/>
      <c r="R606" s="85" t="n"/>
      <c r="S606" s="83" t="n"/>
      <c r="T606" s="86" t="n"/>
      <c r="U606" s="92" t="n"/>
      <c r="V606" s="93" t="n"/>
      <c r="W606" s="93" t="n"/>
      <c r="X606" s="7" t="n"/>
      <c r="Y606" s="7" t="n"/>
      <c r="Z606" s="162" t="n"/>
      <c r="AA606" s="90" t="n"/>
      <c r="AB606" s="16" t="n"/>
      <c r="AC606" s="16" t="n"/>
      <c r="AD606" s="16" t="n"/>
    </row>
    <row r="607" ht="13.1" customHeight="1" s="151">
      <c r="A607" s="78" t="n"/>
      <c r="B607" s="16" t="n"/>
      <c r="C607" s="16" t="n"/>
      <c r="D607" s="16" t="n"/>
      <c r="E607" s="79" t="n"/>
      <c r="F607" s="94" t="n"/>
      <c r="G607" s="95" t="n"/>
      <c r="H607" s="96" t="n"/>
      <c r="I607" s="97" t="n"/>
      <c r="J607" s="97" t="n"/>
      <c r="K607" s="83" t="n"/>
      <c r="L607" s="83" t="n"/>
      <c r="M607" s="83" t="n"/>
      <c r="N607" s="83" t="n"/>
      <c r="O607" s="84" t="n"/>
      <c r="P607" s="83" t="n"/>
      <c r="Q607" s="83" t="n"/>
      <c r="R607" s="85" t="n"/>
      <c r="S607" s="83" t="n"/>
      <c r="T607" s="86" t="n"/>
      <c r="U607" s="92" t="n"/>
      <c r="V607" s="93" t="n"/>
      <c r="W607" s="93" t="n"/>
      <c r="X607" s="7" t="n"/>
      <c r="Y607" s="7" t="n"/>
      <c r="Z607" s="162" t="n"/>
      <c r="AA607" s="90" t="n"/>
      <c r="AB607" s="16" t="n"/>
      <c r="AC607" s="16" t="n"/>
      <c r="AD607" s="16" t="n"/>
    </row>
    <row r="608" ht="13.1" customHeight="1" s="151">
      <c r="A608" s="78" t="n"/>
      <c r="B608" s="16" t="n"/>
      <c r="C608" s="16" t="n"/>
      <c r="D608" s="16" t="n"/>
      <c r="E608" s="79" t="n"/>
      <c r="F608" s="94" t="n"/>
      <c r="G608" s="95" t="n"/>
      <c r="H608" s="96" t="n"/>
      <c r="I608" s="97" t="n"/>
      <c r="J608" s="97" t="n"/>
      <c r="K608" s="83" t="n"/>
      <c r="L608" s="83" t="n"/>
      <c r="M608" s="83" t="n"/>
      <c r="N608" s="83" t="n"/>
      <c r="O608" s="84" t="n"/>
      <c r="P608" s="83" t="n"/>
      <c r="Q608" s="83" t="n"/>
      <c r="R608" s="85" t="n"/>
      <c r="S608" s="83" t="n"/>
      <c r="T608" s="86" t="n"/>
      <c r="U608" s="92" t="n"/>
      <c r="V608" s="93" t="n"/>
      <c r="W608" s="93" t="n"/>
      <c r="X608" s="7" t="n"/>
      <c r="Y608" s="7" t="n"/>
      <c r="Z608" s="162" t="n"/>
      <c r="AA608" s="90" t="n"/>
      <c r="AB608" s="16" t="n"/>
      <c r="AC608" s="16" t="n"/>
      <c r="AD608" s="16" t="n"/>
    </row>
    <row r="609" ht="13.1" customHeight="1" s="151">
      <c r="A609" s="78" t="n"/>
      <c r="B609" s="16" t="n"/>
      <c r="C609" s="16" t="n"/>
      <c r="D609" s="16" t="n"/>
      <c r="E609" s="79" t="n"/>
      <c r="F609" s="94" t="n"/>
      <c r="G609" s="95" t="n"/>
      <c r="H609" s="96" t="n"/>
      <c r="I609" s="97" t="n"/>
      <c r="J609" s="97" t="n"/>
      <c r="K609" s="83" t="n"/>
      <c r="L609" s="83" t="n"/>
      <c r="M609" s="83" t="n"/>
      <c r="N609" s="83" t="n"/>
      <c r="O609" s="84" t="n"/>
      <c r="P609" s="83" t="n"/>
      <c r="Q609" s="83" t="n"/>
      <c r="R609" s="85" t="n"/>
      <c r="S609" s="83" t="n"/>
      <c r="T609" s="86" t="n"/>
      <c r="U609" s="92" t="n"/>
      <c r="V609" s="93" t="n"/>
      <c r="W609" s="93" t="n"/>
      <c r="X609" s="7" t="n"/>
      <c r="Y609" s="7" t="n"/>
      <c r="Z609" s="162" t="n"/>
      <c r="AA609" s="90" t="n"/>
      <c r="AB609" s="16" t="n"/>
      <c r="AC609" s="16" t="n"/>
      <c r="AD609" s="16" t="n"/>
    </row>
    <row r="610" ht="13.1" customHeight="1" s="151">
      <c r="A610" s="78" t="n"/>
      <c r="B610" s="16" t="n"/>
      <c r="C610" s="16" t="n"/>
      <c r="D610" s="16" t="n"/>
      <c r="E610" s="79" t="n"/>
      <c r="F610" s="94" t="n"/>
      <c r="G610" s="95" t="n"/>
      <c r="H610" s="96" t="n"/>
      <c r="I610" s="97" t="n"/>
      <c r="J610" s="97" t="n"/>
      <c r="K610" s="83" t="n"/>
      <c r="L610" s="83" t="n"/>
      <c r="M610" s="83" t="n"/>
      <c r="N610" s="83" t="n"/>
      <c r="O610" s="84" t="n"/>
      <c r="P610" s="83" t="n"/>
      <c r="Q610" s="83" t="n"/>
      <c r="R610" s="85" t="n"/>
      <c r="S610" s="83" t="n"/>
      <c r="T610" s="86" t="n"/>
      <c r="U610" s="92" t="n"/>
      <c r="V610" s="93" t="n"/>
      <c r="W610" s="93" t="n"/>
      <c r="X610" s="7" t="n"/>
      <c r="Y610" s="7" t="n"/>
      <c r="Z610" s="162" t="n"/>
      <c r="AA610" s="90" t="n"/>
      <c r="AB610" s="16" t="n"/>
      <c r="AC610" s="16" t="n"/>
      <c r="AD610" s="16" t="n"/>
    </row>
    <row r="611" ht="13.1" customHeight="1" s="151">
      <c r="A611" s="78" t="n"/>
      <c r="B611" s="16" t="n"/>
      <c r="C611" s="16" t="n"/>
      <c r="D611" s="16" t="n"/>
      <c r="E611" s="79" t="n"/>
      <c r="F611" s="94" t="n"/>
      <c r="G611" s="95" t="n"/>
      <c r="H611" s="96" t="n"/>
      <c r="I611" s="97" t="n"/>
      <c r="J611" s="97" t="n"/>
      <c r="K611" s="83" t="n"/>
      <c r="L611" s="83" t="n"/>
      <c r="M611" s="83" t="n"/>
      <c r="N611" s="83" t="n"/>
      <c r="O611" s="84" t="n"/>
      <c r="P611" s="83" t="n"/>
      <c r="Q611" s="83" t="n"/>
      <c r="R611" s="85" t="n"/>
      <c r="S611" s="83" t="n"/>
      <c r="T611" s="86" t="n"/>
      <c r="U611" s="92" t="n"/>
      <c r="V611" s="93" t="n"/>
      <c r="W611" s="93" t="n"/>
      <c r="X611" s="7" t="n"/>
      <c r="Y611" s="7" t="n"/>
      <c r="Z611" s="162" t="n"/>
      <c r="AA611" s="90" t="n"/>
      <c r="AB611" s="16" t="n"/>
      <c r="AC611" s="16" t="n"/>
      <c r="AD611" s="16" t="n"/>
    </row>
    <row r="612" ht="13.1" customHeight="1" s="151">
      <c r="A612" s="78" t="n"/>
      <c r="B612" s="16" t="n"/>
      <c r="C612" s="16" t="n"/>
      <c r="D612" s="16" t="n"/>
      <c r="E612" s="79" t="n"/>
      <c r="F612" s="94" t="n"/>
      <c r="G612" s="95" t="n"/>
      <c r="H612" s="96" t="n"/>
      <c r="I612" s="97" t="n"/>
      <c r="J612" s="97" t="n"/>
      <c r="K612" s="83" t="n"/>
      <c r="L612" s="83" t="n"/>
      <c r="M612" s="83" t="n"/>
      <c r="N612" s="83" t="n"/>
      <c r="O612" s="84" t="n"/>
      <c r="P612" s="83" t="n"/>
      <c r="Q612" s="83" t="n"/>
      <c r="R612" s="85" t="n"/>
      <c r="S612" s="83" t="n"/>
      <c r="T612" s="86" t="n"/>
      <c r="U612" s="92" t="n"/>
      <c r="V612" s="93" t="n"/>
      <c r="W612" s="93" t="n"/>
      <c r="X612" s="7" t="n"/>
      <c r="Y612" s="7" t="n"/>
      <c r="Z612" s="162" t="n"/>
      <c r="AA612" s="90" t="n"/>
      <c r="AB612" s="16" t="n"/>
      <c r="AC612" s="16" t="n"/>
      <c r="AD612" s="16" t="n"/>
    </row>
    <row r="613" ht="13.1" customHeight="1" s="151">
      <c r="A613" s="78" t="n"/>
      <c r="B613" s="16" t="n"/>
      <c r="C613" s="16" t="n"/>
      <c r="D613" s="16" t="n"/>
      <c r="E613" s="79" t="n"/>
      <c r="F613" s="94" t="n"/>
      <c r="G613" s="95" t="n"/>
      <c r="H613" s="96" t="n"/>
      <c r="I613" s="97" t="n"/>
      <c r="J613" s="97" t="n"/>
      <c r="K613" s="83" t="n"/>
      <c r="L613" s="83" t="n"/>
      <c r="M613" s="83" t="n"/>
      <c r="N613" s="83" t="n"/>
      <c r="O613" s="84" t="n"/>
      <c r="P613" s="83" t="n"/>
      <c r="Q613" s="83" t="n"/>
      <c r="R613" s="85" t="n"/>
      <c r="S613" s="83" t="n"/>
      <c r="T613" s="86" t="n"/>
      <c r="U613" s="92" t="n"/>
      <c r="V613" s="93" t="n"/>
      <c r="W613" s="93" t="n"/>
      <c r="X613" s="7" t="n"/>
      <c r="Y613" s="7" t="n"/>
      <c r="Z613" s="162" t="n"/>
      <c r="AA613" s="90" t="n"/>
      <c r="AB613" s="16" t="n"/>
      <c r="AC613" s="16" t="n"/>
      <c r="AD613" s="16" t="n"/>
    </row>
    <row r="614" ht="13.1" customHeight="1" s="151">
      <c r="A614" s="78" t="n"/>
      <c r="B614" s="16" t="n"/>
      <c r="C614" s="16" t="n"/>
      <c r="D614" s="16" t="n"/>
      <c r="E614" s="79" t="n"/>
      <c r="F614" s="94" t="n"/>
      <c r="G614" s="95" t="n"/>
      <c r="H614" s="96" t="n"/>
      <c r="I614" s="97" t="n"/>
      <c r="J614" s="97" t="n"/>
      <c r="K614" s="83" t="n"/>
      <c r="L614" s="83" t="n"/>
      <c r="M614" s="83" t="n"/>
      <c r="N614" s="83" t="n"/>
      <c r="O614" s="84" t="n"/>
      <c r="P614" s="83" t="n"/>
      <c r="Q614" s="83" t="n"/>
      <c r="R614" s="85" t="n"/>
      <c r="S614" s="83" t="n"/>
      <c r="T614" s="86" t="n"/>
      <c r="U614" s="92" t="n"/>
      <c r="V614" s="93" t="n"/>
      <c r="W614" s="93" t="n"/>
      <c r="X614" s="7" t="n"/>
      <c r="Y614" s="7" t="n"/>
      <c r="Z614" s="162" t="n"/>
      <c r="AA614" s="90" t="n"/>
      <c r="AB614" s="16" t="n"/>
      <c r="AC614" s="16" t="n"/>
      <c r="AD614" s="16" t="n"/>
    </row>
    <row r="615" ht="13.1" customHeight="1" s="151">
      <c r="A615" s="78" t="n"/>
      <c r="B615" s="16" t="n"/>
      <c r="C615" s="16" t="n"/>
      <c r="D615" s="16" t="n"/>
      <c r="E615" s="79" t="n"/>
      <c r="F615" s="94" t="n"/>
      <c r="G615" s="95" t="n"/>
      <c r="H615" s="96" t="n"/>
      <c r="I615" s="97" t="n"/>
      <c r="J615" s="97" t="n"/>
      <c r="K615" s="83" t="n"/>
      <c r="L615" s="83" t="n"/>
      <c r="M615" s="83" t="n"/>
      <c r="N615" s="83" t="n"/>
      <c r="O615" s="84" t="n"/>
      <c r="P615" s="83" t="n"/>
      <c r="Q615" s="83" t="n"/>
      <c r="R615" s="85" t="n"/>
      <c r="S615" s="83" t="n"/>
      <c r="T615" s="86" t="n"/>
      <c r="U615" s="92" t="n"/>
      <c r="V615" s="93" t="n"/>
      <c r="W615" s="93" t="n"/>
      <c r="X615" s="7" t="n"/>
      <c r="Y615" s="7" t="n"/>
      <c r="Z615" s="162" t="n"/>
      <c r="AA615" s="90" t="n"/>
      <c r="AB615" s="16" t="n"/>
      <c r="AC615" s="16" t="n"/>
      <c r="AD615" s="16" t="n"/>
    </row>
    <row r="616" ht="13.1" customHeight="1" s="151">
      <c r="A616" s="78" t="n"/>
      <c r="B616" s="16" t="n"/>
      <c r="C616" s="16" t="n"/>
      <c r="D616" s="16" t="n"/>
      <c r="E616" s="79" t="n"/>
      <c r="F616" s="94" t="n"/>
      <c r="G616" s="95" t="n"/>
      <c r="H616" s="96" t="n"/>
      <c r="I616" s="97" t="n"/>
      <c r="J616" s="97" t="n"/>
      <c r="K616" s="83" t="n"/>
      <c r="L616" s="83" t="n"/>
      <c r="M616" s="83" t="n"/>
      <c r="N616" s="83" t="n"/>
      <c r="O616" s="84" t="n"/>
      <c r="P616" s="83" t="n"/>
      <c r="Q616" s="83" t="n"/>
      <c r="R616" s="85" t="n"/>
      <c r="S616" s="83" t="n"/>
      <c r="T616" s="86" t="n"/>
      <c r="U616" s="92" t="n"/>
      <c r="V616" s="93" t="n"/>
      <c r="W616" s="93" t="n"/>
      <c r="X616" s="7" t="n"/>
      <c r="Y616" s="7" t="n"/>
      <c r="Z616" s="162" t="n"/>
      <c r="AA616" s="90" t="n"/>
      <c r="AB616" s="16" t="n"/>
      <c r="AC616" s="16" t="n"/>
      <c r="AD616" s="16" t="n"/>
    </row>
    <row r="617" ht="13.1" customHeight="1" s="151">
      <c r="A617" s="78" t="n"/>
      <c r="B617" s="16" t="n"/>
      <c r="C617" s="16" t="n"/>
      <c r="D617" s="16" t="n"/>
      <c r="E617" s="79" t="n"/>
      <c r="F617" s="94" t="n"/>
      <c r="G617" s="95" t="n"/>
      <c r="H617" s="96" t="n"/>
      <c r="I617" s="97" t="n"/>
      <c r="J617" s="97" t="n"/>
      <c r="K617" s="83" t="n"/>
      <c r="L617" s="83" t="n"/>
      <c r="M617" s="83" t="n"/>
      <c r="N617" s="83" t="n"/>
      <c r="O617" s="84" t="n"/>
      <c r="P617" s="83" t="n"/>
      <c r="Q617" s="83" t="n"/>
      <c r="R617" s="85" t="n"/>
      <c r="S617" s="83" t="n"/>
      <c r="T617" s="86" t="n"/>
      <c r="U617" s="92" t="n"/>
      <c r="V617" s="93" t="n"/>
      <c r="W617" s="93" t="n"/>
      <c r="X617" s="7" t="n"/>
      <c r="Y617" s="7" t="n"/>
      <c r="Z617" s="162" t="n"/>
      <c r="AA617" s="90" t="n"/>
      <c r="AB617" s="16" t="n"/>
      <c r="AC617" s="16" t="n"/>
      <c r="AD617" s="16" t="n"/>
    </row>
    <row r="618" ht="13.1" customHeight="1" s="151">
      <c r="A618" s="78" t="n"/>
      <c r="B618" s="16" t="n"/>
      <c r="C618" s="16" t="n"/>
      <c r="D618" s="16" t="n"/>
      <c r="E618" s="79" t="n"/>
      <c r="F618" s="94" t="n"/>
      <c r="G618" s="95" t="n"/>
      <c r="H618" s="96" t="n"/>
      <c r="I618" s="97" t="n"/>
      <c r="J618" s="97" t="n"/>
      <c r="K618" s="83" t="n"/>
      <c r="L618" s="83" t="n"/>
      <c r="M618" s="83" t="n"/>
      <c r="N618" s="83" t="n"/>
      <c r="O618" s="84" t="n"/>
      <c r="P618" s="83" t="n"/>
      <c r="Q618" s="83" t="n"/>
      <c r="R618" s="85" t="n"/>
      <c r="S618" s="83" t="n"/>
      <c r="T618" s="86" t="n"/>
      <c r="U618" s="92" t="n"/>
      <c r="V618" s="93" t="n"/>
      <c r="W618" s="93" t="n"/>
      <c r="X618" s="7" t="n"/>
      <c r="Y618" s="7" t="n"/>
      <c r="Z618" s="162" t="n"/>
      <c r="AA618" s="90" t="n"/>
      <c r="AB618" s="16" t="n"/>
      <c r="AC618" s="16" t="n"/>
      <c r="AD618" s="16" t="n"/>
    </row>
    <row r="619" ht="13.1" customHeight="1" s="151">
      <c r="A619" s="78" t="n"/>
      <c r="B619" s="16" t="n"/>
      <c r="C619" s="16" t="n"/>
      <c r="D619" s="16" t="n"/>
      <c r="E619" s="79" t="n"/>
      <c r="F619" s="94" t="n"/>
      <c r="G619" s="95" t="n"/>
      <c r="H619" s="96" t="n"/>
      <c r="I619" s="97" t="n"/>
      <c r="J619" s="97" t="n"/>
      <c r="K619" s="83" t="n"/>
      <c r="L619" s="83" t="n"/>
      <c r="M619" s="83" t="n"/>
      <c r="N619" s="83" t="n"/>
      <c r="O619" s="84" t="n"/>
      <c r="P619" s="83" t="n"/>
      <c r="Q619" s="83" t="n"/>
      <c r="R619" s="85" t="n"/>
      <c r="S619" s="83" t="n"/>
      <c r="T619" s="86" t="n"/>
      <c r="U619" s="92" t="n"/>
      <c r="V619" s="93" t="n"/>
      <c r="W619" s="93" t="n"/>
      <c r="X619" s="7" t="n"/>
      <c r="Y619" s="7" t="n"/>
      <c r="Z619" s="162" t="n"/>
      <c r="AA619" s="90" t="n"/>
      <c r="AB619" s="16" t="n"/>
      <c r="AC619" s="16" t="n"/>
      <c r="AD619" s="16" t="n"/>
    </row>
    <row r="620" ht="13.1" customHeight="1" s="151">
      <c r="A620" s="78" t="n"/>
      <c r="B620" s="16" t="n"/>
      <c r="C620" s="16" t="n"/>
      <c r="D620" s="16" t="n"/>
      <c r="E620" s="79" t="n"/>
      <c r="F620" s="94" t="n"/>
      <c r="G620" s="95" t="n"/>
      <c r="H620" s="96" t="n"/>
      <c r="I620" s="97" t="n"/>
      <c r="J620" s="97" t="n"/>
      <c r="K620" s="83" t="n"/>
      <c r="L620" s="83" t="n"/>
      <c r="M620" s="83" t="n"/>
      <c r="N620" s="83" t="n"/>
      <c r="O620" s="84" t="n"/>
      <c r="P620" s="83" t="n"/>
      <c r="Q620" s="83" t="n"/>
      <c r="R620" s="85" t="n"/>
      <c r="S620" s="83" t="n"/>
      <c r="T620" s="86" t="n"/>
      <c r="U620" s="92" t="n"/>
      <c r="V620" s="93" t="n"/>
      <c r="W620" s="93" t="n"/>
      <c r="X620" s="7" t="n"/>
      <c r="Y620" s="7" t="n"/>
      <c r="Z620" s="162" t="n"/>
      <c r="AA620" s="90" t="n"/>
      <c r="AB620" s="16" t="n"/>
      <c r="AC620" s="16" t="n"/>
      <c r="AD620" s="16" t="n"/>
    </row>
    <row r="621" ht="13.1" customHeight="1" s="151">
      <c r="A621" s="78" t="n"/>
      <c r="B621" s="16" t="n"/>
      <c r="C621" s="16" t="n"/>
      <c r="D621" s="16" t="n"/>
      <c r="E621" s="79" t="n"/>
      <c r="F621" s="94" t="n"/>
      <c r="G621" s="95" t="n"/>
      <c r="H621" s="96" t="n"/>
      <c r="I621" s="97" t="n"/>
      <c r="J621" s="97" t="n"/>
      <c r="K621" s="83" t="n"/>
      <c r="L621" s="83" t="n"/>
      <c r="M621" s="83" t="n"/>
      <c r="N621" s="83" t="n"/>
      <c r="O621" s="84" t="n"/>
      <c r="P621" s="83" t="n"/>
      <c r="Q621" s="83" t="n"/>
      <c r="R621" s="85" t="n"/>
      <c r="S621" s="83" t="n"/>
      <c r="T621" s="86" t="n"/>
      <c r="U621" s="92" t="n"/>
      <c r="V621" s="93" t="n"/>
      <c r="W621" s="93" t="n"/>
      <c r="X621" s="7" t="n"/>
      <c r="Y621" s="7" t="n"/>
      <c r="Z621" s="162" t="n"/>
      <c r="AA621" s="90" t="n"/>
      <c r="AB621" s="16" t="n"/>
      <c r="AC621" s="16" t="n"/>
      <c r="AD621" s="16" t="n"/>
    </row>
    <row r="622" ht="13.1" customHeight="1" s="151">
      <c r="A622" s="78" t="n"/>
      <c r="B622" s="16" t="n"/>
      <c r="C622" s="16" t="n"/>
      <c r="D622" s="16" t="n"/>
      <c r="E622" s="79" t="n"/>
      <c r="F622" s="94" t="n"/>
      <c r="G622" s="95" t="n"/>
      <c r="H622" s="96" t="n"/>
      <c r="I622" s="97" t="n"/>
      <c r="J622" s="97" t="n"/>
      <c r="K622" s="83" t="n"/>
      <c r="L622" s="83" t="n"/>
      <c r="M622" s="83" t="n"/>
      <c r="N622" s="83" t="n"/>
      <c r="O622" s="84" t="n"/>
      <c r="P622" s="83" t="n"/>
      <c r="Q622" s="83" t="n"/>
      <c r="R622" s="85" t="n"/>
      <c r="S622" s="83" t="n"/>
      <c r="T622" s="86" t="n"/>
      <c r="U622" s="92" t="n"/>
      <c r="V622" s="93" t="n"/>
      <c r="W622" s="93" t="n"/>
      <c r="X622" s="7" t="n"/>
      <c r="Y622" s="7" t="n"/>
      <c r="Z622" s="162" t="n"/>
      <c r="AA622" s="90" t="n"/>
      <c r="AB622" s="16" t="n"/>
      <c r="AC622" s="16" t="n"/>
      <c r="AD622" s="16" t="n"/>
    </row>
    <row r="623" ht="13.1" customHeight="1" s="151">
      <c r="A623" s="78" t="n"/>
      <c r="B623" s="16" t="n"/>
      <c r="C623" s="16" t="n"/>
      <c r="D623" s="16" t="n"/>
      <c r="E623" s="79" t="n"/>
      <c r="F623" s="94" t="n"/>
      <c r="G623" s="95" t="n"/>
      <c r="H623" s="96" t="n"/>
      <c r="I623" s="97" t="n"/>
      <c r="J623" s="97" t="n"/>
      <c r="K623" s="83" t="n"/>
      <c r="L623" s="83" t="n"/>
      <c r="M623" s="83" t="n"/>
      <c r="N623" s="83" t="n"/>
      <c r="O623" s="84" t="n"/>
      <c r="P623" s="83" t="n"/>
      <c r="Q623" s="83" t="n"/>
      <c r="R623" s="85" t="n"/>
      <c r="S623" s="83" t="n"/>
      <c r="T623" s="86" t="n"/>
      <c r="U623" s="92" t="n"/>
      <c r="V623" s="93" t="n"/>
      <c r="W623" s="93" t="n"/>
      <c r="X623" s="7" t="n"/>
      <c r="Y623" s="7" t="n"/>
      <c r="Z623" s="162" t="n"/>
      <c r="AA623" s="90" t="n"/>
      <c r="AB623" s="16" t="n"/>
      <c r="AC623" s="16" t="n"/>
      <c r="AD623" s="16" t="n"/>
    </row>
    <row r="624" ht="13.1" customHeight="1" s="151">
      <c r="A624" s="78" t="n"/>
      <c r="B624" s="16" t="n"/>
      <c r="C624" s="16" t="n"/>
      <c r="D624" s="16" t="n"/>
      <c r="E624" s="79" t="n"/>
      <c r="F624" s="94" t="n"/>
      <c r="G624" s="95" t="n"/>
      <c r="H624" s="96" t="n"/>
      <c r="I624" s="97" t="n"/>
      <c r="J624" s="97" t="n"/>
      <c r="K624" s="83" t="n"/>
      <c r="L624" s="83" t="n"/>
      <c r="M624" s="83" t="n"/>
      <c r="N624" s="83" t="n"/>
      <c r="O624" s="84" t="n"/>
      <c r="P624" s="83" t="n"/>
      <c r="Q624" s="83" t="n"/>
      <c r="R624" s="85" t="n"/>
      <c r="S624" s="83" t="n"/>
      <c r="T624" s="86" t="n"/>
      <c r="U624" s="92" t="n"/>
      <c r="V624" s="93" t="n"/>
      <c r="W624" s="93" t="n"/>
      <c r="X624" s="7" t="n"/>
      <c r="Y624" s="7" t="n"/>
      <c r="Z624" s="162" t="n"/>
      <c r="AA624" s="90" t="n"/>
      <c r="AB624" s="16" t="n"/>
      <c r="AC624" s="16" t="n"/>
      <c r="AD624" s="16" t="n"/>
    </row>
    <row r="625" ht="13.1" customHeight="1" s="151">
      <c r="A625" s="78" t="n"/>
      <c r="B625" s="16" t="n"/>
      <c r="C625" s="16" t="n"/>
      <c r="D625" s="16" t="n"/>
      <c r="E625" s="79" t="n"/>
      <c r="F625" s="94" t="n"/>
      <c r="G625" s="95" t="n"/>
      <c r="H625" s="96" t="n"/>
      <c r="I625" s="97" t="n"/>
      <c r="J625" s="97" t="n"/>
      <c r="K625" s="83" t="n"/>
      <c r="L625" s="83" t="n"/>
      <c r="M625" s="83" t="n"/>
      <c r="N625" s="83" t="n"/>
      <c r="O625" s="84" t="n"/>
      <c r="P625" s="83" t="n"/>
      <c r="Q625" s="83" t="n"/>
      <c r="R625" s="85" t="n"/>
      <c r="S625" s="83" t="n"/>
      <c r="T625" s="86" t="n"/>
      <c r="U625" s="92" t="n"/>
      <c r="V625" s="93" t="n"/>
      <c r="W625" s="93" t="n"/>
      <c r="X625" s="7" t="n"/>
      <c r="Y625" s="7" t="n"/>
      <c r="Z625" s="162" t="n"/>
      <c r="AA625" s="90" t="n"/>
      <c r="AB625" s="16" t="n"/>
      <c r="AC625" s="16" t="n"/>
      <c r="AD625" s="16" t="n"/>
    </row>
    <row r="626" ht="13.1" customHeight="1" s="151">
      <c r="A626" s="78" t="n"/>
      <c r="B626" s="16" t="n"/>
      <c r="C626" s="16" t="n"/>
      <c r="D626" s="16" t="n"/>
      <c r="E626" s="79" t="n"/>
      <c r="F626" s="94" t="n"/>
      <c r="G626" s="95" t="n"/>
      <c r="H626" s="96" t="n"/>
      <c r="I626" s="97" t="n"/>
      <c r="J626" s="97" t="n"/>
      <c r="K626" s="83" t="n"/>
      <c r="L626" s="83" t="n"/>
      <c r="M626" s="83" t="n"/>
      <c r="N626" s="83" t="n"/>
      <c r="O626" s="84" t="n"/>
      <c r="P626" s="83" t="n"/>
      <c r="Q626" s="83" t="n"/>
      <c r="R626" s="85" t="n"/>
      <c r="S626" s="83" t="n"/>
      <c r="T626" s="86" t="n"/>
      <c r="U626" s="92" t="n"/>
      <c r="V626" s="93" t="n"/>
      <c r="W626" s="93" t="n"/>
      <c r="X626" s="7" t="n"/>
      <c r="Y626" s="7" t="n"/>
      <c r="Z626" s="162" t="n"/>
      <c r="AA626" s="90" t="n"/>
      <c r="AB626" s="16" t="n"/>
      <c r="AC626" s="16" t="n"/>
      <c r="AD626" s="16" t="n"/>
    </row>
    <row r="627" ht="13.1" customHeight="1" s="151">
      <c r="A627" s="78" t="n"/>
      <c r="B627" s="16" t="n"/>
      <c r="C627" s="16" t="n"/>
      <c r="D627" s="16" t="n"/>
      <c r="E627" s="79" t="n"/>
      <c r="F627" s="94" t="n"/>
      <c r="G627" s="95" t="n"/>
      <c r="H627" s="96" t="n"/>
      <c r="I627" s="97" t="n"/>
      <c r="J627" s="97" t="n"/>
      <c r="K627" s="83" t="n"/>
      <c r="L627" s="83" t="n"/>
      <c r="M627" s="83" t="n"/>
      <c r="N627" s="83" t="n"/>
      <c r="O627" s="84" t="n"/>
      <c r="P627" s="83" t="n"/>
      <c r="Q627" s="83" t="n"/>
      <c r="R627" s="85" t="n"/>
      <c r="S627" s="83" t="n"/>
      <c r="T627" s="86" t="n"/>
      <c r="U627" s="92" t="n"/>
      <c r="V627" s="93" t="n"/>
      <c r="W627" s="93" t="n"/>
      <c r="X627" s="7" t="n"/>
      <c r="Y627" s="7" t="n"/>
      <c r="Z627" s="162" t="n"/>
      <c r="AA627" s="90" t="n"/>
      <c r="AB627" s="16" t="n"/>
      <c r="AC627" s="16" t="n"/>
      <c r="AD627" s="16" t="n"/>
    </row>
    <row r="628" ht="13.1" customHeight="1" s="151">
      <c r="A628" s="78" t="n"/>
      <c r="B628" s="16" t="n"/>
      <c r="C628" s="16" t="n"/>
      <c r="D628" s="16" t="n"/>
      <c r="E628" s="79" t="n"/>
      <c r="F628" s="94" t="n"/>
      <c r="G628" s="95" t="n"/>
      <c r="H628" s="96" t="n"/>
      <c r="I628" s="97" t="n"/>
      <c r="J628" s="97" t="n"/>
      <c r="K628" s="83" t="n"/>
      <c r="L628" s="83" t="n"/>
      <c r="M628" s="83" t="n"/>
      <c r="N628" s="83" t="n"/>
      <c r="O628" s="84" t="n"/>
      <c r="P628" s="83" t="n"/>
      <c r="Q628" s="83" t="n"/>
      <c r="R628" s="85" t="n"/>
      <c r="S628" s="83" t="n"/>
      <c r="T628" s="86" t="n"/>
      <c r="U628" s="92" t="n"/>
      <c r="V628" s="93" t="n"/>
      <c r="W628" s="93" t="n"/>
      <c r="X628" s="7" t="n"/>
      <c r="Y628" s="7" t="n"/>
      <c r="Z628" s="162" t="n"/>
      <c r="AA628" s="90" t="n"/>
      <c r="AB628" s="16" t="n"/>
      <c r="AC628" s="16" t="n"/>
      <c r="AD628" s="16" t="n"/>
    </row>
    <row r="629" ht="13.1" customHeight="1" s="151">
      <c r="A629" s="78" t="n"/>
      <c r="B629" s="16" t="n"/>
      <c r="C629" s="16" t="n"/>
      <c r="D629" s="16" t="n"/>
      <c r="E629" s="79" t="n"/>
      <c r="F629" s="94" t="n"/>
      <c r="G629" s="95" t="n"/>
      <c r="H629" s="96" t="n"/>
      <c r="I629" s="97" t="n"/>
      <c r="J629" s="97" t="n"/>
      <c r="K629" s="83" t="n"/>
      <c r="L629" s="83" t="n"/>
      <c r="M629" s="83" t="n"/>
      <c r="N629" s="83" t="n"/>
      <c r="O629" s="84" t="n"/>
      <c r="P629" s="83" t="n"/>
      <c r="Q629" s="83" t="n"/>
      <c r="R629" s="85" t="n"/>
      <c r="S629" s="83" t="n"/>
      <c r="T629" s="86" t="n"/>
      <c r="U629" s="92" t="n"/>
      <c r="V629" s="93" t="n"/>
      <c r="W629" s="93" t="n"/>
      <c r="X629" s="7" t="n"/>
      <c r="Y629" s="7" t="n"/>
      <c r="Z629" s="162" t="n"/>
      <c r="AA629" s="90" t="n"/>
      <c r="AB629" s="16" t="n"/>
      <c r="AC629" s="16" t="n"/>
      <c r="AD629" s="16" t="n"/>
    </row>
    <row r="630" ht="13.1" customHeight="1" s="151">
      <c r="A630" s="78" t="n"/>
      <c r="B630" s="16" t="n"/>
      <c r="C630" s="16" t="n"/>
      <c r="D630" s="16" t="n"/>
      <c r="E630" s="79" t="n"/>
      <c r="F630" s="94" t="n"/>
      <c r="G630" s="95" t="n"/>
      <c r="H630" s="96" t="n"/>
      <c r="I630" s="97" t="n"/>
      <c r="J630" s="97" t="n"/>
      <c r="K630" s="83" t="n"/>
      <c r="L630" s="83" t="n"/>
      <c r="M630" s="83" t="n"/>
      <c r="N630" s="83" t="n"/>
      <c r="O630" s="84" t="n"/>
      <c r="P630" s="83" t="n"/>
      <c r="Q630" s="83" t="n"/>
      <c r="R630" s="85" t="n"/>
      <c r="S630" s="83" t="n"/>
      <c r="T630" s="86" t="n"/>
      <c r="U630" s="92" t="n"/>
      <c r="V630" s="93" t="n"/>
      <c r="W630" s="93" t="n"/>
      <c r="X630" s="7" t="n"/>
      <c r="Y630" s="7" t="n"/>
      <c r="Z630" s="162" t="n"/>
      <c r="AA630" s="90" t="n"/>
      <c r="AB630" s="16" t="n"/>
      <c r="AC630" s="16" t="n"/>
      <c r="AD630" s="16" t="n"/>
    </row>
    <row r="631" ht="13.1" customHeight="1" s="151">
      <c r="A631" s="78" t="n"/>
      <c r="B631" s="16" t="n"/>
      <c r="C631" s="16" t="n"/>
      <c r="D631" s="16" t="n"/>
      <c r="E631" s="79" t="n"/>
      <c r="F631" s="94" t="n"/>
      <c r="G631" s="95" t="n"/>
      <c r="H631" s="96" t="n"/>
      <c r="I631" s="97" t="n"/>
      <c r="J631" s="97" t="n"/>
      <c r="K631" s="83" t="n"/>
      <c r="L631" s="83" t="n"/>
      <c r="M631" s="83" t="n"/>
      <c r="N631" s="83" t="n"/>
      <c r="O631" s="84" t="n"/>
      <c r="P631" s="83" t="n"/>
      <c r="Q631" s="83" t="n"/>
      <c r="R631" s="85" t="n"/>
      <c r="S631" s="83" t="n"/>
      <c r="T631" s="86" t="n"/>
      <c r="U631" s="92" t="n"/>
      <c r="V631" s="93" t="n"/>
      <c r="W631" s="93" t="n"/>
      <c r="X631" s="7" t="n"/>
      <c r="Y631" s="7" t="n"/>
      <c r="Z631" s="162" t="n"/>
      <c r="AA631" s="90" t="n"/>
      <c r="AB631" s="16" t="n"/>
      <c r="AC631" s="16" t="n"/>
      <c r="AD631" s="16" t="n"/>
    </row>
    <row r="632" ht="13.1" customHeight="1" s="151">
      <c r="A632" s="78" t="n"/>
      <c r="B632" s="16" t="n"/>
      <c r="C632" s="16" t="n"/>
      <c r="D632" s="16" t="n"/>
      <c r="E632" s="79" t="n"/>
      <c r="F632" s="94" t="n"/>
      <c r="G632" s="95" t="n"/>
      <c r="H632" s="96" t="n"/>
      <c r="I632" s="97" t="n"/>
      <c r="J632" s="97" t="n"/>
      <c r="K632" s="83" t="n"/>
      <c r="L632" s="83" t="n"/>
      <c r="M632" s="83" t="n"/>
      <c r="N632" s="83" t="n"/>
      <c r="O632" s="84" t="n"/>
      <c r="P632" s="83" t="n"/>
      <c r="Q632" s="83" t="n"/>
      <c r="R632" s="85" t="n"/>
      <c r="S632" s="83" t="n"/>
      <c r="T632" s="86" t="n"/>
      <c r="U632" s="92" t="n"/>
      <c r="V632" s="93" t="n"/>
      <c r="W632" s="93" t="n"/>
      <c r="X632" s="7" t="n"/>
      <c r="Y632" s="7" t="n"/>
      <c r="Z632" s="162" t="n"/>
      <c r="AA632" s="90" t="n"/>
      <c r="AB632" s="16" t="n"/>
      <c r="AC632" s="16" t="n"/>
      <c r="AD632" s="16" t="n"/>
    </row>
    <row r="633" ht="13.1" customHeight="1" s="151">
      <c r="A633" s="78" t="n"/>
      <c r="B633" s="16" t="n"/>
      <c r="C633" s="16" t="n"/>
      <c r="D633" s="16" t="n"/>
      <c r="E633" s="79" t="n"/>
      <c r="F633" s="94" t="n"/>
      <c r="G633" s="95" t="n"/>
      <c r="H633" s="96" t="n"/>
      <c r="I633" s="97" t="n"/>
      <c r="J633" s="97" t="n"/>
      <c r="K633" s="83" t="n"/>
      <c r="L633" s="83" t="n"/>
      <c r="M633" s="83" t="n"/>
      <c r="N633" s="83" t="n"/>
      <c r="O633" s="84" t="n"/>
      <c r="P633" s="83" t="n"/>
      <c r="Q633" s="83" t="n"/>
      <c r="R633" s="85" t="n"/>
      <c r="S633" s="83" t="n"/>
      <c r="T633" s="86" t="n"/>
      <c r="U633" s="92" t="n"/>
      <c r="V633" s="93" t="n"/>
      <c r="W633" s="93" t="n"/>
      <c r="X633" s="7" t="n"/>
      <c r="Y633" s="7" t="n"/>
      <c r="Z633" s="162" t="n"/>
      <c r="AA633" s="90" t="n"/>
      <c r="AB633" s="16" t="n"/>
      <c r="AC633" s="16" t="n"/>
      <c r="AD633" s="16" t="n"/>
    </row>
    <row r="634" ht="13.1" customHeight="1" s="151">
      <c r="A634" s="78" t="n"/>
      <c r="B634" s="16" t="n"/>
      <c r="C634" s="16" t="n"/>
      <c r="D634" s="16" t="n"/>
      <c r="E634" s="79" t="n"/>
      <c r="F634" s="94" t="n"/>
      <c r="G634" s="95" t="n"/>
      <c r="H634" s="96" t="n"/>
      <c r="I634" s="97" t="n"/>
      <c r="J634" s="97" t="n"/>
      <c r="K634" s="83" t="n"/>
      <c r="L634" s="83" t="n"/>
      <c r="M634" s="83" t="n"/>
      <c r="N634" s="83" t="n"/>
      <c r="O634" s="84" t="n"/>
      <c r="P634" s="83" t="n"/>
      <c r="Q634" s="83" t="n"/>
      <c r="R634" s="85" t="n"/>
      <c r="S634" s="83" t="n"/>
      <c r="T634" s="86" t="n"/>
      <c r="U634" s="92" t="n"/>
      <c r="V634" s="93" t="n"/>
      <c r="W634" s="93" t="n"/>
      <c r="X634" s="7" t="n"/>
      <c r="Y634" s="7" t="n"/>
      <c r="Z634" s="162" t="n"/>
      <c r="AA634" s="90" t="n"/>
      <c r="AB634" s="16" t="n"/>
      <c r="AC634" s="16" t="n"/>
      <c r="AD634" s="16" t="n"/>
    </row>
    <row r="635" ht="13.1" customHeight="1" s="151">
      <c r="A635" s="78" t="n"/>
      <c r="B635" s="16" t="n"/>
      <c r="C635" s="16" t="n"/>
      <c r="D635" s="16" t="n"/>
      <c r="E635" s="79" t="n"/>
      <c r="F635" s="94" t="n"/>
      <c r="G635" s="95" t="n"/>
      <c r="H635" s="96" t="n"/>
      <c r="I635" s="97" t="n"/>
      <c r="J635" s="97" t="n"/>
      <c r="K635" s="83" t="n"/>
      <c r="L635" s="83" t="n"/>
      <c r="M635" s="83" t="n"/>
      <c r="N635" s="83" t="n"/>
      <c r="O635" s="84" t="n"/>
      <c r="P635" s="83" t="n"/>
      <c r="Q635" s="83" t="n"/>
      <c r="R635" s="85" t="n"/>
      <c r="S635" s="83" t="n"/>
      <c r="T635" s="86" t="n"/>
      <c r="U635" s="92" t="n"/>
      <c r="V635" s="93" t="n"/>
      <c r="W635" s="93" t="n"/>
      <c r="X635" s="7" t="n"/>
      <c r="Y635" s="7" t="n"/>
      <c r="Z635" s="162" t="n"/>
      <c r="AA635" s="90" t="n"/>
      <c r="AB635" s="16" t="n"/>
      <c r="AC635" s="16" t="n"/>
      <c r="AD635" s="16" t="n"/>
    </row>
    <row r="636" ht="13.1" customHeight="1" s="151">
      <c r="A636" s="78" t="n"/>
      <c r="B636" s="16" t="n"/>
      <c r="C636" s="16" t="n"/>
      <c r="D636" s="16" t="n"/>
      <c r="E636" s="79" t="n"/>
      <c r="F636" s="94" t="n"/>
      <c r="G636" s="95" t="n"/>
      <c r="H636" s="96" t="n"/>
      <c r="I636" s="97" t="n"/>
      <c r="J636" s="97" t="n"/>
      <c r="K636" s="83" t="n"/>
      <c r="L636" s="83" t="n"/>
      <c r="M636" s="83" t="n"/>
      <c r="N636" s="83" t="n"/>
      <c r="O636" s="84" t="n"/>
      <c r="P636" s="83" t="n"/>
      <c r="Q636" s="83" t="n"/>
      <c r="R636" s="85" t="n"/>
      <c r="S636" s="83" t="n"/>
      <c r="T636" s="86" t="n"/>
      <c r="U636" s="92" t="n"/>
      <c r="V636" s="93" t="n"/>
      <c r="W636" s="93" t="n"/>
      <c r="X636" s="7" t="n"/>
      <c r="Y636" s="7" t="n"/>
      <c r="Z636" s="162" t="n"/>
      <c r="AA636" s="90" t="n"/>
      <c r="AB636" s="16" t="n"/>
      <c r="AC636" s="16" t="n"/>
      <c r="AD636" s="16" t="n"/>
    </row>
    <row r="637" ht="13.1" customHeight="1" s="151">
      <c r="A637" s="78" t="n"/>
      <c r="B637" s="16" t="n"/>
      <c r="C637" s="16" t="n"/>
      <c r="D637" s="16" t="n"/>
      <c r="E637" s="79" t="n"/>
      <c r="F637" s="94" t="n"/>
      <c r="G637" s="95" t="n"/>
      <c r="H637" s="96" t="n"/>
      <c r="I637" s="97" t="n"/>
      <c r="J637" s="97" t="n"/>
      <c r="K637" s="83" t="n"/>
      <c r="L637" s="83" t="n"/>
      <c r="M637" s="83" t="n"/>
      <c r="N637" s="83" t="n"/>
      <c r="O637" s="84" t="n"/>
      <c r="P637" s="83" t="n"/>
      <c r="Q637" s="83" t="n"/>
      <c r="R637" s="85" t="n"/>
      <c r="S637" s="83" t="n"/>
      <c r="T637" s="86" t="n"/>
      <c r="U637" s="92" t="n"/>
      <c r="V637" s="93" t="n"/>
      <c r="W637" s="93" t="n"/>
      <c r="X637" s="7" t="n"/>
      <c r="Y637" s="7" t="n"/>
      <c r="Z637" s="162" t="n"/>
      <c r="AA637" s="90" t="n"/>
      <c r="AB637" s="16" t="n"/>
      <c r="AC637" s="16" t="n"/>
      <c r="AD637" s="16" t="n"/>
    </row>
    <row r="638" ht="13.1" customHeight="1" s="151">
      <c r="A638" s="78" t="n"/>
      <c r="B638" s="16" t="n"/>
      <c r="C638" s="16" t="n"/>
      <c r="D638" s="16" t="n"/>
      <c r="E638" s="79" t="n"/>
      <c r="F638" s="94" t="n"/>
      <c r="G638" s="95" t="n"/>
      <c r="H638" s="96" t="n"/>
      <c r="I638" s="97" t="n"/>
      <c r="J638" s="97" t="n"/>
      <c r="K638" s="83" t="n"/>
      <c r="L638" s="83" t="n"/>
      <c r="M638" s="83" t="n"/>
      <c r="N638" s="83" t="n"/>
      <c r="O638" s="84" t="n"/>
      <c r="P638" s="83" t="n"/>
      <c r="Q638" s="83" t="n"/>
      <c r="R638" s="85" t="n"/>
      <c r="S638" s="83" t="n"/>
      <c r="T638" s="86" t="n"/>
      <c r="U638" s="92" t="n"/>
      <c r="V638" s="93" t="n"/>
      <c r="W638" s="93" t="n"/>
      <c r="X638" s="7" t="n"/>
      <c r="Y638" s="7" t="n"/>
      <c r="Z638" s="162" t="n"/>
      <c r="AA638" s="90" t="n"/>
      <c r="AB638" s="16" t="n"/>
      <c r="AC638" s="16" t="n"/>
      <c r="AD638" s="16" t="n"/>
    </row>
    <row r="639" ht="13.1" customHeight="1" s="151">
      <c r="A639" s="78" t="n"/>
      <c r="B639" s="16" t="n"/>
      <c r="C639" s="16" t="n"/>
      <c r="D639" s="16" t="n"/>
      <c r="E639" s="79" t="n"/>
      <c r="F639" s="94" t="n"/>
      <c r="G639" s="95" t="n"/>
      <c r="H639" s="96" t="n"/>
      <c r="I639" s="97" t="n"/>
      <c r="J639" s="97" t="n"/>
      <c r="K639" s="83" t="n"/>
      <c r="L639" s="83" t="n"/>
      <c r="M639" s="83" t="n"/>
      <c r="N639" s="83" t="n"/>
      <c r="O639" s="84" t="n"/>
      <c r="P639" s="83" t="n"/>
      <c r="Q639" s="83" t="n"/>
      <c r="R639" s="85" t="n"/>
      <c r="S639" s="83" t="n"/>
      <c r="T639" s="86" t="n"/>
      <c r="U639" s="92" t="n"/>
      <c r="V639" s="93" t="n"/>
      <c r="W639" s="93" t="n"/>
      <c r="X639" s="7" t="n"/>
      <c r="Y639" s="7" t="n"/>
      <c r="Z639" s="162" t="n"/>
      <c r="AA639" s="90" t="n"/>
      <c r="AB639" s="16" t="n"/>
      <c r="AC639" s="16" t="n"/>
      <c r="AD639" s="16" t="n"/>
    </row>
    <row r="640" ht="13.1" customHeight="1" s="151">
      <c r="A640" s="78" t="n"/>
      <c r="B640" s="16" t="n"/>
      <c r="C640" s="16" t="n"/>
      <c r="D640" s="16" t="n"/>
      <c r="E640" s="79" t="n"/>
      <c r="F640" s="94" t="n"/>
      <c r="G640" s="95" t="n"/>
      <c r="H640" s="96" t="n"/>
      <c r="I640" s="97" t="n"/>
      <c r="J640" s="97" t="n"/>
      <c r="K640" s="83" t="n"/>
      <c r="L640" s="83" t="n"/>
      <c r="M640" s="83" t="n"/>
      <c r="N640" s="83" t="n"/>
      <c r="O640" s="84" t="n"/>
      <c r="P640" s="83" t="n"/>
      <c r="Q640" s="83" t="n"/>
      <c r="R640" s="85" t="n"/>
      <c r="S640" s="83" t="n"/>
      <c r="T640" s="86" t="n"/>
      <c r="U640" s="92" t="n"/>
      <c r="V640" s="93" t="n"/>
      <c r="W640" s="93" t="n"/>
      <c r="X640" s="7" t="n"/>
      <c r="Y640" s="7" t="n"/>
      <c r="Z640" s="162" t="n"/>
      <c r="AA640" s="90" t="n"/>
      <c r="AB640" s="16" t="n"/>
      <c r="AC640" s="16" t="n"/>
      <c r="AD640" s="16" t="n"/>
    </row>
    <row r="641" ht="13.1" customHeight="1" s="151">
      <c r="A641" s="78" t="n"/>
      <c r="B641" s="16" t="n"/>
      <c r="C641" s="16" t="n"/>
      <c r="D641" s="16" t="n"/>
      <c r="E641" s="79" t="n"/>
      <c r="F641" s="94" t="n"/>
      <c r="G641" s="95" t="n"/>
      <c r="H641" s="96" t="n"/>
      <c r="I641" s="97" t="n"/>
      <c r="J641" s="97" t="n"/>
      <c r="K641" s="83" t="n"/>
      <c r="L641" s="83" t="n"/>
      <c r="M641" s="83" t="n"/>
      <c r="N641" s="83" t="n"/>
      <c r="O641" s="84" t="n"/>
      <c r="P641" s="83" t="n"/>
      <c r="Q641" s="83" t="n"/>
      <c r="R641" s="85" t="n"/>
      <c r="S641" s="83" t="n"/>
      <c r="T641" s="86" t="n"/>
      <c r="U641" s="92" t="n"/>
      <c r="V641" s="93" t="n"/>
      <c r="W641" s="93" t="n"/>
      <c r="X641" s="7" t="n"/>
      <c r="Y641" s="7" t="n"/>
      <c r="Z641" s="162" t="n"/>
      <c r="AA641" s="90" t="n"/>
      <c r="AB641" s="16" t="n"/>
      <c r="AC641" s="16" t="n"/>
      <c r="AD641" s="16" t="n"/>
    </row>
    <row r="642" ht="13.1" customHeight="1" s="151">
      <c r="A642" s="78" t="n"/>
      <c r="B642" s="16" t="n"/>
      <c r="C642" s="16" t="n"/>
      <c r="D642" s="16" t="n"/>
      <c r="E642" s="79" t="n"/>
      <c r="F642" s="94" t="n"/>
      <c r="G642" s="95" t="n"/>
      <c r="H642" s="96" t="n"/>
      <c r="I642" s="97" t="n"/>
      <c r="J642" s="97" t="n"/>
      <c r="K642" s="83" t="n"/>
      <c r="L642" s="83" t="n"/>
      <c r="M642" s="83" t="n"/>
      <c r="N642" s="83" t="n"/>
      <c r="O642" s="84" t="n"/>
      <c r="P642" s="83" t="n"/>
      <c r="Q642" s="83" t="n"/>
      <c r="R642" s="85" t="n"/>
      <c r="S642" s="83" t="n"/>
      <c r="T642" s="86" t="n"/>
      <c r="U642" s="92" t="n"/>
      <c r="V642" s="93" t="n"/>
      <c r="W642" s="93" t="n"/>
      <c r="X642" s="7" t="n"/>
      <c r="Y642" s="7" t="n"/>
      <c r="Z642" s="162" t="n"/>
      <c r="AA642" s="90" t="n"/>
      <c r="AB642" s="16" t="n"/>
      <c r="AC642" s="16" t="n"/>
      <c r="AD642" s="16" t="n"/>
    </row>
    <row r="643" ht="13.1" customHeight="1" s="151">
      <c r="A643" s="78" t="n"/>
      <c r="B643" s="16" t="n"/>
      <c r="C643" s="16" t="n"/>
      <c r="D643" s="16" t="n"/>
      <c r="E643" s="79" t="n"/>
      <c r="F643" s="94" t="n"/>
      <c r="G643" s="95" t="n"/>
      <c r="H643" s="96" t="n"/>
      <c r="I643" s="97" t="n"/>
      <c r="J643" s="97" t="n"/>
      <c r="K643" s="83" t="n"/>
      <c r="L643" s="83" t="n"/>
      <c r="M643" s="83" t="n"/>
      <c r="N643" s="83" t="n"/>
      <c r="O643" s="84" t="n"/>
      <c r="P643" s="83" t="n"/>
      <c r="Q643" s="83" t="n"/>
      <c r="R643" s="85" t="n"/>
      <c r="S643" s="83" t="n"/>
      <c r="T643" s="86" t="n"/>
      <c r="U643" s="92" t="n"/>
      <c r="V643" s="93" t="n"/>
      <c r="W643" s="93" t="n"/>
      <c r="X643" s="7" t="n"/>
      <c r="Y643" s="7" t="n"/>
      <c r="Z643" s="162" t="n"/>
      <c r="AA643" s="90" t="n"/>
      <c r="AB643" s="16" t="n"/>
      <c r="AC643" s="16" t="n"/>
      <c r="AD643" s="16" t="n"/>
    </row>
    <row r="644" ht="13.1" customHeight="1" s="151">
      <c r="A644" s="78" t="n"/>
      <c r="B644" s="16" t="n"/>
      <c r="C644" s="16" t="n"/>
      <c r="D644" s="16" t="n"/>
      <c r="E644" s="79" t="n"/>
      <c r="F644" s="94" t="n"/>
      <c r="G644" s="95" t="n"/>
      <c r="H644" s="96" t="n"/>
      <c r="I644" s="97" t="n"/>
      <c r="J644" s="97" t="n"/>
      <c r="K644" s="83" t="n"/>
      <c r="L644" s="83" t="n"/>
      <c r="M644" s="83" t="n"/>
      <c r="N644" s="83" t="n"/>
      <c r="O644" s="84" t="n"/>
      <c r="P644" s="83" t="n"/>
      <c r="Q644" s="83" t="n"/>
      <c r="R644" s="85" t="n"/>
      <c r="S644" s="83" t="n"/>
      <c r="T644" s="86" t="n"/>
      <c r="U644" s="92" t="n"/>
      <c r="V644" s="93" t="n"/>
      <c r="W644" s="93" t="n"/>
      <c r="X644" s="7" t="n"/>
      <c r="Y644" s="7" t="n"/>
      <c r="Z644" s="162" t="n"/>
      <c r="AA644" s="90" t="n"/>
      <c r="AB644" s="16" t="n"/>
      <c r="AC644" s="16" t="n"/>
      <c r="AD644" s="16" t="n"/>
    </row>
    <row r="645" ht="13.1" customHeight="1" s="151">
      <c r="A645" s="78" t="n"/>
      <c r="B645" s="16" t="n"/>
      <c r="C645" s="16" t="n"/>
      <c r="D645" s="16" t="n"/>
      <c r="E645" s="79" t="n"/>
      <c r="F645" s="94" t="n"/>
      <c r="G645" s="95" t="n"/>
      <c r="H645" s="96" t="n"/>
      <c r="I645" s="97" t="n"/>
      <c r="J645" s="97" t="n"/>
      <c r="K645" s="83" t="n"/>
      <c r="L645" s="83" t="n"/>
      <c r="M645" s="83" t="n"/>
      <c r="N645" s="83" t="n"/>
      <c r="O645" s="84" t="n"/>
      <c r="P645" s="83" t="n"/>
      <c r="Q645" s="83" t="n"/>
      <c r="R645" s="85" t="n"/>
      <c r="S645" s="83" t="n"/>
      <c r="T645" s="86" t="n"/>
      <c r="U645" s="92" t="n"/>
      <c r="V645" s="93" t="n"/>
      <c r="W645" s="93" t="n"/>
      <c r="X645" s="7" t="n"/>
      <c r="Y645" s="7" t="n"/>
      <c r="Z645" s="162" t="n"/>
      <c r="AA645" s="90" t="n"/>
      <c r="AB645" s="16" t="n"/>
      <c r="AC645" s="16" t="n"/>
      <c r="AD645" s="16" t="n"/>
    </row>
    <row r="646" ht="13.1" customHeight="1" s="151">
      <c r="A646" s="78" t="n"/>
      <c r="B646" s="16" t="n"/>
      <c r="C646" s="16" t="n"/>
      <c r="D646" s="16" t="n"/>
      <c r="E646" s="79" t="n"/>
      <c r="F646" s="94" t="n"/>
      <c r="G646" s="95" t="n"/>
      <c r="H646" s="96" t="n"/>
      <c r="I646" s="97" t="n"/>
      <c r="J646" s="97" t="n"/>
      <c r="K646" s="83" t="n"/>
      <c r="L646" s="83" t="n"/>
      <c r="M646" s="83" t="n"/>
      <c r="N646" s="83" t="n"/>
      <c r="O646" s="84" t="n"/>
      <c r="P646" s="83" t="n"/>
      <c r="Q646" s="83" t="n"/>
      <c r="R646" s="85" t="n"/>
      <c r="S646" s="83" t="n"/>
      <c r="T646" s="86" t="n"/>
      <c r="U646" s="92" t="n"/>
      <c r="V646" s="93" t="n"/>
      <c r="W646" s="93" t="n"/>
      <c r="X646" s="7" t="n"/>
      <c r="Y646" s="7" t="n"/>
      <c r="Z646" s="162" t="n"/>
      <c r="AA646" s="90" t="n"/>
      <c r="AB646" s="16" t="n"/>
      <c r="AC646" s="16" t="n"/>
      <c r="AD646" s="16" t="n"/>
    </row>
    <row r="647" ht="13.1" customHeight="1" s="151">
      <c r="A647" s="78" t="n"/>
      <c r="B647" s="16" t="n"/>
      <c r="C647" s="16" t="n"/>
      <c r="D647" s="16" t="n"/>
      <c r="E647" s="79" t="n"/>
      <c r="F647" s="94" t="n"/>
      <c r="G647" s="95" t="n"/>
      <c r="H647" s="96" t="n"/>
      <c r="I647" s="97" t="n"/>
      <c r="J647" s="97" t="n"/>
      <c r="K647" s="83" t="n"/>
      <c r="L647" s="83" t="n"/>
      <c r="M647" s="83" t="n"/>
      <c r="N647" s="83" t="n"/>
      <c r="O647" s="84" t="n"/>
      <c r="P647" s="83" t="n"/>
      <c r="Q647" s="83" t="n"/>
      <c r="R647" s="85" t="n"/>
      <c r="S647" s="83" t="n"/>
      <c r="T647" s="86" t="n"/>
      <c r="U647" s="92" t="n"/>
      <c r="V647" s="93" t="n"/>
      <c r="W647" s="93" t="n"/>
      <c r="X647" s="7" t="n"/>
      <c r="Y647" s="7" t="n"/>
      <c r="Z647" s="162" t="n"/>
      <c r="AA647" s="90" t="n"/>
      <c r="AB647" s="16" t="n"/>
      <c r="AC647" s="16" t="n"/>
      <c r="AD647" s="16" t="n"/>
    </row>
    <row r="648" ht="13.1" customHeight="1" s="151">
      <c r="A648" s="78" t="n"/>
      <c r="B648" s="16" t="n"/>
      <c r="C648" s="16" t="n"/>
      <c r="D648" s="16" t="n"/>
      <c r="E648" s="79" t="n"/>
      <c r="F648" s="94" t="n"/>
      <c r="G648" s="95" t="n"/>
      <c r="H648" s="96" t="n"/>
      <c r="I648" s="97" t="n"/>
      <c r="J648" s="97" t="n"/>
      <c r="K648" s="83" t="n"/>
      <c r="L648" s="83" t="n"/>
      <c r="M648" s="83" t="n"/>
      <c r="N648" s="83" t="n"/>
      <c r="O648" s="84" t="n"/>
      <c r="P648" s="83" t="n"/>
      <c r="Q648" s="83" t="n"/>
      <c r="R648" s="85" t="n"/>
      <c r="S648" s="83" t="n"/>
      <c r="T648" s="86" t="n"/>
      <c r="U648" s="92" t="n"/>
      <c r="V648" s="93" t="n"/>
      <c r="W648" s="93" t="n"/>
      <c r="X648" s="7" t="n"/>
      <c r="Y648" s="7" t="n"/>
      <c r="Z648" s="162" t="n"/>
      <c r="AA648" s="90" t="n"/>
      <c r="AB648" s="16" t="n"/>
      <c r="AC648" s="16" t="n"/>
      <c r="AD648" s="16" t="n"/>
    </row>
    <row r="649" ht="13.1" customHeight="1" s="151">
      <c r="A649" s="78" t="n"/>
      <c r="B649" s="16" t="n"/>
      <c r="C649" s="16" t="n"/>
      <c r="D649" s="16" t="n"/>
      <c r="E649" s="79" t="n"/>
      <c r="F649" s="94" t="n"/>
      <c r="G649" s="95" t="n"/>
      <c r="H649" s="96" t="n"/>
      <c r="I649" s="97" t="n"/>
      <c r="J649" s="97" t="n"/>
      <c r="K649" s="83" t="n"/>
      <c r="L649" s="83" t="n"/>
      <c r="M649" s="83" t="n"/>
      <c r="N649" s="83" t="n"/>
      <c r="O649" s="84" t="n"/>
      <c r="P649" s="83" t="n"/>
      <c r="Q649" s="83" t="n"/>
      <c r="R649" s="85" t="n"/>
      <c r="S649" s="83" t="n"/>
      <c r="T649" s="86" t="n"/>
      <c r="U649" s="92" t="n"/>
      <c r="V649" s="93" t="n"/>
      <c r="W649" s="93" t="n"/>
      <c r="X649" s="7" t="n"/>
      <c r="Y649" s="7" t="n"/>
      <c r="Z649" s="162" t="n"/>
      <c r="AA649" s="90" t="n"/>
      <c r="AB649" s="16" t="n"/>
      <c r="AC649" s="16" t="n"/>
      <c r="AD649" s="16" t="n"/>
    </row>
    <row r="650" ht="13.1" customHeight="1" s="151">
      <c r="A650" s="78" t="n"/>
      <c r="B650" s="16" t="n"/>
      <c r="C650" s="16" t="n"/>
      <c r="D650" s="16" t="n"/>
      <c r="E650" s="79" t="n"/>
      <c r="F650" s="94" t="n"/>
      <c r="G650" s="95" t="n"/>
      <c r="H650" s="96" t="n"/>
      <c r="I650" s="97" t="n"/>
      <c r="J650" s="97" t="n"/>
      <c r="K650" s="83" t="n"/>
      <c r="L650" s="83" t="n"/>
      <c r="M650" s="83" t="n"/>
      <c r="N650" s="83" t="n"/>
      <c r="O650" s="84" t="n"/>
      <c r="P650" s="83" t="n"/>
      <c r="Q650" s="83" t="n"/>
      <c r="R650" s="85" t="n"/>
      <c r="S650" s="83" t="n"/>
      <c r="T650" s="86" t="n"/>
      <c r="U650" s="92" t="n"/>
      <c r="V650" s="93" t="n"/>
      <c r="W650" s="93" t="n"/>
      <c r="X650" s="7" t="n"/>
      <c r="Y650" s="7" t="n"/>
      <c r="Z650" s="162" t="n"/>
      <c r="AA650" s="90" t="n"/>
      <c r="AB650" s="16" t="n"/>
      <c r="AC650" s="16" t="n"/>
      <c r="AD650" s="16" t="n"/>
    </row>
    <row r="651" ht="13.1" customHeight="1" s="151">
      <c r="A651" s="78" t="n"/>
      <c r="B651" s="16" t="n"/>
      <c r="C651" s="16" t="n"/>
      <c r="D651" s="16" t="n"/>
      <c r="E651" s="79" t="n"/>
      <c r="F651" s="94" t="n"/>
      <c r="G651" s="95" t="n"/>
      <c r="H651" s="96" t="n"/>
      <c r="I651" s="97" t="n"/>
      <c r="J651" s="97" t="n"/>
      <c r="K651" s="83" t="n"/>
      <c r="L651" s="83" t="n"/>
      <c r="M651" s="83" t="n"/>
      <c r="N651" s="83" t="n"/>
      <c r="O651" s="84" t="n"/>
      <c r="P651" s="83" t="n"/>
      <c r="Q651" s="83" t="n"/>
      <c r="R651" s="85" t="n"/>
      <c r="S651" s="83" t="n"/>
      <c r="T651" s="86" t="n"/>
      <c r="U651" s="92" t="n"/>
      <c r="V651" s="93" t="n"/>
      <c r="W651" s="93" t="n"/>
      <c r="X651" s="7" t="n"/>
      <c r="Y651" s="7" t="n"/>
      <c r="Z651" s="162" t="n"/>
      <c r="AA651" s="90" t="n"/>
      <c r="AB651" s="16" t="n"/>
      <c r="AC651" s="16" t="n"/>
      <c r="AD651" s="16" t="n"/>
    </row>
    <row r="652" ht="13.1" customHeight="1" s="151">
      <c r="A652" s="78" t="n"/>
      <c r="B652" s="16" t="n"/>
      <c r="C652" s="16" t="n"/>
      <c r="D652" s="16" t="n"/>
      <c r="E652" s="79" t="n"/>
      <c r="F652" s="94" t="n"/>
      <c r="G652" s="95" t="n"/>
      <c r="H652" s="96" t="n"/>
      <c r="I652" s="97" t="n"/>
      <c r="J652" s="97" t="n"/>
      <c r="K652" s="83" t="n"/>
      <c r="L652" s="83" t="n"/>
      <c r="M652" s="83" t="n"/>
      <c r="N652" s="83" t="n"/>
      <c r="O652" s="84" t="n"/>
      <c r="P652" s="83" t="n"/>
      <c r="Q652" s="83" t="n"/>
      <c r="R652" s="85" t="n"/>
      <c r="S652" s="83" t="n"/>
      <c r="T652" s="86" t="n"/>
      <c r="U652" s="92" t="n"/>
      <c r="V652" s="93" t="n"/>
      <c r="W652" s="93" t="n"/>
      <c r="X652" s="7" t="n"/>
      <c r="Y652" s="7" t="n"/>
      <c r="Z652" s="162" t="n"/>
      <c r="AA652" s="90" t="n"/>
      <c r="AB652" s="16" t="n"/>
      <c r="AC652" s="16" t="n"/>
      <c r="AD652" s="16" t="n"/>
    </row>
    <row r="653" ht="13.1" customHeight="1" s="151">
      <c r="A653" s="78" t="n"/>
      <c r="B653" s="16" t="n"/>
      <c r="C653" s="16" t="n"/>
      <c r="D653" s="16" t="n"/>
      <c r="E653" s="79" t="n"/>
      <c r="F653" s="94" t="n"/>
      <c r="G653" s="95" t="n"/>
      <c r="H653" s="96" t="n"/>
      <c r="I653" s="97" t="n"/>
      <c r="J653" s="97" t="n"/>
      <c r="K653" s="83" t="n"/>
      <c r="L653" s="83" t="n"/>
      <c r="M653" s="83" t="n"/>
      <c r="N653" s="83" t="n"/>
      <c r="O653" s="84" t="n"/>
      <c r="P653" s="83" t="n"/>
      <c r="Q653" s="83" t="n"/>
      <c r="R653" s="85" t="n"/>
      <c r="S653" s="83" t="n"/>
      <c r="T653" s="86" t="n"/>
      <c r="U653" s="92" t="n"/>
      <c r="V653" s="93" t="n"/>
      <c r="W653" s="93" t="n"/>
      <c r="X653" s="7" t="n"/>
      <c r="Y653" s="7" t="n"/>
      <c r="Z653" s="162" t="n"/>
      <c r="AA653" s="90" t="n"/>
      <c r="AB653" s="16" t="n"/>
      <c r="AC653" s="16" t="n"/>
      <c r="AD653" s="16" t="n"/>
    </row>
    <row r="654" ht="13.1" customHeight="1" s="151">
      <c r="A654" s="78" t="n"/>
      <c r="B654" s="16" t="n"/>
      <c r="C654" s="16" t="n"/>
      <c r="D654" s="16" t="n"/>
      <c r="E654" s="79" t="n"/>
      <c r="F654" s="94" t="n"/>
      <c r="G654" s="95" t="n"/>
      <c r="H654" s="96" t="n"/>
      <c r="I654" s="97" t="n"/>
      <c r="J654" s="97" t="n"/>
      <c r="K654" s="83" t="n"/>
      <c r="L654" s="83" t="n"/>
      <c r="M654" s="83" t="n"/>
      <c r="N654" s="83" t="n"/>
      <c r="O654" s="84" t="n"/>
      <c r="P654" s="83" t="n"/>
      <c r="Q654" s="83" t="n"/>
      <c r="R654" s="85" t="n"/>
      <c r="S654" s="83" t="n"/>
      <c r="T654" s="86" t="n"/>
      <c r="U654" s="92" t="n"/>
      <c r="V654" s="93" t="n"/>
      <c r="W654" s="93" t="n"/>
      <c r="X654" s="7" t="n"/>
      <c r="Y654" s="7" t="n"/>
      <c r="Z654" s="162" t="n"/>
      <c r="AA654" s="90" t="n"/>
      <c r="AB654" s="16" t="n"/>
      <c r="AC654" s="16" t="n"/>
      <c r="AD654" s="16" t="n"/>
    </row>
    <row r="655" ht="13.1" customHeight="1" s="151">
      <c r="A655" s="78" t="n"/>
      <c r="B655" s="16" t="n"/>
      <c r="C655" s="16" t="n"/>
      <c r="D655" s="16" t="n"/>
      <c r="E655" s="79" t="n"/>
      <c r="F655" s="94" t="n"/>
      <c r="G655" s="95" t="n"/>
      <c r="H655" s="96" t="n"/>
      <c r="I655" s="97" t="n"/>
      <c r="J655" s="97" t="n"/>
      <c r="K655" s="83" t="n"/>
      <c r="L655" s="83" t="n"/>
      <c r="M655" s="83" t="n"/>
      <c r="N655" s="83" t="n"/>
      <c r="O655" s="84" t="n"/>
      <c r="P655" s="83" t="n"/>
      <c r="Q655" s="83" t="n"/>
      <c r="R655" s="85" t="n"/>
      <c r="S655" s="83" t="n"/>
      <c r="T655" s="86" t="n"/>
      <c r="U655" s="92" t="n"/>
      <c r="V655" s="93" t="n"/>
      <c r="W655" s="93" t="n"/>
      <c r="X655" s="7" t="n"/>
      <c r="Y655" s="7" t="n"/>
      <c r="Z655" s="162" t="n"/>
      <c r="AA655" s="90" t="n"/>
      <c r="AB655" s="16" t="n"/>
      <c r="AC655" s="16" t="n"/>
      <c r="AD655" s="16" t="n"/>
    </row>
    <row r="656" ht="13.1" customHeight="1" s="151">
      <c r="A656" s="78" t="n"/>
      <c r="B656" s="16" t="n"/>
      <c r="C656" s="16" t="n"/>
      <c r="D656" s="16" t="n"/>
      <c r="E656" s="79" t="n"/>
      <c r="F656" s="94" t="n"/>
      <c r="G656" s="95" t="n"/>
      <c r="H656" s="96" t="n"/>
      <c r="I656" s="97" t="n"/>
      <c r="J656" s="97" t="n"/>
      <c r="K656" s="83" t="n"/>
      <c r="L656" s="83" t="n"/>
      <c r="M656" s="83" t="n"/>
      <c r="N656" s="83" t="n"/>
      <c r="O656" s="84" t="n"/>
      <c r="P656" s="83" t="n"/>
      <c r="Q656" s="83" t="n"/>
      <c r="R656" s="85" t="n"/>
      <c r="S656" s="83" t="n"/>
      <c r="T656" s="86" t="n"/>
      <c r="U656" s="92" t="n"/>
      <c r="V656" s="93" t="n"/>
      <c r="W656" s="93" t="n"/>
      <c r="X656" s="7" t="n"/>
      <c r="Y656" s="7" t="n"/>
      <c r="Z656" s="162" t="n"/>
      <c r="AA656" s="90" t="n"/>
      <c r="AB656" s="16" t="n"/>
      <c r="AC656" s="16" t="n"/>
      <c r="AD656" s="16" t="n"/>
    </row>
    <row r="657" ht="13.1" customHeight="1" s="151">
      <c r="A657" s="78" t="n"/>
      <c r="B657" s="16" t="n"/>
      <c r="C657" s="16" t="n"/>
      <c r="D657" s="16" t="n"/>
      <c r="E657" s="79" t="n"/>
      <c r="F657" s="94" t="n"/>
      <c r="G657" s="95" t="n"/>
      <c r="H657" s="96" t="n"/>
      <c r="I657" s="97" t="n"/>
      <c r="J657" s="97" t="n"/>
      <c r="K657" s="83" t="n"/>
      <c r="L657" s="83" t="n"/>
      <c r="M657" s="83" t="n"/>
      <c r="N657" s="83" t="n"/>
      <c r="O657" s="84" t="n"/>
      <c r="P657" s="83" t="n"/>
      <c r="Q657" s="83" t="n"/>
      <c r="R657" s="85" t="n"/>
      <c r="S657" s="83" t="n"/>
      <c r="T657" s="86" t="n"/>
      <c r="U657" s="92" t="n"/>
      <c r="V657" s="93" t="n"/>
      <c r="W657" s="93" t="n"/>
      <c r="X657" s="7" t="n"/>
      <c r="Y657" s="7" t="n"/>
      <c r="Z657" s="162" t="n"/>
      <c r="AA657" s="90" t="n"/>
      <c r="AB657" s="16" t="n"/>
      <c r="AC657" s="16" t="n"/>
      <c r="AD657" s="16" t="n"/>
    </row>
    <row r="658" ht="13.1" customHeight="1" s="151">
      <c r="A658" s="78" t="n"/>
      <c r="B658" s="16" t="n"/>
      <c r="C658" s="16" t="n"/>
      <c r="D658" s="16" t="n"/>
      <c r="E658" s="79" t="n"/>
      <c r="F658" s="94" t="n"/>
      <c r="G658" s="95" t="n"/>
      <c r="H658" s="96" t="n"/>
      <c r="I658" s="97" t="n"/>
      <c r="J658" s="97" t="n"/>
      <c r="K658" s="83" t="n"/>
      <c r="L658" s="83" t="n"/>
      <c r="M658" s="83" t="n"/>
      <c r="N658" s="83" t="n"/>
      <c r="O658" s="84" t="n"/>
      <c r="P658" s="83" t="n"/>
      <c r="Q658" s="83" t="n"/>
      <c r="R658" s="85" t="n"/>
      <c r="S658" s="83" t="n"/>
      <c r="T658" s="86" t="n"/>
      <c r="U658" s="92" t="n"/>
      <c r="V658" s="93" t="n"/>
      <c r="W658" s="93" t="n"/>
      <c r="X658" s="7" t="n"/>
      <c r="Y658" s="7" t="n"/>
      <c r="Z658" s="162" t="n"/>
      <c r="AA658" s="90" t="n"/>
      <c r="AB658" s="16" t="n"/>
      <c r="AC658" s="16" t="n"/>
      <c r="AD658" s="16" t="n"/>
    </row>
    <row r="659" ht="13.1" customHeight="1" s="151">
      <c r="A659" s="78" t="n"/>
      <c r="B659" s="16" t="n"/>
      <c r="C659" s="16" t="n"/>
      <c r="D659" s="16" t="n"/>
      <c r="E659" s="79" t="n"/>
      <c r="F659" s="94" t="n"/>
      <c r="G659" s="95" t="n"/>
      <c r="H659" s="96" t="n"/>
      <c r="I659" s="97" t="n"/>
      <c r="J659" s="97" t="n"/>
      <c r="K659" s="83" t="n"/>
      <c r="L659" s="83" t="n"/>
      <c r="M659" s="83" t="n"/>
      <c r="N659" s="83" t="n"/>
      <c r="O659" s="84" t="n"/>
      <c r="P659" s="83" t="n"/>
      <c r="Q659" s="83" t="n"/>
      <c r="R659" s="85" t="n"/>
      <c r="S659" s="83" t="n"/>
      <c r="T659" s="86" t="n"/>
      <c r="U659" s="92" t="n"/>
      <c r="V659" s="93" t="n"/>
      <c r="W659" s="93" t="n"/>
      <c r="X659" s="7" t="n"/>
      <c r="Y659" s="7" t="n"/>
      <c r="Z659" s="162" t="n"/>
      <c r="AA659" s="90" t="n"/>
      <c r="AB659" s="16" t="n"/>
      <c r="AC659" s="16" t="n"/>
      <c r="AD659" s="16" t="n"/>
    </row>
    <row r="660" ht="13.1" customHeight="1" s="151">
      <c r="A660" s="78" t="n"/>
      <c r="B660" s="16" t="n"/>
      <c r="C660" s="16" t="n"/>
      <c r="D660" s="16" t="n"/>
      <c r="E660" s="79" t="n"/>
      <c r="F660" s="94" t="n"/>
      <c r="G660" s="95" t="n"/>
      <c r="H660" s="96" t="n"/>
      <c r="I660" s="97" t="n"/>
      <c r="J660" s="97" t="n"/>
      <c r="K660" s="83" t="n"/>
      <c r="L660" s="83" t="n"/>
      <c r="M660" s="83" t="n"/>
      <c r="N660" s="83" t="n"/>
      <c r="O660" s="84" t="n"/>
      <c r="P660" s="83" t="n"/>
      <c r="Q660" s="83" t="n"/>
      <c r="R660" s="85" t="n"/>
      <c r="S660" s="83" t="n"/>
      <c r="T660" s="86" t="n"/>
      <c r="U660" s="92" t="n"/>
      <c r="V660" s="93" t="n"/>
      <c r="W660" s="93" t="n"/>
      <c r="X660" s="7" t="n"/>
      <c r="Y660" s="7" t="n"/>
      <c r="Z660" s="162" t="n"/>
      <c r="AA660" s="90" t="n"/>
      <c r="AB660" s="16" t="n"/>
      <c r="AC660" s="16" t="n"/>
      <c r="AD660" s="16" t="n"/>
    </row>
    <row r="661" ht="13.1" customHeight="1" s="151">
      <c r="A661" s="78" t="n"/>
      <c r="B661" s="16" t="n"/>
      <c r="C661" s="16" t="n"/>
      <c r="D661" s="16" t="n"/>
      <c r="E661" s="79" t="n"/>
      <c r="F661" s="94" t="n"/>
      <c r="G661" s="95" t="n"/>
      <c r="H661" s="96" t="n"/>
      <c r="I661" s="97" t="n"/>
      <c r="J661" s="97" t="n"/>
      <c r="K661" s="83" t="n"/>
      <c r="L661" s="83" t="n"/>
      <c r="M661" s="83" t="n"/>
      <c r="N661" s="83" t="n"/>
      <c r="O661" s="84" t="n"/>
      <c r="P661" s="83" t="n"/>
      <c r="Q661" s="83" t="n"/>
      <c r="R661" s="85" t="n"/>
      <c r="S661" s="83" t="n"/>
      <c r="T661" s="86" t="n"/>
      <c r="U661" s="92" t="n"/>
      <c r="V661" s="93" t="n"/>
      <c r="W661" s="93" t="n"/>
      <c r="X661" s="7" t="n"/>
      <c r="Y661" s="7" t="n"/>
      <c r="Z661" s="162" t="n"/>
      <c r="AA661" s="90" t="n"/>
      <c r="AB661" s="16" t="n"/>
      <c r="AC661" s="16" t="n"/>
      <c r="AD661" s="16" t="n"/>
    </row>
    <row r="662" ht="13.1" customHeight="1" s="151">
      <c r="A662" s="78" t="n"/>
      <c r="B662" s="16" t="n"/>
      <c r="C662" s="16" t="n"/>
      <c r="D662" s="16" t="n"/>
      <c r="E662" s="79" t="n"/>
      <c r="F662" s="94" t="n"/>
      <c r="G662" s="95" t="n"/>
      <c r="H662" s="96" t="n"/>
      <c r="I662" s="97" t="n"/>
      <c r="J662" s="97" t="n"/>
      <c r="K662" s="83" t="n"/>
      <c r="L662" s="83" t="n"/>
      <c r="M662" s="83" t="n"/>
      <c r="N662" s="83" t="n"/>
      <c r="O662" s="84" t="n"/>
      <c r="P662" s="83" t="n"/>
      <c r="Q662" s="83" t="n"/>
      <c r="R662" s="85" t="n"/>
      <c r="S662" s="83" t="n"/>
      <c r="T662" s="86" t="n"/>
      <c r="U662" s="92" t="n"/>
      <c r="V662" s="93" t="n"/>
      <c r="W662" s="93" t="n"/>
      <c r="X662" s="7" t="n"/>
      <c r="Y662" s="7" t="n"/>
      <c r="Z662" s="162" t="n"/>
      <c r="AA662" s="90" t="n"/>
      <c r="AB662" s="16" t="n"/>
      <c r="AC662" s="16" t="n"/>
      <c r="AD662" s="16" t="n"/>
    </row>
    <row r="663" ht="13.1" customHeight="1" s="151">
      <c r="A663" s="78" t="n"/>
      <c r="B663" s="16" t="n"/>
      <c r="C663" s="16" t="n"/>
      <c r="D663" s="16" t="n"/>
      <c r="E663" s="79" t="n"/>
      <c r="F663" s="94" t="n"/>
      <c r="G663" s="95" t="n"/>
      <c r="H663" s="96" t="n"/>
      <c r="I663" s="97" t="n"/>
      <c r="J663" s="97" t="n"/>
      <c r="K663" s="83" t="n"/>
      <c r="L663" s="83" t="n"/>
      <c r="M663" s="83" t="n"/>
      <c r="N663" s="83" t="n"/>
      <c r="O663" s="84" t="n"/>
      <c r="P663" s="83" t="n"/>
      <c r="Q663" s="83" t="n"/>
      <c r="R663" s="85" t="n"/>
      <c r="S663" s="83" t="n"/>
      <c r="T663" s="86" t="n"/>
      <c r="U663" s="92" t="n"/>
      <c r="V663" s="93" t="n"/>
      <c r="W663" s="93" t="n"/>
      <c r="X663" s="7" t="n"/>
      <c r="Y663" s="7" t="n"/>
      <c r="Z663" s="162" t="n"/>
      <c r="AA663" s="90" t="n"/>
      <c r="AB663" s="16" t="n"/>
      <c r="AC663" s="16" t="n"/>
      <c r="AD663" s="16" t="n"/>
    </row>
  </sheetData>
  <mergeCells count="3">
    <mergeCell ref="B55:D55"/>
    <mergeCell ref="B35:D35"/>
    <mergeCell ref="B76:D76"/>
  </mergeCells>
  <conditionalFormatting sqref="F1:F346 F348:F443">
    <cfRule type="duplicateValues" priority="2" dxfId="1" stopIfTrue="1"/>
  </conditionalFormatting>
  <dataValidations count="2">
    <dataValidation sqref="D2:D34 D36 D92:D96 D98:D169 D171:D182 D231:D264 D273:D274 D276:D283 D285:D289 D295:D304 D319:D321 D342:D344 D383:D405 D408:D410 D413:D439" showDropDown="0" showInputMessage="0" showErrorMessage="1" allowBlank="1" type="list">
      <formula1>"电商,品牌"</formula1>
    </dataValidation>
    <dataValidation sqref="D37:D54 D56:D75 D77:D91 D170 D183:D230 D266:D272 D275 D284 D290:D291 D293:D294 D305:D318 D322:D341 D345:D346 D348:D382 D406:D407" showDropDown="0" showInputMessage="0" showErrorMessage="1" allowBlank="1" type="list">
      <formula1>"品牌,电商"</formula1>
    </dataValidation>
  </dataValidations>
  <hyperlinks>
    <hyperlink xmlns:r="http://schemas.openxmlformats.org/officeDocument/2006/relationships" ref="G2" display="https://www.xingtu.cn/ad/creator/author-homepage/douyin-video/6865930306168291342?market_track_id=8PI13ORZW6DIKFVNCWUC&amp;search_session_id=7606288113703157810&amp;possessStarId&amp;active_tab=content_performance&amp;active_module=.content-video-list-panel&amp;content_key_word=%E7%94%B7%E7%94%9F%E7%8B%AC%E5%B1%85" r:id="rId1"/>
    <hyperlink xmlns:r="http://schemas.openxmlformats.org/officeDocument/2006/relationships" ref="H2" display="https://www.douyin.com/user/MS4wLjABAAAAbLJBPtEluthKgB5iEdHmsMZP39RVMHP2agqPtCdCXMA" r:id="rId2"/>
    <hyperlink xmlns:r="http://schemas.openxmlformats.org/officeDocument/2006/relationships" ref="G3" display="https://www.xingtu.cn/ad/creator/author-homepage/douyin-video/6629723095294803972?market_track_id=6Q06C4YZ12E8VGLA5LM5&amp;search_session_id=7605440788826193930&amp;possessStarId" r:id="rId3"/>
    <hyperlink xmlns:r="http://schemas.openxmlformats.org/officeDocument/2006/relationships" ref="H3" display="https://www.douyin.com/user/MS4wLjABAAAAw8NhdxOpRKRDinaMIQO86uMbGBiSUeWIzP2hsZhgilM" r:id="rId4"/>
    <hyperlink xmlns:r="http://schemas.openxmlformats.org/officeDocument/2006/relationships" ref="G4" display="https://www.xingtu.cn/ad/creator/author-homepage/douyin-video/7223968676859346983" r:id="rId5"/>
    <hyperlink xmlns:r="http://schemas.openxmlformats.org/officeDocument/2006/relationships" ref="H4" display="https://www.douyin.com/user/MS4wLjABAAAA-AxocquhRbdEnJgt4wwUHZvX8UjXsfFZpJkCtSsviQw" r:id="rId6"/>
    <hyperlink xmlns:r="http://schemas.openxmlformats.org/officeDocument/2006/relationships" ref="G5" display="https://www.xingtu.cn/ad/creator/author-homepage/douyin-video/7009167040824999967" r:id="rId7"/>
    <hyperlink xmlns:r="http://schemas.openxmlformats.org/officeDocument/2006/relationships" ref="H5" display="https://www.douyin.com/user/MS4wLjABAAAA13sw7b10xdM6P0VHXa8RRYkgKvAw5ZH9O1zA0sWrFrA" r:id="rId8"/>
    <hyperlink xmlns:r="http://schemas.openxmlformats.org/officeDocument/2006/relationships" ref="G6" display="https://www.xingtu.cn/ad/creator/author-homepage/douyin-video/6852032860858089487?market_track_id=I3AXFCO2FFOA5SYPCT78&amp;search_session_id=7605451398251888690&amp;possessStarId" r:id="rId9"/>
    <hyperlink xmlns:r="http://schemas.openxmlformats.org/officeDocument/2006/relationships" ref="H6" display="https://www.douyin.com/user/MS4wLjABAAAA5eWz7uX9robWyIw2haX9428cHpyuIrWUeDqFI1J7mko" r:id="rId10"/>
    <hyperlink xmlns:r="http://schemas.openxmlformats.org/officeDocument/2006/relationships" ref="G7" display="https://www.xingtu.cn/ad/creator/author-homepage/douyin-video/7392820710936150043?market_track_id=I3AXFCO2FFOA5SYPCT78&amp;search_session_id=7605461347393945650&amp;possessStarId" r:id="rId11"/>
    <hyperlink xmlns:r="http://schemas.openxmlformats.org/officeDocument/2006/relationships" ref="H7" display="https://www.douyin.com/user/MS4wLjABAAAAAWhAWhUAyY2CutbyZn9yXoE7ZyMpzdRzxeV72Znt5qI" r:id="rId12"/>
    <hyperlink xmlns:r="http://schemas.openxmlformats.org/officeDocument/2006/relationships" ref="G8" display="https://www.xingtu.cn/ad/creator/author-homepage/douyin-video/6896359756827459591?market_track_id=BU8GKV5W3XFJCTREMRGB&amp;search_session_id=7605444486264520755&amp;possessStarId" r:id="rId13"/>
    <hyperlink xmlns:r="http://schemas.openxmlformats.org/officeDocument/2006/relationships" ref="H8" display="https://www.douyin.com/user/MS4wLjABAAAA5iMhOQOEbK1fkp3ALCP3QrUcBfWiw-CElER1wF2ybX4" r:id="rId14"/>
    <hyperlink xmlns:r="http://schemas.openxmlformats.org/officeDocument/2006/relationships" ref="G9" display="https://www.xingtu.cn/ad/creator/author/douyin/7356549493598355506/1?marketType=&amp;btm_ppre=a0.b0.c0.d0&amp;btm_pre=a4738.b27311.c0.author-card&amp;btm_show_id=d06bfb35-b92e-4036-be94-128d3a1be541" r:id="rId15"/>
    <hyperlink xmlns:r="http://schemas.openxmlformats.org/officeDocument/2006/relationships" ref="H9" display="https://www.douyin.com/user/MS4wLjABAAAAQEr3rgm6HFh0n-GW8u1rag2L2KTnirio3s7bxv1Xhgo" r:id="rId16"/>
    <hyperlink xmlns:r="http://schemas.openxmlformats.org/officeDocument/2006/relationships" ref="G10" display="https://www.xingtu.cn/ad/creator/author/douyin/7205496090076905505" r:id="rId17"/>
    <hyperlink xmlns:r="http://schemas.openxmlformats.org/officeDocument/2006/relationships" ref="H10" display="https://www.douyin.com/user/MS4wLjABAAAAdy54iMw9v0rItTFjtmCXCXU5XTPJyBwGMm00s481eiuqFyJSLyKtT5_cU2bF4wR_" r:id="rId18"/>
    <hyperlink xmlns:r="http://schemas.openxmlformats.org/officeDocument/2006/relationships" ref="G11" display="https://www.xingtu.cn/ad/creator/author-homepage/douyin-video/7151686548088586254?market_track_id=FLCBD4RXT5HYWEMG7UHR&amp;search_session_id=7611816153388367918&amp;possessStarId" r:id="rId19"/>
    <hyperlink xmlns:r="http://schemas.openxmlformats.org/officeDocument/2006/relationships" ref="H11" display="https://www.douyin.com/user/MS4wLjABAAAA-B8K8qRcEYfVBRrGhcVxZa5o1rm4kukc7Oq3j21tEHU" r:id="rId20"/>
    <hyperlink xmlns:r="http://schemas.openxmlformats.org/officeDocument/2006/relationships" ref="G12" display="https://www.xingtu.cn/ad/creator/author/douyin/7398789700661542921" r:id="rId21"/>
    <hyperlink xmlns:r="http://schemas.openxmlformats.org/officeDocument/2006/relationships" ref="H12" display="https://www.douyin.com/user/MS4wLjABAAAAAvf2gi6BdyGzGUhSeEVAJN2wJ5712EoZhwCZXs7u9x5grbnAcdihsJcnW72wKJ6_" r:id="rId22"/>
    <hyperlink xmlns:r="http://schemas.openxmlformats.org/officeDocument/2006/relationships" ref="G13" display="https://www.xingtu.cn/ad/creator/author/douyin/7336866178540765193/1?marketType=&amp;btm_ppre=a0.b0.c0.d0&amp;btm_pre=a4738.b27311.c0.author-card&amp;btm_show_id=d06bfb35-b92e-4036-be94-128d3a1be541" r:id="rId23"/>
    <hyperlink xmlns:r="http://schemas.openxmlformats.org/officeDocument/2006/relationships" ref="H13" display="https://www.douyin.com/user/MS4wLjABAAAA8B1gm6Nu-V21Aj9faU1H1ovL0O6tKESdPfC4uuecqy0" r:id="rId24"/>
    <hyperlink xmlns:r="http://schemas.openxmlformats.org/officeDocument/2006/relationships" ref="G14" display="https://www.xingtu.cn/ad/creator/author/douyin/6854183693821411342/1?search_session_id=7293820566220931098&amp;video_type=2&amp;_route_from=from_page%3DMarket%26search_session_id%3D7293820566220931098%26is_for_order%3D1%26platform_source%3D1%26key%3D%25E6%259E%2597%25E5%258C%2597%25E7%259A%2584%25E6%259E%2597%26order_by%3Dscore%26sort_type%3D2%26search_scene%3D1%26display_scene%3D1%26limit%3D20%26page%3D1%26regular_filter%3D%255Bobject%2BObject%255D%26task_category%3D1%26package_id%3D%26is_filter%3D0%26current_tab%3D1%26displayScene%3Dmarket%26is_limit_time_price%3D0&amp;btm_ppre=a0.b0.c0.d0&amp;btm_pre=a4738.b16016.c26503.d3332&amp;btm_show_id=49a1515b-2fec-49c9-aacf-07ac4e5fb5fb&amp;btm_pre_unit_params=%257B%2522platform_source%2522%253A1%252C%2522key%2522%253A%2522%25E6%259E%2597%25E5%258C%2597%25E7%259A%2584%25E6%259E%2597%2522%252C%2522order_by%2522%253A%2522score%2522%252C%2522sort_type%2522%253A2%252C%2522search_scene%2522%253A1%252C%2522display_scene%2522%253A1%252C%2522limit%2522%253A20%252C%2522page" r:id="rId25"/>
    <hyperlink xmlns:r="http://schemas.openxmlformats.org/officeDocument/2006/relationships" ref="H14" display="https://www.douyin.com/user/MS4wLjABAAAAUmQrXVKInsrXEg3hPFSuq23ZqInyfWXUWdaHArYi2OY" r:id="rId26"/>
    <hyperlink xmlns:r="http://schemas.openxmlformats.org/officeDocument/2006/relationships" ref="G15" display="https://www.xingtu.cn/ad/creator/author/douyin/7401427182419247113" r:id="rId27"/>
    <hyperlink xmlns:r="http://schemas.openxmlformats.org/officeDocument/2006/relationships" ref="H15" display="https://www.douyin.com/user/MS4wLjABAAAAkueLcwUl-2FFXjGAkoYMxnoCK0Bx5j8CcRpYaAlpsJQ" r:id="rId28"/>
    <hyperlink xmlns:r="http://schemas.openxmlformats.org/officeDocument/2006/relationships" ref="G16" display="https://www.xingtu.cn/ad/creator/author/douyin/7173687464870019076" r:id="rId29"/>
    <hyperlink xmlns:r="http://schemas.openxmlformats.org/officeDocument/2006/relationships" ref="H16" display="https://www.douyin.com/user/MS4wLjABAAAAIFj1JP9UPWhs18VcYR0GWnoaG0_3IuysonhEak_y-E9sMIancFJvxAv5ouUg-AfN" r:id="rId30"/>
    <hyperlink xmlns:r="http://schemas.openxmlformats.org/officeDocument/2006/relationships" ref="G17" display="https://www.xingtu.cn/ad/creator/author-homepage/douyin-video/6870163126906519565?market_track_id=FLCBD4RXT5HYWEMG7UHR&amp;search_session_id=7611812381207265326&amp;possessStarId" r:id="rId31"/>
    <hyperlink xmlns:r="http://schemas.openxmlformats.org/officeDocument/2006/relationships" ref="H17" display="https://www.douyin.com/user/MS4wLjABAAAAytQ5bEH0kqRGdZKusd4gNP8-Hpu2cStRb0eBe4zkekw" r:id="rId32"/>
    <hyperlink xmlns:r="http://schemas.openxmlformats.org/officeDocument/2006/relationships" ref="G18" display="https://www.xingtu.cn/ad/creator/author/douyin/7187717265784045571" r:id="rId33"/>
    <hyperlink xmlns:r="http://schemas.openxmlformats.org/officeDocument/2006/relationships" ref="H18" display="https://www.douyin.com/user/MS4wLjABAAAA36ygQUleS8zQJWN96YBvSNwcASyhmwtmalAqx_BXrhQ" r:id="rId34"/>
    <hyperlink xmlns:r="http://schemas.openxmlformats.org/officeDocument/2006/relationships" ref="G19" display="https://www.xingtu.cn/ad/creator/author-homepage/douyin-video/6845479040711655437?market_track_id=FLCBD4RXT5HYWEMG7UHR&amp;search_session_id=7611816153388367918&amp;possessStarId" r:id="rId35"/>
    <hyperlink xmlns:r="http://schemas.openxmlformats.org/officeDocument/2006/relationships" ref="H19" display="https://www.douyin.com/user/MS4wLjABAAAAHidCXCW5lERrbOCVnFNYPYPgMDo-3ABhbupZNm8loQHeB6nGV9d98e77DVqKhwLz" r:id="rId36"/>
    <hyperlink xmlns:r="http://schemas.openxmlformats.org/officeDocument/2006/relationships" ref="G20" display="https://www.xingtu.cn/ad/creator/author/douyin/6986582519093149727" r:id="rId37"/>
    <hyperlink xmlns:r="http://schemas.openxmlformats.org/officeDocument/2006/relationships" ref="H20" display="https://www.douyin.com/user/MS4wLjABAAAAiqXKqFZq0zlTPzqTlkrc2n76duP8WLouphqLRgLEswk" r:id="rId38"/>
    <hyperlink xmlns:r="http://schemas.openxmlformats.org/officeDocument/2006/relationships" ref="G21" display="https://www.xingtu.cn/ad/creator/author-homepage/douyin-video/7056697681633673254?market_track_id=5MSRLKT79NBF9NI0VRJU&amp;search_session_id=7605882072573870089&amp;possessStarId" r:id="rId39"/>
    <hyperlink xmlns:r="http://schemas.openxmlformats.org/officeDocument/2006/relationships" ref="H21" display="https://www.douyin.com/user/MS4wLjABAAAAGMRZ4QN-LI4wGhJlz6QYxBmj8wo9EV9ehqyzHZvon3DoJucSdZL6W2iIXsWGjl2i" r:id="rId40"/>
    <hyperlink xmlns:r="http://schemas.openxmlformats.org/officeDocument/2006/relationships" ref="G22" display="https://xingtu.cn/ad/creator/author/douyin/6947639719861682212" r:id="rId41"/>
    <hyperlink xmlns:r="http://schemas.openxmlformats.org/officeDocument/2006/relationships" ref="H22" display="https://v.douyin.com/i59tPD8u/" r:id="rId42"/>
    <hyperlink xmlns:r="http://schemas.openxmlformats.org/officeDocument/2006/relationships" ref="G23" display="https://www.xingtu.cn/ad/creator/author-homepage/douyin-video/7299303437693354022?market_track_id=5W4GPBJ2JJT2E799W4F4&amp;search_session_id=7551686984231141426&amp;possessStarId&amp;active_tab=content_performance&amp;active_module=.content-video-list-panel&amp;content_key_word=%E6%B5%8B%E8%AF%84%E8%80%81%E7%8B%97" r:id="rId43"/>
    <hyperlink xmlns:r="http://schemas.openxmlformats.org/officeDocument/2006/relationships" ref="H23" display="https://www.douyin.com/user/MS4wLjABAAAA_1uM9bextDP_cjub5FDnHh-A-7qvt_nKvQ-QShfxEQ8pvWd4C6tEXMR9G4UhcZZA" r:id="rId44"/>
    <hyperlink xmlns:r="http://schemas.openxmlformats.org/officeDocument/2006/relationships" ref="G24" display="https://www.xingtu.cn/ad/creator/author-homepage/douyin-video/6870165875882721288?market_track_id=28IV43G9Y3MLDF90H43F&amp;search_session_id=7605449129901080603&amp;possessStarId" r:id="rId45"/>
    <hyperlink xmlns:r="http://schemas.openxmlformats.org/officeDocument/2006/relationships" ref="H24" display="https://www.douyin.com/user/MS4wLjABAAAAHEZvl70FPnX_9i3jFHyJUQcIer7Hz2124cXXeOlxAgs" r:id="rId46"/>
    <hyperlink xmlns:r="http://schemas.openxmlformats.org/officeDocument/2006/relationships" ref="G25" display="https://www.xingtu.cn/ad/creator/author-homepage/douyin-video/6795431243358928903?market_track_id=23A7DS8IV3VZ3BZD3ORA&amp;search_session_id=7605567873494908978&amp;possessStarId" r:id="rId47"/>
    <hyperlink xmlns:r="http://schemas.openxmlformats.org/officeDocument/2006/relationships" ref="H25" display="https://www.douyin.com/user/MS4wLjABAAAAst53hCwDJvgLvx0QuB5nt9Ev23U_06ghD9oYzN5YIx8" r:id="rId48"/>
    <hyperlink xmlns:r="http://schemas.openxmlformats.org/officeDocument/2006/relationships" ref="G26" display="https://www.xingtu.cn/ad/creator/author/douyin/7346524774392135706/1?marketType=&amp;btm_ppre=a0.b0.c0.d0&amp;btm_pre=a4738.b27311.c0.author-card&amp;btm_show_id=d06bfb35-b92e-4036-be94-128d3a1be541" r:id="rId49"/>
    <hyperlink xmlns:r="http://schemas.openxmlformats.org/officeDocument/2006/relationships" ref="H26" display="https://www.douyin.com/user/MS4wLjABAAAArxL0BSEqY3kbcD7CYFoRZ9fZnGSXxsW3arUEmhRE264" r:id="rId50"/>
    <hyperlink xmlns:r="http://schemas.openxmlformats.org/officeDocument/2006/relationships" ref="G27" display="https://www.xingtu.cn/ad/creator/author/douyin/7402836723379470373/1?marketType=&amp;btm_ppre=a0.b0.c0.d0&amp;btm_pre=a4738.b27311.c0.author-card&amp;btm_show_id=d06bfb35-b92e-4036-be94-128d3a1be541" r:id="rId51"/>
    <hyperlink xmlns:r="http://schemas.openxmlformats.org/officeDocument/2006/relationships" ref="H27" display="https://www.douyin.com/user/MS4wLjABAAAAlVRAIx5eEEh9C-T760TYtgItJlYm3gjuZz68l8LC28KukBXOUR5uqdM0ngQ1I7_E" r:id="rId52"/>
    <hyperlink xmlns:r="http://schemas.openxmlformats.org/officeDocument/2006/relationships" ref="G28" display="https://www.xingtu.cn/ad/creator/author/douyin/6826619167102205959/1?btm_ppre=a0.b0.c0.d0&amp;btm_pre=a4738.b27311.c0.author-card&amp;btm_show_id=089b2a17-f6f4-4103-84f7-6bda5e1c12e0" r:id="rId53"/>
    <hyperlink xmlns:r="http://schemas.openxmlformats.org/officeDocument/2006/relationships" ref="H28" display="https://www.douyin.com/user/MS4wLjABAAAA_gBK-ZwbzJaBiimasLqFsM9X4t0u5prBW2XI_YbYPkcY3VeT0-2JRtiu7VkJZoQs" r:id="rId54"/>
    <hyperlink xmlns:r="http://schemas.openxmlformats.org/officeDocument/2006/relationships" ref="G29" display="https://www.xingtu.cn/ad/creator/author/douyin/7233312685742358586/1?btm_ppre=a0.b0.c0.d0&amp;btm_pre=a4738.b27311.c0.author-card&amp;btm_show_id=3c0a7dee-95cd-4952-9994-ce5f968043c7" r:id="rId55"/>
    <hyperlink xmlns:r="http://schemas.openxmlformats.org/officeDocument/2006/relationships" ref="H29" display="https://www.douyin.com/user/MS4wLjABAAAA1wy_xe0j9NsoN04EQ05GMFDfbZpiXA12RPyDEIPWqG4" r:id="rId56"/>
    <hyperlink xmlns:r="http://schemas.openxmlformats.org/officeDocument/2006/relationships" ref="G30" display="https://www.xingtu.cn/ad/creator/author-homepage/douyin-video/7176954671339143205" r:id="rId57"/>
    <hyperlink xmlns:r="http://schemas.openxmlformats.org/officeDocument/2006/relationships" ref="H30" display="https://www.douyin.com/user/MS4wLjABAAAA0zbdjp55k_xPO_WFHME8puEMWr_muIxryU0cQWkeWfE" r:id="rId58"/>
    <hyperlink xmlns:r="http://schemas.openxmlformats.org/officeDocument/2006/relationships" ref="G31" display="https://www.xingtu.cn/ad/creator/author-homepage/douyin-video/6629663844786503688" r:id="rId59"/>
    <hyperlink xmlns:r="http://schemas.openxmlformats.org/officeDocument/2006/relationships" ref="H31" display="https://www.douyin.com/user/MS4wLjABAAAAGMJDEhNA2KhnLNCgnWNGjMjKXbnaFCg1MRhsAgxVB5U" r:id="rId60"/>
    <hyperlink xmlns:r="http://schemas.openxmlformats.org/officeDocument/2006/relationships" ref="G32" display="https://www.xingtu.cn/ad/creator/author-homepage/douyin-video/7097190289210949646" r:id="rId61"/>
    <hyperlink xmlns:r="http://schemas.openxmlformats.org/officeDocument/2006/relationships" ref="H32" display="https://www.douyin.com/user/MS4wLjABAAAA6BqFdHOUc8e18q8Q34HN9fecXBHAqAfBPH-EsDnU2HsOSRBaeCJI_tbCEfcnWiUv" r:id="rId62"/>
    <hyperlink xmlns:r="http://schemas.openxmlformats.org/officeDocument/2006/relationships" ref="G33" display="https://www.xingtu.cn/ad/creator/author/douyin/7035148598673145893" r:id="rId63"/>
    <hyperlink xmlns:r="http://schemas.openxmlformats.org/officeDocument/2006/relationships" ref="H33" display="https://www.douyin.com/user/MS4wLjABAAAAXsGCC7lQH6QEZlSFR0IMjIusmJ797ycDSJ7i2-xuNVI" r:id="rId64"/>
    <hyperlink xmlns:r="http://schemas.openxmlformats.org/officeDocument/2006/relationships" ref="G34" display="https://www.xingtu.cn/ad/creator/author-homepage/douyin-video/6802195315425280008?market_track_id=I3AXFCO2FFOA5SYPCT78&amp;search_session_id=7605461670957154354&amp;possessStarId" r:id="rId65"/>
    <hyperlink xmlns:r="http://schemas.openxmlformats.org/officeDocument/2006/relationships" ref="H34" display="https://www.douyin.com/user/MS4wLjABAAAAlSz3mcmyAGG0yhJn26N7Q51TJVEmSIt5wFl8dJbQBNgbOYDsnizQJ15y0-ub0MBe" r:id="rId66"/>
    <hyperlink xmlns:r="http://schemas.openxmlformats.org/officeDocument/2006/relationships" ref="G36" display="https://www.xingtu.cn/ad/creator/author-homepage/douyin-video/7004513676719816744?market_track_id=FLCBD4RXT5HYWEMG7UHR&amp;search_session_id=7611812381207265326&amp;possessStarId" r:id="rId67"/>
    <hyperlink xmlns:r="http://schemas.openxmlformats.org/officeDocument/2006/relationships" ref="H36" display="https://www.douyin.com/user/MS4wLjABAAAAfWs_3gUY6EKpOhbOFOLilwxIPW_JM4XKhPZPOA0ohD7JHVWhFyR_EGVIsQC910Ap" r:id="rId68"/>
    <hyperlink xmlns:r="http://schemas.openxmlformats.org/officeDocument/2006/relationships" ref="G37" display="https://www.xingtu.cn/ad/creator/author-homepage/douyin-video/7246352677957337144?market_track_id=57AK8QJ7796S4R61FYUD&amp;search_session_id=7612533405930700826&amp;possessStarId" r:id="rId69"/>
    <hyperlink xmlns:r="http://schemas.openxmlformats.org/officeDocument/2006/relationships" ref="H37" display="https://www.douyin.com/user/MS4wLjABAAAAZFmYPgUHqqxk_luIC30MdKFhNUYPl0-R1RZrXi8ogf-46LoebLrUlVumhLo_aR03" r:id="rId70"/>
    <hyperlink xmlns:r="http://schemas.openxmlformats.org/officeDocument/2006/relationships" ref="G38" display="https://www.xingtu.cn/ad/creator/author-homepage/douyin-video/6990087234833612808?market_track_id=57AK8QJ7796S4R61FYUD&amp;search_session_id=7612502818071134259&amp;possessStarId" r:id="rId71"/>
    <hyperlink xmlns:r="http://schemas.openxmlformats.org/officeDocument/2006/relationships" ref="H38" display="https://www.douyin.com/user/MS4wLjABAAAALo-dnnTtgS055trtiwIb9LIYw9NLekOf6orRrRvq0SE" r:id="rId72"/>
    <hyperlink xmlns:r="http://schemas.openxmlformats.org/officeDocument/2006/relationships" ref="G39" display="https://www.xingtu.cn/ad/creator/author-homepage/douyin-video/6629723096418877454?market_track_id=57AK8QJ7796S4R61FYUD&amp;search_session_id=7612502745140183091&amp;possessStarId" r:id="rId73"/>
    <hyperlink xmlns:r="http://schemas.openxmlformats.org/officeDocument/2006/relationships" ref="H39" display="https://www.douyin.com/user/MS4wLjABAAAA8nfGYiyMxS0JSR2QQ9ohg51nWsgriMzhed2KkMZW4XA" r:id="rId74"/>
    <hyperlink xmlns:r="http://schemas.openxmlformats.org/officeDocument/2006/relationships" ref="G40" display="https://www.xingtu.cn/ad/creator/author-homepage/douyin-video/7149057923442802702?market_track_id=9K7OTRAQ24V81HJAUGHT&amp;search_session_id=7611489091637346350&amp;possessStarId" r:id="rId75"/>
    <hyperlink xmlns:r="http://schemas.openxmlformats.org/officeDocument/2006/relationships" ref="H40" display="https://www.douyin.com/user/MS4wLjABAAAA8j6DdRwjDfVLHr4ZtK7lQeVXOLclCBolX-grHNjRb1ZnXBXgmRbFCPCA-ScPWtWr" r:id="rId76"/>
    <hyperlink xmlns:r="http://schemas.openxmlformats.org/officeDocument/2006/relationships" ref="G41" display="https://www.xingtu.cn/ad/creator/author-homepage/douyin-video/7071192806672302093?market_track_id=4R4VHAH5IAPUM29AQEBN&amp;search_session_id=7606283967965003785&amp;possessStarId" r:id="rId77"/>
    <hyperlink xmlns:r="http://schemas.openxmlformats.org/officeDocument/2006/relationships" ref="H41" display="https://www.douyin.com/user/MS4wLjABAAAAKK-HMXrcPWRCREuUz4lGati_ps_g7Psu6SDFX4ihxK8" r:id="rId78"/>
    <hyperlink xmlns:r="http://schemas.openxmlformats.org/officeDocument/2006/relationships" ref="G42" display="https://www.xingtu.cn/ad/creator/author-homepage/douyin-video/7223299753998565433?market_track_id=QVMB18W2UWWRTUQYLG0Z&amp;search_session_id=7610341499209269254&amp;possessStarId" r:id="rId79"/>
    <hyperlink xmlns:r="http://schemas.openxmlformats.org/officeDocument/2006/relationships" ref="H42" display=" https://v.douyin.com/ceqyjYhyXkM/" r:id="rId80"/>
    <hyperlink xmlns:r="http://schemas.openxmlformats.org/officeDocument/2006/relationships" ref="G43" display="https://www.xingtu.cn/ad/creator/author-homepage/douyin-video/7125807321149603844?market_track_id=H7TG6Q3HJUST7OSLQIED&amp;search_session_id=7612588703508758554&amp;possessStarId" r:id="rId81"/>
    <hyperlink xmlns:r="http://schemas.openxmlformats.org/officeDocument/2006/relationships" ref="H43" display="https://www.douyin.com/user/MS4wLjABAAAAW-V64ivlroI9D9G7fraQp-13WohcK4C4Bnk2F9kgEp8" r:id="rId82"/>
    <hyperlink xmlns:r="http://schemas.openxmlformats.org/officeDocument/2006/relationships" ref="G44" display="https://www.xingtu.cn/ad/creator/author-homepage/douyin-video/7032103225947865124?market_track_id=L9AYHYUVYRH6ZBF3SAN3&amp;search_session_id=7605441073725194291&amp;possessStarId" r:id="rId83"/>
    <hyperlink xmlns:r="http://schemas.openxmlformats.org/officeDocument/2006/relationships" ref="H44" display="https://www.douyin.com/user/MS4wLjABAAAAhTNv_fp7VMr_aSD_7Du_mhZ3XKc2htdl7eA4HCm2G5o" r:id="rId84"/>
    <hyperlink xmlns:r="http://schemas.openxmlformats.org/officeDocument/2006/relationships" ref="G45" display="https://www.xingtu.cn/ad/creator/author-homepage/douyin-video/6749722842033553416?market_track_id=JF1X85GBF9MLNYSFVA7A&amp;search_session_id=7612595187349176358&amp;possessStarId" r:id="rId85"/>
    <hyperlink xmlns:r="http://schemas.openxmlformats.org/officeDocument/2006/relationships" ref="H45" display="https://www.douyin.com/user/MS4wLjABAAAA6vwqPovlRVQ917JyAiHDej5PIjJphpNyBFtx3__EecI" r:id="rId86"/>
    <hyperlink xmlns:r="http://schemas.openxmlformats.org/officeDocument/2006/relationships" ref="G46" display="https://www.xingtu.cn/ad/creator/author-homepage/douyin-video/7143563533668581389?market_track_id=JF1X85GBF9MLNYSFVA7A&amp;search_session_id=7612602001314414619&amp;possessStarId" r:id="rId87"/>
    <hyperlink xmlns:r="http://schemas.openxmlformats.org/officeDocument/2006/relationships" ref="H46" display="https://www.douyin.com/user/MS4wLjABAAAA4ZqwUCLTLLMJOCrGnhGEe3MZOPbHG7muT-NIS0tFonE" r:id="rId88"/>
    <hyperlink xmlns:r="http://schemas.openxmlformats.org/officeDocument/2006/relationships" ref="G47" display="https://www.xingtu.cn/ad/creator/author-homepage/douyin-video/6629724072496332808?market_track_id=SUA9KH7ZBLCVW9Q8I8O3&amp;search_session_id=7611010792837922826&amp;possessStarId" r:id="rId89"/>
    <hyperlink xmlns:r="http://schemas.openxmlformats.org/officeDocument/2006/relationships" ref="H47" display="https://www.douyin.com/user/MS4wLjABAAAAp52iIUIC50X_sKEA9gkGSW3EbhMfkj6rJ5oOiL_tXtw" r:id="rId90"/>
    <hyperlink xmlns:r="http://schemas.openxmlformats.org/officeDocument/2006/relationships" ref="G48" display="https://www.xingtu.cn/ad/creator/author-homepage/douyin-video/7061818206880530445?market_track_id=JF1X85GBF9MLNYSFVA7A&amp;search_session_id=7612597976676319283&amp;possessStarId" r:id="rId91"/>
    <hyperlink xmlns:r="http://schemas.openxmlformats.org/officeDocument/2006/relationships" ref="H48" display="https://www.douyin.com/user/MS4wLjABAAAAqQcMC2sp9-Zvj3rKj6yBFWM3G3or4Zl7zBYSVrxauYw" r:id="rId92"/>
    <hyperlink xmlns:r="http://schemas.openxmlformats.org/officeDocument/2006/relationships" ref="G49" display="https://www.xingtu.cn/ad/creator/author-homepage/douyin-video/7144302846098276383?market_track_id=57AK8QJ7796S4R61FYUD&amp;search_session_id=7612529862233899054&amp;possessStarId" r:id="rId93"/>
    <hyperlink xmlns:r="http://schemas.openxmlformats.org/officeDocument/2006/relationships" ref="H49" display="https://www.douyin.com/user/MS4wLjABAAAADpWLYF7Frwaj4FHsza8dnXlbdTvG_edRvEBZWw3j71o-83zgeU9rWf1A62iQ0y6h" r:id="rId94"/>
    <hyperlink xmlns:r="http://schemas.openxmlformats.org/officeDocument/2006/relationships" ref="G50" display="https://www.xingtu.cn/ad/creator/author-homepage/douyin-video/7212663785511714874?market_track_id=57AK8QJ7796S4R61FYUD&amp;search_session_id=7612528920269586483&amp;possessStarId" r:id="rId95"/>
    <hyperlink xmlns:r="http://schemas.openxmlformats.org/officeDocument/2006/relationships" ref="H50" display="https://www.douyin.com/user/MS4wLjABAAAA8i9Yi9gV4RDqVvKtoXXIebIOnLLtOOJpoP3zQICKudg" r:id="rId96"/>
    <hyperlink xmlns:r="http://schemas.openxmlformats.org/officeDocument/2006/relationships" ref="G51" display="https://www.xingtu.cn/ad/creator/author-homepage/douyin-video/6906929328903159821?market_track_id=57AK8QJ7796S4R61FYUD&amp;search_session_id=7612502818071134259&amp;possessStarId" r:id="rId97"/>
    <hyperlink xmlns:r="http://schemas.openxmlformats.org/officeDocument/2006/relationships" ref="H51" display="https://www.douyin.com/user/MS4wLjABAAAA57X26jieEwRnyDdFjl9Cx8mY_hSVPTdepH-jt6KyrPZEp8UtnJa9_Rd8GM43Mq_W" r:id="rId98"/>
    <hyperlink xmlns:r="http://schemas.openxmlformats.org/officeDocument/2006/relationships" ref="G52" display="https://www.xingtu.cn/ad/creator/author-homepage/douyin-video/7157865824835862542?market_track_id=57AK8QJ7796S4R61FYUD&amp;search_session_id=7612502818071134259&amp;possessStarId" r:id="rId99"/>
    <hyperlink xmlns:r="http://schemas.openxmlformats.org/officeDocument/2006/relationships" ref="H52" display="https://www.douyin.com/user/MS4wLjABAAAAMLDrARFvjdkKw63auSBFCFfVAWQFw3QezRE2NxE4BC5DoRsDDqMDCoMMV4MGheJ-" r:id="rId100"/>
    <hyperlink xmlns:r="http://schemas.openxmlformats.org/officeDocument/2006/relationships" ref="G53" display="https://www.xingtu.cn/ad/creator/author-homepage/douyin-video/7120107426002501639?market_track_id=57AK8QJ7796S4R61FYUD&amp;search_session_id=7612502040543313958&amp;possessStarId" r:id="rId101"/>
    <hyperlink xmlns:r="http://schemas.openxmlformats.org/officeDocument/2006/relationships" ref="H53" display="https://www.douyin.com/user/MS4wLjABAAAAhypbxRbizDVv1dY9rd98S-EDJ1W0ZB7iOgcz-e-dyDEnRLMIz9Y8Afip7b318VW0" r:id="rId102"/>
    <hyperlink xmlns:r="http://schemas.openxmlformats.org/officeDocument/2006/relationships" ref="G54" display="https://www.xingtu.cn/ad/creator/author-homepage/douyin-video/6690478800708304908?market_track_id=SUA9KH7ZBLCVW9Q8I8O3&amp;search_session_id=7611015321839599625&amp;possessStarId" r:id="rId103"/>
    <hyperlink xmlns:r="http://schemas.openxmlformats.org/officeDocument/2006/relationships" ref="H54" display="https://www.douyin.com/user/MS4wLjABAAAALfr_yeD1TZl2Imjm_V45ptcvrG4DNFWWuqY_26vhXTg" r:id="rId104"/>
    <hyperlink xmlns:r="http://schemas.openxmlformats.org/officeDocument/2006/relationships" ref="G56" display="https://www.xingtu.cn/ad/creator/author-homepage/douyin-video/6652976723044335628?market_track_id=JHTNBEGQO60RJNOU4K0V&amp;search_session_id=7612610999124672522&amp;possessStarId" r:id="rId105"/>
    <hyperlink xmlns:r="http://schemas.openxmlformats.org/officeDocument/2006/relationships" ref="H56" display="https://www.douyin.com/user/MS4wLjABAAAAgZ8hMEqeWypZqFR0qPPKjCIA2Kn9dlhqX3LjzGHx_40" r:id="rId106"/>
    <hyperlink xmlns:r="http://schemas.openxmlformats.org/officeDocument/2006/relationships" ref="G57" display="https://www.xingtu.cn/ad/creator/author-homepage/douyin-video/7411126425756893221?market_track_id=JHTNBEGQO60RJNOU4K0V&amp;search_session_id=7612611836790308873&amp;possessStarId" r:id="rId107"/>
    <hyperlink xmlns:r="http://schemas.openxmlformats.org/officeDocument/2006/relationships" ref="H57" display="https://www.douyin.com/user/MS4wLjABAAAARUypKahedhA7ZUKq8lGwB7JlQ6dWkAaafyXnU9MdhTgLGC5w0AW2ZKnxtVsg5nZw" r:id="rId108"/>
    <hyperlink xmlns:r="http://schemas.openxmlformats.org/officeDocument/2006/relationships" ref="G58" display="https://www.xingtu.cn/ad/creator/author-homepage/douyin-video/6870162144202063885?market_track_id=JHTNBEGQO60RJNOU4K0V&amp;search_session_id=7612612744516632585&amp;possessStarId" r:id="rId109"/>
    <hyperlink xmlns:r="http://schemas.openxmlformats.org/officeDocument/2006/relationships" ref="H58" display="https://www.douyin.com/user/MS4wLjABAAAASQlIT9yA-LNfju8IjDx0j2GdcdLhlHwn_qr83KMtCY0" r:id="rId110"/>
    <hyperlink xmlns:r="http://schemas.openxmlformats.org/officeDocument/2006/relationships" ref="G59" display="https://www.xingtu.cn/ad/creator/author-homepage/douyin-video/7427403870072111155?market_track_id=JHTNBEGQO60RJNOU4K0V&amp;search_session_id=7612612744516632585&amp;possessStarId" r:id="rId111"/>
    <hyperlink xmlns:r="http://schemas.openxmlformats.org/officeDocument/2006/relationships" ref="H59" display="https://www.douyin.com/user/MS4wLjABAAAAvTAJb8dJVKxeMB1JkonLZFg0RomZgtjxb05Ya0FR4H4" r:id="rId112"/>
    <hyperlink xmlns:r="http://schemas.openxmlformats.org/officeDocument/2006/relationships" ref="G60" display="https://www.xingtu.cn/ad/creator/author-homepage/douyin-video/6877547150427848712?market_track_id=KXF3U58FINQOMQVTKIE7&amp;search_session_id=7612870942158635034&amp;possessStarId" r:id="rId113"/>
    <hyperlink xmlns:r="http://schemas.openxmlformats.org/officeDocument/2006/relationships" ref="H60" display="https://www.douyin.com/user/MS4wLjABAAAAzx_SHNZCoiEF9zJCwNb6F7xPqm-jHdPyJZPBuIqkmw4" r:id="rId114"/>
    <hyperlink xmlns:r="http://schemas.openxmlformats.org/officeDocument/2006/relationships" ref="G61" display="https://www.xingtu.cn/ad/creator/author-homepage/douyin-video/7296811576265277490?market_track_id=NBFHER5MW37GY5E9I36C&amp;search_session_id=7612904275731628041&amp;possessStarId" r:id="rId115"/>
    <hyperlink xmlns:r="http://schemas.openxmlformats.org/officeDocument/2006/relationships" ref="H61" display="https://www.douyin.com/user/MS4wLjABAAAAUffHkEq19-jESF1fZkTu3bWAm9hJGebHwIobcTsfadbEBf7WjmG6lmfKfUW1SWCW" r:id="rId116"/>
    <hyperlink xmlns:r="http://schemas.openxmlformats.org/officeDocument/2006/relationships" ref="G62" display="https://www.xingtu.cn/ad/creator/author-homepage/douyin-video/6681057961172795404?market_track_id=CYF5EVY6IO8FUOF70E80&amp;search_session_id=7612907392548421659&amp;possessStarId" r:id="rId117"/>
    <hyperlink xmlns:r="http://schemas.openxmlformats.org/officeDocument/2006/relationships" ref="H62" display="https://www.douyin.com/user/MS4wLjABAAAAv03JeFhWkbCcVR6OOSJtI9vc6NRr269VW6Fr5TuILfQ" r:id="rId118"/>
    <hyperlink xmlns:r="http://schemas.openxmlformats.org/officeDocument/2006/relationships" ref="G63" display="https://www.xingtu.cn/ad/creator/author-homepage/douyin-video/7215143016137228343?market_track_id=ZWASKBQKMRJE74YLWW0T&amp;search_session_id=7612924184762941490&amp;possessStarId" r:id="rId119"/>
    <hyperlink xmlns:r="http://schemas.openxmlformats.org/officeDocument/2006/relationships" ref="H63" display="https://www.douyin.com/user/MS4wLjABAAAAP9FAhfUuXfeXuRmUQTZ3slajCN0N0L1aLQQO3x_CWn0QJ9ckx6pIu7zIhQhaoi7A" r:id="rId120"/>
    <hyperlink xmlns:r="http://schemas.openxmlformats.org/officeDocument/2006/relationships" ref="G64" display="https://www.xingtu.cn/ad/creator/author-homepage/douyin-video/6691420211976863756?market_track_id=ZWASKBQKMRJE74YLWW0T&amp;search_session_id=7612924623893954606&amp;possessStarId" r:id="rId121"/>
    <hyperlink xmlns:r="http://schemas.openxmlformats.org/officeDocument/2006/relationships" ref="H64" display="https://www.douyin.com/user/MS4wLjABAAAAQVoXcsLDAhu05iT-D12Iysy6xhKjFhAyfRAgWgv_NKA" r:id="rId122"/>
    <hyperlink xmlns:r="http://schemas.openxmlformats.org/officeDocument/2006/relationships" ref="G65" display="https://www.xingtu.cn/ad/creator/author-homepage/douyin-video/7352563615523831846?market_track_id=ZWASKBQKMRJE74YLWW0T&amp;search_session_id=7612928637989568563&amp;possessStarId" r:id="rId123"/>
    <hyperlink xmlns:r="http://schemas.openxmlformats.org/officeDocument/2006/relationships" ref="H65" display="https://www.douyin.com/user/MS4wLjABAAAAgQVOa4WQ3cDk9Z3fGmEQMIKnZrLhfe-e3SXQwBHv8w9YpxR48MqGTTYvf-_NGLuI" r:id="rId124"/>
    <hyperlink xmlns:r="http://schemas.openxmlformats.org/officeDocument/2006/relationships" ref="G66" display="https://www.xingtu.cn/ad/creator/author-homepage/douyin-video/6847685914861256712?market_track_id=ZWASKBQKMRJE74YLWW0T&amp;search_session_id=7612929464566906889&amp;possessStarId" r:id="rId125"/>
    <hyperlink xmlns:r="http://schemas.openxmlformats.org/officeDocument/2006/relationships" ref="H66" display="https://www.douyin.com/user/MS4wLjABAAAAvlVAsV0qst24Wwa1RhvrDPZQy2XnMJ9jXAArajRxG5U" r:id="rId126"/>
    <hyperlink xmlns:r="http://schemas.openxmlformats.org/officeDocument/2006/relationships" ref="G67" display="https://www.xingtu.cn/ad/creator/author-homepage/douyin-video/7475264104974778406?market_track_id=ZWASKBQKMRJE74YLWW0T&amp;search_session_id=7612933352894545947&amp;possessStarId" r:id="rId127"/>
    <hyperlink xmlns:r="http://schemas.openxmlformats.org/officeDocument/2006/relationships" ref="H67" display="https://www.douyin.com/user/MS4wLjABAAAA-k56s429UgYVRVj7_ppi7YZ171L9zDXOkdM1Kl46PqQ" r:id="rId128"/>
    <hyperlink xmlns:r="http://schemas.openxmlformats.org/officeDocument/2006/relationships" ref="G68" display="https://www.xingtu.cn/ad/creator/author-homepage/douyin-video/7209600735070126136?market_track_id=N9IQ7NEJKRBGPYRMSWWF&amp;search_session_id=7612939479762698291&amp;possessStarId" r:id="rId129"/>
    <hyperlink xmlns:r="http://schemas.openxmlformats.org/officeDocument/2006/relationships" ref="H68" display="https://www.douyin.com/user/MS4wLjABAAAAP6YjZLD6MkDQVfiFvhCKdWpPJNz959om7-SO1HklBfwyJSwZLmJIVFC83Gh5_01z" r:id="rId130"/>
    <hyperlink xmlns:r="http://schemas.openxmlformats.org/officeDocument/2006/relationships" ref="G69" display="https://www.xingtu.cn/ad/creator/author-homepage/douyin-video/6761626737932517384?market_track_id=N9IQ7NEJKRBGPYRMSWWF&amp;search_session_id=7612939785783017510&amp;possessStarId" r:id="rId131"/>
    <hyperlink xmlns:r="http://schemas.openxmlformats.org/officeDocument/2006/relationships" ref="H69" display="https://www.douyin.com/user/MS4wLjABAAAAzGNmyPglN_tEeXltzb0FRx_IWcvcG8H1vSWvvcYscCs" r:id="rId132"/>
    <hyperlink xmlns:r="http://schemas.openxmlformats.org/officeDocument/2006/relationships" ref="G70" display="https://www.xingtu.cn/ad/creator/author-homepage/douyin-video/7163093702716424205?market_track_id=N9IQ7NEJKRBGPYRMSWWF&amp;search_session_id=7612939785783017510&amp;possessStarId" r:id="rId133"/>
    <hyperlink xmlns:r="http://schemas.openxmlformats.org/officeDocument/2006/relationships" ref="H70" display="https://www.douyin.com/user/MS4wLjABAAAAC_oB-DcCsAMhMV1WabgD7hp9l_-6HXNXBtM8n_k9cQA" r:id="rId134"/>
    <hyperlink xmlns:r="http://schemas.openxmlformats.org/officeDocument/2006/relationships" ref="G71" display="https://www.xingtu.cn/ad/creator/author-homepage/douyin-video/7413640819007029267?market_track_id=N9IQ7NEJKRBGPYRMSWWF&amp;search_session_id=7612941942036414515&amp;possessStarId" r:id="rId135"/>
    <hyperlink xmlns:r="http://schemas.openxmlformats.org/officeDocument/2006/relationships" ref="H71" display="https://www.douyin.com/user/MS4wLjABAAAAkJFloFA-68D6sZUUM615Vzi8ObcJ7Ply6_aLRWYwYxJGJ6MWXXjYJT61bQcCpQJn" r:id="rId136"/>
    <hyperlink xmlns:r="http://schemas.openxmlformats.org/officeDocument/2006/relationships" ref="G72" display="https://www.xingtu.cn/ad/creator/author-homepage/douyin-video/6690565304818335758?market_track_id=O233IZ869NSDQCZLCJHD&amp;search_session_id=7612972205831831561&amp;possessStarId" r:id="rId137"/>
    <hyperlink xmlns:r="http://schemas.openxmlformats.org/officeDocument/2006/relationships" ref="H72" display="https://www.douyin.com/user/MS4wLjABAAAA9XCy4m6UWZDVnXhEc7gzcDlAKZJ_-1KJzI16OCmL78MM1ch4LRoxjPYh--eHhBHc" r:id="rId138"/>
    <hyperlink xmlns:r="http://schemas.openxmlformats.org/officeDocument/2006/relationships" ref="G73" display="https://www.xingtu.cn/ad/creator/author-homepage/douyin-video/7297376877595852826?market_track_id=ZTGPPKPB1QN8N8QD8AWP&amp;search_session_id=7613003383180017673&amp;possessStarId" r:id="rId139"/>
    <hyperlink xmlns:r="http://schemas.openxmlformats.org/officeDocument/2006/relationships" ref="H73" display="https://www.douyin.com/user/MS4wLjABAAAAnnd_otANYtuTi4Jn0kS5cLYvnjZuIqB5bchusrHnzEg" r:id="rId140"/>
    <hyperlink xmlns:r="http://schemas.openxmlformats.org/officeDocument/2006/relationships" ref="G74" display="https://www.xingtu.cn/ad/creator/author-homepage/douyin-video/7143503434384146469?market_track_id=ZTGPPKPB1QN8N8QD8AWP&amp;search_session_id=7613001832579448870&amp;possessStarId" r:id="rId141"/>
    <hyperlink xmlns:r="http://schemas.openxmlformats.org/officeDocument/2006/relationships" ref="H74" display="https://www.douyin.com/user/MS4wLjABAAAA063eYdIfBZzUreE0ASL_ULuh7pZ_1PYgFbAhh91aCEmuwLXh029g7GzlE7h5st2A" r:id="rId142"/>
    <hyperlink xmlns:r="http://schemas.openxmlformats.org/officeDocument/2006/relationships" ref="G75" display="https://www.xingtu.cn/ad/creator/author-homepage/douyin-video/6691420211976863756?market_track_id=ZTGPPKPB1QN8N8QD8AWP&amp;search_session_id=7613000898088108042&amp;possessStarId" r:id="rId143"/>
    <hyperlink xmlns:r="http://schemas.openxmlformats.org/officeDocument/2006/relationships" ref="H75" display="https://www.douyin.com/user/MS4wLjABAAAAQVoXcsLDAhu05iT-D12Iysy6xhKjFhAyfRAgWgv_NKA" r:id="rId144"/>
    <hyperlink xmlns:r="http://schemas.openxmlformats.org/officeDocument/2006/relationships" ref="G77" display="https://www.xingtu.cn/ad/creator/author-homepage/douyin-video/7286272063084429369?market_track_id=MZCT008XDQ9LRFKWE2VY&amp;search_session_id=7613243975943913523&amp;possessStarId" r:id="rId145"/>
    <hyperlink xmlns:r="http://schemas.openxmlformats.org/officeDocument/2006/relationships" ref="H77" display="https://www.douyin.com/user/MS4wLjABAAAAZ-xWxEMO6xr9oNSAHhMQrwAKjYmKtkFr0QLWrxmg0-Y" r:id="rId146"/>
    <hyperlink xmlns:r="http://schemas.openxmlformats.org/officeDocument/2006/relationships" ref="G78" display="https://www.xingtu.cn/ad/creator/author-homepage/douyin-video/6629658460059336711?market_track_id=MZCT008XDQ9LRFKWE2VY&amp;search_session_id=7613242839255744521&amp;possessStarId" r:id="rId147"/>
    <hyperlink xmlns:r="http://schemas.openxmlformats.org/officeDocument/2006/relationships" ref="H78" display="https://www.douyin.com/user/MS4wLjABAAAADuP3bF1OcPUmbyMptWG0cIfrxGNLefaMoyoK71ODLh4" r:id="rId148"/>
    <hyperlink xmlns:r="http://schemas.openxmlformats.org/officeDocument/2006/relationships" ref="G79" display="https://www.xingtu.cn/ad/creator/author-homepage/douyin-video/6629723076944723982?market_track_id=MZCT008XDQ9LRFKWE2VY&amp;search_session_id=7613238334059888666&amp;possessStarId" r:id="rId149"/>
    <hyperlink xmlns:r="http://schemas.openxmlformats.org/officeDocument/2006/relationships" ref="H79" display="https://www.douyin.com/user/MS4wLjABAAAAiMXgOIae2J55MiXM0s8r1FsElMSypnQdPrEd48eZFVY" r:id="rId150"/>
    <hyperlink xmlns:r="http://schemas.openxmlformats.org/officeDocument/2006/relationships" ref="G80" display="https://www.xingtu.cn/ad/creator/author-homepage/douyin-video/7212663785511714874?market_track_id=MZCT008XDQ9LRFKWE2VY&amp;search_session_id=7613236685597949962&amp;possessStarId" r:id="rId151"/>
    <hyperlink xmlns:r="http://schemas.openxmlformats.org/officeDocument/2006/relationships" ref="H80" display="https://www.douyin.com/user/MS4wLjABAAAA8i9Yi9gV4RDqVvKtoXXIebIOnLLtOOJpoP3zQICKudg" r:id="rId152"/>
    <hyperlink xmlns:r="http://schemas.openxmlformats.org/officeDocument/2006/relationships" ref="G81" display="https://www.xingtu.cn/ad/creator/author-homepage/douyin-video/7307527579370520603?market_track_id=BE9M1106TZDMQ96PG2WO&amp;search_session_id=7613227907317907502&amp;possessStarId" r:id="rId153"/>
    <hyperlink xmlns:r="http://schemas.openxmlformats.org/officeDocument/2006/relationships" ref="H81" display="https://www.douyin.com/user/MS4wLjABAAAAdhPlRBdVIyaR81Rr4Oz-8qAu3Rn00lpzmuHzv9LqGR9PPjJD8IAkG3zhDF6EiRo2" r:id="rId154"/>
    <hyperlink xmlns:r="http://schemas.openxmlformats.org/officeDocument/2006/relationships" ref="G82" display="https://www.xingtu.cn/ad/creator/author-homepage/douyin-video/7033786770315542542?market_track_id=ZTGPPKPB1QN8N8QD8AWP&amp;search_session_id=7612998250903388186&amp;possessStarId" r:id="rId155"/>
    <hyperlink xmlns:r="http://schemas.openxmlformats.org/officeDocument/2006/relationships" ref="H82" display="https://www.douyin.com/user/MS4wLjABAAAAq4exE1wcLVUQMzNLIqTNfetMJm9s9wZXP5pupQ91c3sSlyFNdE6oopJowgFxd4Uq" r:id="rId156"/>
    <hyperlink xmlns:r="http://schemas.openxmlformats.org/officeDocument/2006/relationships" ref="G83" display="https://www.xingtu.cn/ad/creator/author-homepage/douyin-video/7237693402249494560?market_track_id=ZTGPPKPB1QN8N8QD8AWP&amp;search_session_id=7612995721113665574&amp;possessStarId" r:id="rId157"/>
    <hyperlink xmlns:r="http://schemas.openxmlformats.org/officeDocument/2006/relationships" ref="H83" display="https://www.douyin.com/user/MS4wLjABAAAA9YU4u9kZcGzGzr0ca4sT4-aDqkN8Pm4sEaS2jfEZGJU7raTBd3TsTI36FaCmgctp" r:id="rId158"/>
    <hyperlink xmlns:r="http://schemas.openxmlformats.org/officeDocument/2006/relationships" ref="G84" display="https://www.xingtu.cn/ad/creator/author-homepage/douyin-video/7225455728285188157?market_track_id=IHKJ7RCF85I21XAQ009Q&amp;search_session_id=7613295973854871603&amp;possessStarId" r:id="rId159"/>
    <hyperlink xmlns:r="http://schemas.openxmlformats.org/officeDocument/2006/relationships" ref="H84" display="https://www.douyin.com/user/MS4wLjABAAAAuhXbv8NUQf-wNDmUaV5U4D5KCHUigR7QsO4E_6ji5kUabmtzcFYUtrQu3SkYmVSR" r:id="rId160"/>
    <hyperlink xmlns:r="http://schemas.openxmlformats.org/officeDocument/2006/relationships" ref="G85" display="https://www.xingtu.cn/ad/creator/author-homepage/douyin-video/7352030108036644901?market_track_id=M7AZXMJ7R29ET9J3CFY9&amp;search_session_id=7613295809123352586&amp;possessStarId" r:id="rId161"/>
    <hyperlink xmlns:r="http://schemas.openxmlformats.org/officeDocument/2006/relationships" ref="H85" display="https://www.douyin.com/user/MS4wLjABAAAAWe0wnZPzKj2XGvjTmPDlIGVwyllIgwtk2y-n4oCsYSfG5OEtVPP7Sd22um79jfR2" r:id="rId162"/>
    <hyperlink xmlns:r="http://schemas.openxmlformats.org/officeDocument/2006/relationships" ref="G86" display="https://www.xingtu.cn/ad/creator/author-homepage/douyin-video/7121607124089569316?market_track_id=CTMSOHG2UEDVFASGDN5K&amp;search_session_id=7613298886794395674&amp;possessStarId" r:id="rId163"/>
    <hyperlink xmlns:r="http://schemas.openxmlformats.org/officeDocument/2006/relationships" ref="H86" display="https://www.douyin.com/user/MS4wLjABAAAA_N4YHaBZG_IZZPlX7oB0vR7z3cTveIodjhr3FXhmnYwo0qy9nnZzVA0idcTMj3-H" r:id="rId164"/>
    <hyperlink xmlns:r="http://schemas.openxmlformats.org/officeDocument/2006/relationships" ref="G87" display="https://www.xingtu.cn/ad/creator/author-homepage/douyin-video/6997128678010273805?market_track_id=T3F09RSZB5J532D966YC&amp;search_session_id=7613301898976575514&amp;possessStarId" r:id="rId165"/>
    <hyperlink xmlns:r="http://schemas.openxmlformats.org/officeDocument/2006/relationships" ref="H87" display="https://www.douyin.com/user/MS4wLjABAAAA5qA_IOOFelSPMHIXHW-NyZNIX55R8yceM5gpFr99Ugend87C0wVRO2g1CSHDY67o" r:id="rId166"/>
    <hyperlink xmlns:r="http://schemas.openxmlformats.org/officeDocument/2006/relationships" ref="G88" display="https://www.xingtu.cn/ad/creator/author-homepage/douyin-video/7012557078963159043?market_track_id=T3F09RSZB5J532D966YC&amp;search_session_id=7613303540936818738&amp;possessStarId" r:id="rId167"/>
    <hyperlink xmlns:r="http://schemas.openxmlformats.org/officeDocument/2006/relationships" ref="H88" display="https://www.douyin.com/user/MS4wLjABAAAAfNVPEhjcQudNSFplx0LoYrdvH8rrT7GoYQ_Ij09FMfw" r:id="rId168"/>
    <hyperlink xmlns:r="http://schemas.openxmlformats.org/officeDocument/2006/relationships" ref="G89" display="https://www.xingtu.cn/ad/creator/author-homepage/douyin-video/6870161635978248200?market_track_id=T3F09RSZB5J532D966YC&amp;search_session_id=7613305670808518694&amp;possessStarId" r:id="rId169"/>
    <hyperlink xmlns:r="http://schemas.openxmlformats.org/officeDocument/2006/relationships" ref="H89" display="https://www.douyin.com/user/MS4wLjABAAAAqvZxAHFLfL78cSnQE4ryO2MVRIV7Js0d30t7HrghwW8" r:id="rId170"/>
    <hyperlink xmlns:r="http://schemas.openxmlformats.org/officeDocument/2006/relationships" ref="G90" display="https://www.xingtu.cn/ad/creator/author-homepage/douyin-video/7143563533668581389?market_track_id=JF1X85GBF9MLNYSFVA7A&amp;search_session_id=7612602001314414619&amp;possessStarId" r:id="rId171"/>
    <hyperlink xmlns:r="http://schemas.openxmlformats.org/officeDocument/2006/relationships" ref="H90" display="https://www.douyin.com/user/MS4wLjABAAAA4ZqwUCLTLLMJOCrGnhGEe3MZOPbHG7muT-NIS0tFonE" r:id="rId172"/>
    <hyperlink xmlns:r="http://schemas.openxmlformats.org/officeDocument/2006/relationships" ref="G91" display="https://www.xingtu.cn/ad/creator/author-homepage/douyin-video/6870160240763994120?market_track_id=1NN8XWAK1CGIJFNAQBZ8&amp;search_session_id=7613355683773808649&amp;possessStarId" r:id="rId173"/>
    <hyperlink xmlns:r="http://schemas.openxmlformats.org/officeDocument/2006/relationships" ref="H91" display="https://www.douyin.com/user/MS4wLjABAAAAAwdV_ZaHwV7yn4Imf8Q1PqZ7IENSzyyY0u24mWgn-xE" r:id="rId174"/>
    <hyperlink xmlns:r="http://schemas.openxmlformats.org/officeDocument/2006/relationships" ref="G92" display="https://www.xingtu.cn/ad/creator/author-homepage/douyin-video/7151686548088586254?market_track_id=FLCBD4RXT5HYWEMG7UHR&amp;search_session_id=7611816153388367918&amp;possessStarId" r:id="rId175"/>
    <hyperlink xmlns:r="http://schemas.openxmlformats.org/officeDocument/2006/relationships" ref="H92" display="https://www.douyin.com/user/MS4wLjABAAAA-B8K8qRcEYfVBRrGhcVxZa5o1rm4kukc7Oq3j21tEHU" r:id="rId176"/>
    <hyperlink xmlns:r="http://schemas.openxmlformats.org/officeDocument/2006/relationships" ref="G93" display="https://www.xingtu.cn/ad/creator/author-homepage/douyin-video/7008950281987686413?market_track_id=1NN8XWAK1CGIJFNAQBZ8&amp;search_session_id=7613351311513714726&amp;possessStarId" r:id="rId177"/>
    <hyperlink xmlns:r="http://schemas.openxmlformats.org/officeDocument/2006/relationships" ref="H93" display="https://www.douyin.com/user/MS4wLjABAAAAaiXLTcfTvuyI_yPSnMdmJQbyrZ2g0sKYzUVs_UnJ0mq9lEIqcE0XyW7VpZbVkzWx" r:id="rId178"/>
    <hyperlink xmlns:r="http://schemas.openxmlformats.org/officeDocument/2006/relationships" ref="G94" display="https://www.xingtu.cn/ad/creator/author-homepage/douyin-video/6926304630271901711?market_track_id=0OYPCAVV8EYK36F21DKG&amp;search_session_id=7613346160124297225&amp;possessStarId" r:id="rId179"/>
    <hyperlink xmlns:r="http://schemas.openxmlformats.org/officeDocument/2006/relationships" ref="H94" display="https://www.douyin.com/user/MS4wLjABAAAAj4jdFLdrSSmm1yQo6MMLOSXaMM0biQjbTVDPT3VRmuY" r:id="rId180"/>
    <hyperlink xmlns:r="http://schemas.openxmlformats.org/officeDocument/2006/relationships" ref="G95" display="https://www.xingtu.cn/ad/creator/author-homepage/douyin-video/6740972275522076676?market_track_id=0OYPCAVV8EYK36F21DKG&amp;search_session_id=7613344002150580262&amp;possessStarId" r:id="rId181"/>
    <hyperlink xmlns:r="http://schemas.openxmlformats.org/officeDocument/2006/relationships" ref="H95" display="https://www.douyin.com/user/MS4wLjABAAAA1L_6xSXNev3kU4eW6bo8Te3S8Ms380R0DtiWqjn0JSE" r:id="rId182"/>
    <hyperlink xmlns:r="http://schemas.openxmlformats.org/officeDocument/2006/relationships" ref="G96" display="https://www.xingtu.cn/ad/creator/author-homepage/douyin-video/7011387294233919518?market_track_id=0OYPCAVV8EYK36F21DKG&amp;search_session_id=7613344002150580262&amp;possessStarId" r:id="rId183"/>
    <hyperlink xmlns:r="http://schemas.openxmlformats.org/officeDocument/2006/relationships" ref="H96" display="https://www.douyin.com/user/MS4wLjABAAAAcCjSwK8NJHrt0Cz_ix8LGKtU17tlcQpOxB54KvGAmTY" r:id="rId184"/>
    <hyperlink xmlns:r="http://schemas.openxmlformats.org/officeDocument/2006/relationships" ref="G98" display="https://www.xingtu.cn/ad/creator/author-homepage/douyin-video/7389515547106344970?market_track_id=YLXB7MTD8TPJAQ2SP4QR&amp;search_session_id=7613680168258830382&amp;possessStarId" r:id="rId185"/>
    <hyperlink xmlns:r="http://schemas.openxmlformats.org/officeDocument/2006/relationships" ref="H98" display="https://www.douyin.com/user/MS4wLjABAAAAoZ6CLpKzWCX0PzVpVpH1TIPOHXlA83s6lXi-w-FJBYI-INgk9uNE6LsDAhrI47sg" r:id="rId186"/>
    <hyperlink xmlns:r="http://schemas.openxmlformats.org/officeDocument/2006/relationships" ref="G99" display="https://www.xingtu.cn/ad/creator/author-homepage/douyin-video/6870160260540137486?market_track_id=YLXB7MTD8TPJAQ2SP4QR&amp;search_session_id=7613679778771779594&amp;possessStarId" r:id="rId187"/>
    <hyperlink xmlns:r="http://schemas.openxmlformats.org/officeDocument/2006/relationships" ref="H99" display="https://www.douyin.com/user/MS4wLjABAAAASz4Fz2ZvwPrjz2p5h5YkRvH7s83R2_VApQX-jqHOtBg" r:id="rId188"/>
    <hyperlink xmlns:r="http://schemas.openxmlformats.org/officeDocument/2006/relationships" ref="G100" display="https://www.xingtu.cn/ad/creator/author-homepage/douyin-video/7235217904738926596?market_track_id=2KVOMPJN4QSG01E4YUAX&amp;search_session_id=7613672629345452082&amp;possessStarId" r:id="rId189"/>
    <hyperlink xmlns:r="http://schemas.openxmlformats.org/officeDocument/2006/relationships" ref="H100" display="https://www.douyin.com/user/MS4wLjABAAAAtR50iDXDnqRgvZGtkakkoNhbJvAL145MBUi55rnGd4CooXaFwC5zmcfTfPJctKY9" r:id="rId190"/>
    <hyperlink xmlns:r="http://schemas.openxmlformats.org/officeDocument/2006/relationships" ref="G101" display="https://www.xingtu.cn/ad/creator/author-homepage/douyin-video/7488345600363233306?market_track_id=2KVOMPJN4QSG01E4YUAX&amp;search_session_id=7613673581612662830&amp;possessStarId" r:id="rId191"/>
    <hyperlink xmlns:r="http://schemas.openxmlformats.org/officeDocument/2006/relationships" ref="H101" display="https://www.douyin.com/user/MS4wLjABAAAAz3CgZ8w-Ax6zIVV41_gwyemwR1iaYdL5x5urb2uPW8E-QVGLks7gcboovLp2GFIe" r:id="rId192"/>
    <hyperlink xmlns:r="http://schemas.openxmlformats.org/officeDocument/2006/relationships" ref="G102" display="https://www.xingtu.cn/ad/creator/author-homepage/douyin-video/6712186904856494092?market_track_id=H4ETHBZMFZY3TAGCQ3FA&amp;search_session_id=7613668965579276334&amp;possessStarId" r:id="rId193"/>
    <hyperlink xmlns:r="http://schemas.openxmlformats.org/officeDocument/2006/relationships" ref="H102" display="https://www.douyin.com/user/MS4wLjABAAAASaOzqb3HtzTba42DOg3aAsg7Xj9oYxXp4e_iSSmPwcGAU8sr2O5GDfJ9GPYkRqvS" r:id="rId194"/>
    <hyperlink xmlns:r="http://schemas.openxmlformats.org/officeDocument/2006/relationships" ref="G103" display="https://www.xingtu.cn/ad/creator/author-homepage/douyin-video/6629659220260159491?market_track_id=H4ETHBZMFZY3TAGCQ3FA&amp;search_session_id=7613666091105501234&amp;possessStarId" r:id="rId195"/>
    <hyperlink xmlns:r="http://schemas.openxmlformats.org/officeDocument/2006/relationships" ref="H103" display="https://www.douyin.com/user/MS4wLjABAAAAaGPupGXkpAjXZOVH21EVXCRlX-WY4k0pSwspKgpfC9c" r:id="rId196"/>
    <hyperlink xmlns:r="http://schemas.openxmlformats.org/officeDocument/2006/relationships" ref="G104" display="https://www.xingtu.cn/ad/creator/author-homepage/douyin-video/6968524225481015299?market_track_id=H4ETHBZMFZY3TAGCQ3FA&amp;search_session_id=7613665705892266034&amp;possessStarId" r:id="rId197"/>
    <hyperlink xmlns:r="http://schemas.openxmlformats.org/officeDocument/2006/relationships" ref="H104" display="https://www.douyin.com/user/MS4wLjABAAAAvbVySaoiJbUbHymqxLMTMoWoy5m3jybj_ZtILScBFnw" r:id="rId198"/>
    <hyperlink xmlns:r="http://schemas.openxmlformats.org/officeDocument/2006/relationships" ref="G105" display="https://www.xingtu.cn/ad/creator/author-homepage/douyin-video/7072745980210184223?market_track_id=H4ETHBZMFZY3TAGCQ3FA&amp;search_session_id=7613665085277880366&amp;possessStarId" r:id="rId199"/>
    <hyperlink xmlns:r="http://schemas.openxmlformats.org/officeDocument/2006/relationships" ref="H105" display="https://www.douyin.com/user/MS4wLjABAAAA_HxonAavr589mpQxQuiYeJM_UbmAFJze0ivECvL-BMo" r:id="rId200"/>
    <hyperlink xmlns:r="http://schemas.openxmlformats.org/officeDocument/2006/relationships" ref="G106" display="https://www.xingtu.cn/ad/creator/author-homepage/douyin-video/7381753558883893299?market_track_id=H4ETHBZMFZY3TAGCQ3FA&amp;search_session_id=7613664374527885358&amp;possessStarId" r:id="rId201"/>
    <hyperlink xmlns:r="http://schemas.openxmlformats.org/officeDocument/2006/relationships" ref="H106" display="https://www.douyin.com/user/MS4wLjABAAAAlW6qdt6ZVRhZtUHJNWqoM3xP-TOU3bXaVQyE5UjRTH8uU4lnR0hPF-7LlHozelfw" r:id="rId202"/>
    <hyperlink xmlns:r="http://schemas.openxmlformats.org/officeDocument/2006/relationships" ref="G107" display="https://www.xingtu.cn/ad/creator/author-homepage/douyin-video/7147705319940948005?market_track_id=H4ETHBZMFZY3TAGCQ3FA&amp;search_session_id=7613664374527885358&amp;possessStarId" r:id="rId203"/>
    <hyperlink xmlns:r="http://schemas.openxmlformats.org/officeDocument/2006/relationships" ref="H107" display="https://www.douyin.com/user/MS4wLjABAAAA8VE5ljHzd8prz-FqC6920tEcl7HSI3b_ihPQol808HQ7nA-f6RDwkeZ3Mm8jMp3Y" r:id="rId204"/>
    <hyperlink xmlns:r="http://schemas.openxmlformats.org/officeDocument/2006/relationships" ref="G108" display="https://www.xingtu.cn/ad/creator/author-homepage/douyin-video/6629659019592073224?market_track_id=9T58FEEOSH7RZ6RU7JP4&amp;search_session_id=7613654499672358963&amp;possessStarId" r:id="rId205"/>
    <hyperlink xmlns:r="http://schemas.openxmlformats.org/officeDocument/2006/relationships" ref="H108" display="https://www.douyin.com/user/MS4wLjABAAAA-P7_GdR9aFaQkisBWd64Rn11rIAk5-nrYvqYnLRR3Iw" r:id="rId206"/>
    <hyperlink xmlns:r="http://schemas.openxmlformats.org/officeDocument/2006/relationships" ref="G109" display="https://www.xingtu.cn/ad/creator/author-homepage/douyin-video/7441551962656636937?market_track_id=9T58FEEOSH7RZ6RU7JP4&amp;search_session_id=7613652077218316339&amp;possessStarId" r:id="rId207"/>
    <hyperlink xmlns:r="http://schemas.openxmlformats.org/officeDocument/2006/relationships" ref="H109" display="https://www.douyin.com/user/MS4wLjABAAAAPawOZPInC7aNMiahiNWqSTvSU73vSPqIAAE7PmkJSZ2bnoyStZpgGe55ibre3Iyg" r:id="rId208"/>
    <hyperlink xmlns:r="http://schemas.openxmlformats.org/officeDocument/2006/relationships" ref="G110" display="https://www.xingtu.cn/ad/creator/author-homepage/douyin-video/7407996550481182746?market_track_id=9T58FEEOSH7RZ6RU7JP4&amp;search_session_id=7613651291757068297&amp;possessStarId" r:id="rId209"/>
    <hyperlink xmlns:r="http://schemas.openxmlformats.org/officeDocument/2006/relationships" ref="H110" display="https://www.douyin.com/user/MS4wLjABAAAA5ksjDSvoNDp0_Cj4lJK78sgBsNYya-gkhHfv_Gm9yHcIzZM9JoReSh8Nz1XIT309" r:id="rId210"/>
    <hyperlink xmlns:r="http://schemas.openxmlformats.org/officeDocument/2006/relationships" ref="G111" display="https://www.xingtu.cn/ad/creator/author-homepage/douyin-video/7339119448336531492?market_track_id=9T58FEEOSH7RZ6RU7JP4&amp;search_session_id=7613650056704557102&amp;possessStarId" r:id="rId211"/>
    <hyperlink xmlns:r="http://schemas.openxmlformats.org/officeDocument/2006/relationships" ref="H111" display="https://www.douyin.com/user/MS4wLjABAAAAwXO-GxaDXyS0WJlPfR6TenCQAaKb0fsq3h_PabCyISRjszxeVS_MYpDP9Z52J_9m" r:id="rId212"/>
    <hyperlink xmlns:r="http://schemas.openxmlformats.org/officeDocument/2006/relationships" ref="G112" display="https://www.xingtu.cn/ad/creator/author-homepage/douyin-video/7177294850537029670?market_track_id=G4M03VE5NZX91CG58L6U&amp;search_session_id=7613715835726888987&amp;possessStarId&amp;active_tab=content_performance&amp;active_module=.content-video-list-panel&amp;content_key_word=%E5%A4%A7%E5%B9%B3%E5%B1%82" r:id="rId213"/>
    <hyperlink xmlns:r="http://schemas.openxmlformats.org/officeDocument/2006/relationships" ref="H112" display="https://www.douyin.com/user/MS4wLjABAAAAPbj87_5buxdwlFq2PRpq2Z916eeLK-obh6GTg6FFHEA" r:id="rId214"/>
    <hyperlink xmlns:r="http://schemas.openxmlformats.org/officeDocument/2006/relationships" ref="G113" display="https://www.xingtu.cn/ad/creator/author-homepage/douyin-video/7374012112449830963?market_track_id=SW5R02Z287BG97RJ9TP0&amp;search_session_id=7613708909291520009&amp;possessStarId" r:id="rId215"/>
    <hyperlink xmlns:r="http://schemas.openxmlformats.org/officeDocument/2006/relationships" ref="H113" display="https://www.douyin.com/user/MS4wLjABAAAAWhUtU86K-QcRWDv9sq_jLbAHWRckIXJ5YcHK7qI9pOQ" r:id="rId216"/>
    <hyperlink xmlns:r="http://schemas.openxmlformats.org/officeDocument/2006/relationships" ref="G114" display="https://www.xingtu.cn/ad/creator/author-homepage/douyin-video/6870161864530067464?market_track_id=SW5R02Z287BG97RJ9TP0&amp;search_session_id=7613707172631248922&amp;possessStarId" r:id="rId217"/>
    <hyperlink xmlns:r="http://schemas.openxmlformats.org/officeDocument/2006/relationships" ref="H114" display="https://www.douyin.com/user/MS4wLjABAAAA9s29W8yTEu9z0lw-htFiNE5EKgb5NFtFxHSJ-3PiV4k" r:id="rId218"/>
    <hyperlink xmlns:r="http://schemas.openxmlformats.org/officeDocument/2006/relationships" ref="G115" display="https://www.xingtu.cn/ad/creator/author-homepage/douyin-video/6973984670757158925?market_track_id=SW5R02Z287BG97RJ9TP0&amp;search_session_id=7613706512968204297&amp;possessStarId" r:id="rId219"/>
    <hyperlink xmlns:r="http://schemas.openxmlformats.org/officeDocument/2006/relationships" ref="H115" display="https://www.douyin.com/user/MS4wLjABAAAAeMH1t7OsIdxsAxGYLyESXFhnRoFWAc9idky8prQSN6U" r:id="rId220"/>
    <hyperlink xmlns:r="http://schemas.openxmlformats.org/officeDocument/2006/relationships" ref="G116" display="https://www.xingtu.cn/ad/creator/author-homepage/douyin-video/7081282575808856077?market_track_id=SW5R02Z287BG97RJ9TP0&amp;search_session_id=7613706512968204297&amp;possessStarId" r:id="rId221"/>
    <hyperlink xmlns:r="http://schemas.openxmlformats.org/officeDocument/2006/relationships" ref="H116" display="https://www.douyin.com/user/MS4wLjABAAAARm0fFK6Hcg4xhAZPIVpCIFlU9knYBEwU0nRhbYWpdJs" r:id="rId222"/>
    <hyperlink xmlns:r="http://schemas.openxmlformats.org/officeDocument/2006/relationships" ref="G117" display="https://www.xingtu.cn/ad/creator/author-homepage/douyin-video/6853190192438706190?market_track_id=78VR9JEBU8DD0YYMAQP6&amp;search_session_id=7613712134341574682&amp;possessStarId&amp;active_tab=content_performance&amp;active_module=.content-video-list-panel&amp;content_key_word=%E5%88%AB%E5%A2%85" r:id="rId223"/>
    <hyperlink xmlns:r="http://schemas.openxmlformats.org/officeDocument/2006/relationships" ref="H117" display="https://www.douyin.com/user/MS4wLjABAAAAOZRzvPyZglQrsM4OFoeoMBVti1C1pOPeca0FmVn6asI" r:id="rId224"/>
    <hyperlink xmlns:r="http://schemas.openxmlformats.org/officeDocument/2006/relationships" ref="G118" display="https://www.xingtu.cn/ad/creator/author-homepage/douyin-video/7352563615523831846?market_track_id=4BERLIU6SO8XHSXLC73B&amp;search_session_id=7613713015862558770&amp;possessStarId&amp;active_tab=content_performance&amp;active_module=.content-video-list-panel&amp;content_key_word=%E8%B1%AA%E5%8D%8E%E8%A3%85%E4%BF%AE" r:id="rId225"/>
    <hyperlink xmlns:r="http://schemas.openxmlformats.org/officeDocument/2006/relationships" ref="H118" display="https://www.douyin.com/user/MS4wLjABAAAAgQVOa4WQ3cDk9Z3fGmEQMIKnZrLhfe-e3SXQwBHv8w9YpxR48MqGTTYvf-_NGLuI" r:id="rId226"/>
    <hyperlink xmlns:r="http://schemas.openxmlformats.org/officeDocument/2006/relationships" ref="G120" display="https://www.xingtu.cn/ad/creator/author-homepage/douyin-video/6985112676447813673?market_track_id=L6OVDUJQ4O614ZL9TH2Q&amp;search_session_id=7614030191970631707&amp;possessStarId" r:id="rId227"/>
    <hyperlink xmlns:r="http://schemas.openxmlformats.org/officeDocument/2006/relationships" ref="H120" display="https://www.douyin.com/user/MS4wLjABAAAAxY1B2wXgRFIM56Dgmq6l5LbbLyZkVzxrwerDc-nkWz8" r:id="rId228"/>
    <hyperlink xmlns:r="http://schemas.openxmlformats.org/officeDocument/2006/relationships" ref="G121" display="https://www.xingtu.cn/ad/creator/author-homepage/douyin-video/6986059745152991272?market_track_id=L6OVDUJQ4O614ZL9TH2Q&amp;search_session_id=7614028749639303218&amp;possessStarId" r:id="rId229"/>
    <hyperlink xmlns:r="http://schemas.openxmlformats.org/officeDocument/2006/relationships" ref="H121" display="https://www.douyin.com/user/MS4wLjABAAAA0IM_YtJKDo8tVLPsKWnHWVUSQjnHKgZpw0TRsqXB35GlzriFzcns96tjKKRr7WTI" r:id="rId230"/>
    <hyperlink xmlns:r="http://schemas.openxmlformats.org/officeDocument/2006/relationships" ref="G122" display="https://www.xingtu.cn/ad/creator/author-homepage/douyin-video/6676069661546643469?market_track_id=L6OVDUJQ4O614ZL9TH2Q&amp;search_session_id=7614028319940329481&amp;possessStarId" r:id="rId231"/>
    <hyperlink xmlns:r="http://schemas.openxmlformats.org/officeDocument/2006/relationships" ref="H122" display="https://www.douyin.com/user/MS4wLjABAAAAsIc5vRvWsrV1GaqH6o-SAbRJtC8nwg7lsnHhVZZgDxY" r:id="rId232"/>
    <hyperlink xmlns:r="http://schemas.openxmlformats.org/officeDocument/2006/relationships" ref="G123" display="https://www.xingtu.cn/ad/creator/author-homepage/douyin-video/6870170372180803598?market_track_id=L6OVDUJQ4O614ZL9TH2Q&amp;search_session_id=7614027246912929802&amp;possessStarId" r:id="rId233"/>
    <hyperlink xmlns:r="http://schemas.openxmlformats.org/officeDocument/2006/relationships" ref="H123" display="https://www.douyin.com/user/MS4wLjABAAAAm3V44lWQilTjDS47oNpamPBHH8ZcVDsGzaa3fpHU6-W2RUK6fUc4ZNwi7FGgtBch" r:id="rId234"/>
    <hyperlink xmlns:r="http://schemas.openxmlformats.org/officeDocument/2006/relationships" ref="G124" display="https://www.xingtu.cn/ad/creator/author-homepage/douyin-video/7178384753874173987?market_track_id=WQYDLK95ZIKAMRQ6Y2QU&amp;search_session_id=7614026091378180146&amp;possessStarId" r:id="rId235"/>
    <hyperlink xmlns:r="http://schemas.openxmlformats.org/officeDocument/2006/relationships" ref="H124" display="https://www.douyin.com/user/MS4wLjABAAAAGkPRwD17lxAwIwfU_cS_ZCFQDp3onlv7Vt4oWuF3UhNS0eRgdJMLDUx_2-BynGRj" r:id="rId236"/>
    <hyperlink xmlns:r="http://schemas.openxmlformats.org/officeDocument/2006/relationships" ref="G125" display="https://www.xingtu.cn/ad/creator/author-homepage/douyin-video/6870161635978248200?market_track_id=WQYDLK95ZIKAMRQ6Y2QU&amp;search_session_id=7614026091378180146&amp;possessStarId" r:id="rId237"/>
    <hyperlink xmlns:r="http://schemas.openxmlformats.org/officeDocument/2006/relationships" ref="H125" display="https://www.douyin.com/user/MS4wLjABAAAAqvZxAHFLfL78cSnQE4ryO2MVRIV7Js0d30t7HrghwW8" r:id="rId238"/>
    <hyperlink xmlns:r="http://schemas.openxmlformats.org/officeDocument/2006/relationships" ref="G126" display="https://www.xingtu.cn/ad/creator/author-homepage/douyin-video/7508697881956581426?market_track_id=3YU55T6DF8CQHN5XHUD0&amp;search_session_id=7614018373919326259&amp;possessStarId" r:id="rId239"/>
    <hyperlink xmlns:r="http://schemas.openxmlformats.org/officeDocument/2006/relationships" ref="H126" display="https://www.douyin.com/user/MS4wLjABAAAAV0cJA1agqmxtM2EzsVN1cftQhT-e7OmmA7mldgm76ZE" r:id="rId240"/>
    <hyperlink xmlns:r="http://schemas.openxmlformats.org/officeDocument/2006/relationships" ref="G127" display="https://www.xingtu.cn/ad/creator/author-homepage/douyin-video/7477844741715918857?market_track_id=PINW6WI6KSBUMZJ76TDD&amp;search_session_id=7614018057254125595&amp;possessStarId" r:id="rId241"/>
    <hyperlink xmlns:r="http://schemas.openxmlformats.org/officeDocument/2006/relationships" ref="H127" display="https://www.douyin.com/user/MS4wLjABAAAApxtSK4SUdrPKkhZOD0OonucazNqEnp5UVxkT6_2JY80" r:id="rId242"/>
    <hyperlink xmlns:r="http://schemas.openxmlformats.org/officeDocument/2006/relationships" ref="G128" display="https://www.xingtu.cn/ad/creator/author-homepage/douyin-video/6724813695026724872?market_track_id=JKO9S71X89B2JTGHM2WK&amp;search_session_id=7614017373054173230&amp;possessStarId" r:id="rId243"/>
    <hyperlink xmlns:r="http://schemas.openxmlformats.org/officeDocument/2006/relationships" ref="H128" display="https://www.douyin.com/user/MS4wLjABAAAAOGUuJYH1ZGSzKalWWD7o9jvgV2MEJAL-KrZxEHEbtRKBkaFMI7fw1UIGZC98-3c8" r:id="rId244"/>
    <hyperlink xmlns:r="http://schemas.openxmlformats.org/officeDocument/2006/relationships" ref="G129" display="https://www.xingtu.cn/ad/creator/author-homepage/douyin-video/6802523335012909069?market_track_id=EYBQHQN99X2O5Q0DSX1Q&amp;search_session_id=7614014387368149030&amp;possessStarId" r:id="rId245"/>
    <hyperlink xmlns:r="http://schemas.openxmlformats.org/officeDocument/2006/relationships" ref="H129" display="https://www.douyin.com/user/MS4wLjABAAAAISjmopPTsqgdmoF2_63yBDkUBB5dl1JxIS4veijKvu8lHpIfoe697n4IHzQiiL1h" r:id="rId246"/>
    <hyperlink xmlns:r="http://schemas.openxmlformats.org/officeDocument/2006/relationships" ref="G130" display="https://www.xingtu.cn/ad/creator/author-homepage/douyin-video/7084154934194602015?market_track_id=7P11BU0QH3JUILEBBP4A&amp;search_session_id=7614057364714962953&amp;possessStarId" r:id="rId247"/>
    <hyperlink xmlns:r="http://schemas.openxmlformats.org/officeDocument/2006/relationships" ref="H130" display="https://www.douyin.com/user/MS4wLjABAAAAePAjINl-WhZkoYb5XTGudH1ixmQmSu6TEJVq4rSlg52ZHnq4AqamylK0xaEe89My" r:id="rId248"/>
    <hyperlink xmlns:r="http://schemas.openxmlformats.org/officeDocument/2006/relationships" ref="G131" display="https://www.xingtu.cn/ad/creator/author-homepage/douyin-video/7270897124420616248?market_track_id=7P11BU0QH3JUILEBBP4A&amp;search_session_id=7614054949244190758&amp;possessStarId" r:id="rId249"/>
    <hyperlink xmlns:r="http://schemas.openxmlformats.org/officeDocument/2006/relationships" ref="H131" display="https://www.douyin.com/user/MS4wLjABAAAAg8Mg_d7hgLjyA9uAtaqiTvttWPKZ5yWHuoIODMrmP44HvVKzkPwWZqK19nFJ1WeF" r:id="rId250"/>
    <hyperlink xmlns:r="http://schemas.openxmlformats.org/officeDocument/2006/relationships" ref="G132" display="https://www.xingtu.cn/ad/creator/author-homepage/douyin-video/7033380756344799245?market_track_id=LJEBFSAIHN7BCR7ZI2HV&amp;search_session_id=7614051618291892275&amp;possessStarId&amp;active_tab=content_performance&amp;active_module=.content-video-list-panel&amp;content_key_word=%E8%A5%BF%E9%97%A8%E5%AD%90%E6%B4%97%E7%A2%97%E6%9C%BA" r:id="rId251"/>
    <hyperlink xmlns:r="http://schemas.openxmlformats.org/officeDocument/2006/relationships" ref="H132" display="https://www.douyin.com/user/MS4wLjABAAAAMIow4IidM8LpJKIPiUQWPenIKujwU5tQSVJs425VcmG8XHQLBhZv1rhMqaoa2HHD" r:id="rId252"/>
    <hyperlink xmlns:r="http://schemas.openxmlformats.org/officeDocument/2006/relationships" ref="G133" display="https://www.xingtu.cn/ad/creator/author-homepage/douyin-video/7328292040884617243?market_track_id=LJEBFSAIHN7BCR7ZI2HV&amp;search_session_id=7614051246857158682&amp;possessStarId&amp;active_tab=content_performance&amp;active_module=.content-video-list-panel&amp;content_key_word=%E8%A5%BF%E9%97%A8%E5%AD%90%E6%B4%97%E7%A2%97%E6%9C%BA" r:id="rId253"/>
    <hyperlink xmlns:r="http://schemas.openxmlformats.org/officeDocument/2006/relationships" ref="H133" display="https://www.douyin.com/user/MS4wLjABAAAAhXJSKlSxBE7TmZ82DXRrnqZEry4CIY91uzCvy2ndLOs" r:id="rId254"/>
    <hyperlink xmlns:r="http://schemas.openxmlformats.org/officeDocument/2006/relationships" ref="G134" display="https://www.xingtu.cn/ad/creator/author-homepage/douyin-video/7049972731298709518?market_track_id=JWHCKSQATMGCFTWYYRMO&amp;search_session_id=7614050235639300105&amp;possessStarId&amp;active_tab=content_performance&amp;active_module=.content-video-list-panel&amp;content_key_word=%E8%A5%BF%E9%97%A8%E5%AD%90%E6%B4%97%E7%A2%97%E6%9C%BA" r:id="rId255"/>
    <hyperlink xmlns:r="http://schemas.openxmlformats.org/officeDocument/2006/relationships" ref="H134" display="https://www.douyin.com/user/MS4wLjABAAAAHL128hJOpcnMRU7OtD11aNRgmrPm2_zqIGng1cGE3kQ" r:id="rId256"/>
    <hyperlink xmlns:r="http://schemas.openxmlformats.org/officeDocument/2006/relationships" ref="G135" display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" r:id="rId257"/>
    <hyperlink xmlns:r="http://schemas.openxmlformats.org/officeDocument/2006/relationships" ref="H135" display="https://www.douyin.com/user/MS4wLjABAAAA7slDjZsDDFxXoscBEUG2oZSUhl0f8x-RhBd5rK2YchuwBEDJD-fXQrisE7VCeOrJ" r:id="rId258"/>
    <hyperlink xmlns:r="http://schemas.openxmlformats.org/officeDocument/2006/relationships" ref="G136" display="https://www.xingtu.cn/ad/creator/author-homepage/douyin-video/6904928031547064335?market_track_id=NHDHIZHMWY3LDTI1FTJQ&amp;search_session_id=7614064463817539610&amp;possessStarId" r:id="rId259"/>
    <hyperlink xmlns:r="http://schemas.openxmlformats.org/officeDocument/2006/relationships" ref="H136" display="https://www.douyin.com/user/MS4wLjABAAAA4BllNusuuP22r0wVxSBWvVleCtUAvfEKlWx_vHMFjP8" r:id="rId260"/>
    <hyperlink xmlns:r="http://schemas.openxmlformats.org/officeDocument/2006/relationships" ref="G138" display="https://www.xingtu.cn/ad/creator/author-homepage/douyin-video/7147705319940948005?market_track_id=L60CDC3Z3L2F86KHGUO5&amp;search_session_id=7615128024560467977&amp;possessStarId" r:id="rId261"/>
    <hyperlink xmlns:r="http://schemas.openxmlformats.org/officeDocument/2006/relationships" ref="H138" display="https://www.douyin.com/user/MS4wLjABAAAA8VE5ljHzd8prz-FqC6920tEcl7HSI3b_ihPQol808HQ7nA-f6RDwkeZ3Mm8jMp3Y" r:id="rId262"/>
    <hyperlink xmlns:r="http://schemas.openxmlformats.org/officeDocument/2006/relationships" ref="G139" display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" r:id="rId263"/>
    <hyperlink xmlns:r="http://schemas.openxmlformats.org/officeDocument/2006/relationships" ref="H139" display="https://www.douyin.com/user/MS4wLjABAAAA0BIOqMlFvRjsOveQoVO6Wq1DaOgs2LMB-wAXHRZeIIg" r:id="rId264"/>
    <hyperlink xmlns:r="http://schemas.openxmlformats.org/officeDocument/2006/relationships" ref="G140" display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" r:id="rId265"/>
    <hyperlink xmlns:r="http://schemas.openxmlformats.org/officeDocument/2006/relationships" ref="H140" display="https://www.douyin.com/user/MS4wLjABAAAAi0Z66aFzn6W5NeNnoo3rJeN1JxHSs4ltPgW616-pL2Bv1fTfgd_AdyyBauGPe1xm" r:id="rId266"/>
    <hyperlink xmlns:r="http://schemas.openxmlformats.org/officeDocument/2006/relationships" ref="G141" display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" r:id="rId267"/>
    <hyperlink xmlns:r="http://schemas.openxmlformats.org/officeDocument/2006/relationships" ref="H141" display="https://www.douyin.com/user/MS4wLjABAAAAc5kxst574ZOPmOCPOBZeuzPkfjqvCtEGcCL3rqLzrQI" r:id="rId268"/>
    <hyperlink xmlns:r="http://schemas.openxmlformats.org/officeDocument/2006/relationships" ref="G142" display="https://www.xingtu.cn/ad/creator/author-homepage/douyin-video/7274104585919135805?market_track_id=3G380J2URG4I92KTFQXH&amp;search_session_id=7615134247246250035&amp;possessStarId&amp;active_tab=content_performance&amp;active_module=.content-video-list-panel&amp;content_key_word=%E6%B4%97%E7%A2%97%E6%9C%BA" r:id="rId269"/>
    <hyperlink xmlns:r="http://schemas.openxmlformats.org/officeDocument/2006/relationships" ref="H142" display="https://www.douyin.com/user/MS4wLjABAAAABgjOPrLlY-rDPOX15I-GpgkzLdaFVd0auTxVmBqf29Lxklz11zM18PoftzsNHtTn" r:id="rId270"/>
    <hyperlink xmlns:r="http://schemas.openxmlformats.org/officeDocument/2006/relationships" ref="G143" display="https://www.xingtu.cn/ad/creator/author-homepage/douyin-video/6724813695026724872?market_track_id=3G380J2URG4I92KTFQXH&amp;search_session_id=7615134758137266202&amp;possessStarId&amp;active_tab=content_performance&amp;active_module=.content-video-list-panel&amp;content_key_word=%E6%B4%97%E7%A2%97%E6%9C%BA" r:id="rId271"/>
    <hyperlink xmlns:r="http://schemas.openxmlformats.org/officeDocument/2006/relationships" ref="H143" display="https://www.douyin.com/user/MS4wLjABAAAAOGUuJYH1ZGSzKalWWD7o9jvgV2MEJAL-KrZxEHEbtRKBkaFMI7fw1UIGZC98-3c8" r:id="rId272"/>
    <hyperlink xmlns:r="http://schemas.openxmlformats.org/officeDocument/2006/relationships" ref="G144" display="https://www.xingtu.cn/ad/creator/author-homepage/douyin-video/6618402488544395278?market_track_id=3G380J2URG4I92KTFQXH&amp;search_session_id=7615135036824371209&amp;possessStarId&amp;active_tab=content_performance&amp;active_module=.content-video-list-panel&amp;content_key_word=%E6%B4%97%E7%A2%97%E6%9C%BA" r:id="rId273"/>
    <hyperlink xmlns:r="http://schemas.openxmlformats.org/officeDocument/2006/relationships" ref="H144" display="https://www.douyin.com/user/MS4wLjABAAAAeRGufrbIlWfmqnnoR5HoFOQJRxKw23wrXHvOSjmNg9Q" r:id="rId274"/>
    <hyperlink xmlns:r="http://schemas.openxmlformats.org/officeDocument/2006/relationships" ref="G145" display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" r:id="rId275"/>
    <hyperlink xmlns:r="http://schemas.openxmlformats.org/officeDocument/2006/relationships" ref="H145" display="https://www.douyin.com/user/MS4wLjABAAAAP0p19DKAPCeDWTBGWDVpHAsjIRQIlDl3ehczZGtLdZQ" r:id="rId276"/>
    <hyperlink xmlns:r="http://schemas.openxmlformats.org/officeDocument/2006/relationships" ref="G146" display="https://www.xingtu.cn/ad/creator/author-homepage/douyin-video/7540150952368537651?market_track_id=3G380J2URG4I92KTFQXH&amp;search_session_id=7615135518170447922&amp;possessStarId&amp;active_tab=content_performance&amp;active_module=.content-video-list-panel&amp;content_key_word=%E6%B4%97%E7%A2%97%E6%9C%BA" r:id="rId277"/>
    <hyperlink xmlns:r="http://schemas.openxmlformats.org/officeDocument/2006/relationships" ref="H146" display="https://www.douyin.com/user/MS4wLjABAAAAFQuoZ6RhUp0SnW8l1TEAokkGRgm5yh6xVQUd45wq8xciJ85WZUjDjLMtE5Z_4JF2" r:id="rId278"/>
    <hyperlink xmlns:r="http://schemas.openxmlformats.org/officeDocument/2006/relationships" ref="G147" display="https://www.xingtu.cn/ad/creator/author-homepage/douyin-video/7169851446777610248?market_track_id=3G380J2URG4I92KTFQXH&amp;search_session_id=7615135518170447922&amp;possessStarId&amp;active_tab=content_performance&amp;active_module=.content-video-list-panel&amp;content_key_word=%E6%B4%97%E7%A2%97%E6%9C%BA" r:id="rId279"/>
    <hyperlink xmlns:r="http://schemas.openxmlformats.org/officeDocument/2006/relationships" ref="H147" display="https://www.douyin.com/user/MS4wLjABAAAAtYkjMp_gk7RQq3D7tBkQs1LkPOJ6LcHYP5CXYCShZ3BM8-uq-ziaILKFiqLN5MoC" r:id="rId280"/>
    <hyperlink xmlns:r="http://schemas.openxmlformats.org/officeDocument/2006/relationships" ref="G148" display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" r:id="rId281"/>
    <hyperlink xmlns:r="http://schemas.openxmlformats.org/officeDocument/2006/relationships" ref="H148" display="https://www.douyin.com/user/MS4wLjABAAAAqKockBn2sLlJTihnGBvV706p95ACOWq5a8RoXBHe4dY" r:id="rId282"/>
    <hyperlink xmlns:r="http://schemas.openxmlformats.org/officeDocument/2006/relationships" ref="G149" display="https://www.xingtu.cn/ad/creator/author-homepage/douyin-video/7307651283161186342?market_track_id=3G380J2URG4I92KTFQXH&amp;search_session_id=7615136157550723122&amp;possessStarId&amp;active_tab=content_performance&amp;active_module=.content-video-list-panel&amp;content_key_word=%E6%B4%97%E7%A2%97%E6%9C%BA" r:id="rId283"/>
    <hyperlink xmlns:r="http://schemas.openxmlformats.org/officeDocument/2006/relationships" ref="H149" display="https://www.douyin.com/user/MS4wLjABAAAAreB1EtCOEXZMDmoPqhDLAj0tu90QYDxBvSQiaskMwNnLVgKhMKxy_zDxCVC1k4XN" r:id="rId284"/>
    <hyperlink xmlns:r="http://schemas.openxmlformats.org/officeDocument/2006/relationships" ref="G150" display="https://www.xingtu.cn/ad/creator/author-homepage/douyin-video/7026223442739331108?market_track_id=3G380J2URG4I92KTFQXH&amp;search_session_id=7615136157550723122&amp;possessStarId&amp;active_tab=content_performance&amp;active_module=.content-video-list-panel&amp;content_key_word=%E6%B4%97%E7%A2%97%E6%9C%BA" r:id="rId285"/>
    <hyperlink xmlns:r="http://schemas.openxmlformats.org/officeDocument/2006/relationships" ref="H150" display="https://www.douyin.com/user/MS4wLjABAAAAvgt-N8kKGM10j6tquouBiy5QIQ81POIJKwq-U2rwPiWs4RkXsgHtou7t9jNSwmMb" r:id="rId286"/>
    <hyperlink xmlns:r="http://schemas.openxmlformats.org/officeDocument/2006/relationships" ref="G151" display="https://www.xingtu.cn/ad/creator/author-homepage/douyin-video/6906929328903159821?market_track_id=3G380J2URG4I92KTFQXH&amp;search_session_id=7615136157550723122&amp;possessStarId&amp;active_tab=content_performance&amp;active_module=.content-video-list-panel&amp;content_key_word=%E6%B4%97%E7%A2%97%E6%9C%BA" r:id="rId287"/>
    <hyperlink xmlns:r="http://schemas.openxmlformats.org/officeDocument/2006/relationships" ref="H151" display="https://www.douyin.com/user/MS4wLjABAAAA57X26jieEwRnyDdFjl9Cx8mY_hSVPTdepH-jt6KyrPZEp8UtnJa9_Rd8GM43Mq_W" r:id="rId288"/>
    <hyperlink xmlns:r="http://schemas.openxmlformats.org/officeDocument/2006/relationships" ref="G152" display="https://www.xingtu.cn/ad/creator/author-homepage/douyin-video/7347537372684222483?market_track_id=3G380J2URG4I92KTFQXH&amp;search_session_id=7615136758170828850&amp;possessStarId&amp;active_tab=content_performance&amp;active_module=.content-video-list-panel&amp;content_key_word=%E6%B4%97%E7%A2%97%E6%9C%BA" r:id="rId289"/>
    <hyperlink xmlns:r="http://schemas.openxmlformats.org/officeDocument/2006/relationships" ref="H152" display="https://www.douyin.com/user/MS4wLjABAAAARK2WtnWl7uvpQvtKMTP7i9hhf5Wk3bmUJa8GzRWdMD4" r:id="rId290"/>
    <hyperlink xmlns:r="http://schemas.openxmlformats.org/officeDocument/2006/relationships" ref="G153" display="https://www.xingtu.cn/ad/creator/author-homepage/douyin-video/7089045907315884069?market_track_id=77K7OT6KHM36OOHV8ROB&amp;search_session_id=7615137695518113843&amp;possessStarId&amp;active_tab=content_performance&amp;active_module=.content-video-list-panel&amp;content_key_word=%E6%B2%B9%E7%83%9F%E6%9C%BA" r:id="rId291"/>
    <hyperlink xmlns:r="http://schemas.openxmlformats.org/officeDocument/2006/relationships" ref="H153" display="https://www.douyin.com/user/MS4wLjABAAAAT2z44py_T_Mt3x9PkvF0ZHYyU6R1DlLcYBTLgA6GkPe-gC17FlYvmt40XMV7EDHz" r:id="rId292"/>
    <hyperlink xmlns:r="http://schemas.openxmlformats.org/officeDocument/2006/relationships" ref="G154" display="https://www.xingtu.cn/ad/creator/author-homepage/douyin-video/7165647277933985825?market_track_id=77K7OT6KHM36OOHV8ROB&amp;search_session_id=7615139118062092298&amp;possessStarId&amp;active_tab=content_performance&amp;active_module=.content-video-list-panel&amp;content_key_word=%E6%B2%B9%E7%83%9F%E6%9C%BA" r:id="rId293"/>
    <hyperlink xmlns:r="http://schemas.openxmlformats.org/officeDocument/2006/relationships" ref="H154" display="https://www.douyin.com/user/MS4wLjABAAAACtgEdFXImTysoKNBtymQvAFIpFUR1girZ-l6HWP7_JaZeR8_4AoYkHtonTFqCcYx" r:id="rId294"/>
    <hyperlink xmlns:r="http://schemas.openxmlformats.org/officeDocument/2006/relationships" ref="G155" display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" r:id="rId295"/>
    <hyperlink xmlns:r="http://schemas.openxmlformats.org/officeDocument/2006/relationships" ref="H155" display="https://www.douyin.com/user/MS4wLjABAAAArUV5HctAWlnVc-augz__U2D--90a2UMmw9oiziP91Fw" r:id="rId296"/>
    <hyperlink xmlns:r="http://schemas.openxmlformats.org/officeDocument/2006/relationships" ref="G156" display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" r:id="rId297"/>
    <hyperlink xmlns:r="http://schemas.openxmlformats.org/officeDocument/2006/relationships" ref="H156" display="https://www.douyin.com/user/MS4wLjABAAAAiN15qBuxq9JWH-8-zX4vmzMSSPoRvRUcOQze7Z3ORzs" r:id="rId298"/>
    <hyperlink xmlns:r="http://schemas.openxmlformats.org/officeDocument/2006/relationships" ref="G157" display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" r:id="rId299"/>
    <hyperlink xmlns:r="http://schemas.openxmlformats.org/officeDocument/2006/relationships" ref="H157" display="https://www.douyin.com/user/MS4wLjABAAAAw62OndX7mTNjejKQRh6SQYU_9TjuHI_GsCqDZCEiz9c" r:id="rId300"/>
    <hyperlink xmlns:r="http://schemas.openxmlformats.org/officeDocument/2006/relationships" ref="G158" display="https://www.xingtu.cn/ad/creator/author-homepage/douyin-video/7215526602636001283?market_track_id=2HPQ3HRNLPZF3O2NNCPK&amp;search_session_id=7615456741454544923&amp;possessStarId" r:id="rId301"/>
    <hyperlink xmlns:r="http://schemas.openxmlformats.org/officeDocument/2006/relationships" ref="H158" display="https://www.douyin.com/user/MS4wLjABAAAAvLnzMrcSjaXfkhP2RsN54q3z2FdcxAf-CCFnJ9PrfMM" r:id="rId302"/>
    <hyperlink xmlns:r="http://schemas.openxmlformats.org/officeDocument/2006/relationships" ref="G159" display="https://www.xingtu.cn/ad/creator/author-homepage/douyin-video/6998453239444144141?market_track_id=2HPQ3HRNLPZF3O2NNCPK&amp;search_session_id=7615457725783031846&amp;possessStarId" r:id="rId303"/>
    <hyperlink xmlns:r="http://schemas.openxmlformats.org/officeDocument/2006/relationships" ref="H159" display="https://www.douyin.com/user/MS4wLjABAAAAxDMwGMy1oT3v6eKuMUTM4VvK7NUngdr1aCUmI6-42MA" r:id="rId304"/>
    <hyperlink xmlns:r="http://schemas.openxmlformats.org/officeDocument/2006/relationships" ref="G160" display="https://www.xingtu.cn/ad/creator/author-homepage/douyin-video/6629666241705410573?market_track_id=84IXJ55RHDHQ8YK07AR1&amp;search_session_id=7615523856413081609&amp;possessStarId&amp;active_tab=content_performance&amp;active_module=.content-video-list-panel&amp;content_key_word=%E6%B2%B9%E7%83%9F%E6%9C%BA" r:id="rId305"/>
    <hyperlink xmlns:r="http://schemas.openxmlformats.org/officeDocument/2006/relationships" ref="H160" display="https://www.douyin.com/user/MS4wLjABAAAArUV5HctAWlnVc-augz__U2D--90a2UMmw9oiziP91Fw" r:id="rId306"/>
    <hyperlink xmlns:r="http://schemas.openxmlformats.org/officeDocument/2006/relationships" ref="G161" display="https://www.xingtu.cn/ad/creator/author-homepage/douyin-video/6865243178899865613?market_track_id=2HPQ3HRNLPZF3O2NNCPK&amp;search_session_id=7615457725783031846&amp;possessStarId" r:id="rId307"/>
    <hyperlink xmlns:r="http://schemas.openxmlformats.org/officeDocument/2006/relationships" ref="H161" display="https://www.douyin.com/user/MS4wLjABAAAAf_goQR48e315TNYn713YZygAzYX2u8HbrZqKl0J9wJY" r:id="rId308"/>
    <hyperlink xmlns:r="http://schemas.openxmlformats.org/officeDocument/2006/relationships" ref="G162" display="https://www.xingtu.cn/ad/creator/author-homepage/douyin-video/7284525791256412216?market_track_id=2HPQ3HRNLPZF3O2NNCPK&amp;search_session_id=7615457725783031846&amp;possessStarId" r:id="rId309"/>
    <hyperlink xmlns:r="http://schemas.openxmlformats.org/officeDocument/2006/relationships" ref="H162" display="https://www.douyin.com/user/MS4wLjABAAAAE02CEEZR-G8X-daREUFZiMOepruk8UmM1XuGjYLEm1Iq_aUvDbhnHG8wsz-x5kYZ" r:id="rId310"/>
    <hyperlink xmlns:r="http://schemas.openxmlformats.org/officeDocument/2006/relationships" ref="G163" display="https://www.xingtu.cn/ad/creator/author-homepage/douyin-video/6870170334209769479?market_track_id=2HPQ3HRNLPZF3O2NNCPK&amp;search_session_id=7615457725783031846&amp;possessStarId" r:id="rId311"/>
    <hyperlink xmlns:r="http://schemas.openxmlformats.org/officeDocument/2006/relationships" ref="H163" display="https://www.douyin.com/user/MS4wLjABAAAAsvKZAG9tg8xDWUM7kYrWLBjCK9xzFPoY5mHwGl2nd4Na-EHLIOqis9AKbu5RITbY" r:id="rId312"/>
    <hyperlink xmlns:r="http://schemas.openxmlformats.org/officeDocument/2006/relationships" ref="G164" display="https://www.xingtu.cn/ad/creator/author-homepage/douyin-video/7426413901488586762?market_track_id=7XTIV3268V2E8E5IT2EH&amp;search_session_id=7615462866862456883&amp;possessStarId" r:id="rId313"/>
    <hyperlink xmlns:r="http://schemas.openxmlformats.org/officeDocument/2006/relationships" ref="H164" display="https://www.douyin.com/user/MS4wLjABAAAA5ieCblRPwqy05p0W7-LUJsdt7jAFeDvq7__8Q6vLnW_TL-Vt3BjQ8lbCn6xwVik9" r:id="rId314"/>
    <hyperlink xmlns:r="http://schemas.openxmlformats.org/officeDocument/2006/relationships" ref="G165" display="https://www.xingtu.cn/ad/creator/author-homepage/douyin-video/6870163502879735815?market_track_id=7XTIV3268V2E8E5IT2EH&amp;search_session_id=7615463195943927858&amp;possessStarId" r:id="rId315"/>
    <hyperlink xmlns:r="http://schemas.openxmlformats.org/officeDocument/2006/relationships" ref="H165" display="https://www.douyin.com/user/MS4wLjABAAAATWFDIem4wHJK5WvRisrwahjXdK1bD_lsJ6ptOhWcZ24" r:id="rId316"/>
    <hyperlink xmlns:r="http://schemas.openxmlformats.org/officeDocument/2006/relationships" ref="E166" display="https://www.xingtu.cn/ad/creator/insight/hot-video-detail/7549408530558700810 小米中央空调数据比平均值高出很多" r:id="rId317"/>
    <hyperlink xmlns:r="http://schemas.openxmlformats.org/officeDocument/2006/relationships" ref="G166" display="https://www.xingtu.cn/ad/creator/author-homepage/douyin-video/6852091331976626183?market_track_id=7XTIV3268V2E8E5IT2EH&amp;search_session_id=7615463195943927858&amp;possessStarId" r:id="rId318"/>
    <hyperlink xmlns:r="http://schemas.openxmlformats.org/officeDocument/2006/relationships" ref="H166" display="https://www.douyin.com/user/MS4wLjABAAAAppOS4DJ7fr7JBzuEkyD4Eb71j0RvJi2pzQ1RA8i0YUU" r:id="rId319"/>
    <hyperlink xmlns:r="http://schemas.openxmlformats.org/officeDocument/2006/relationships" ref="G167" display="https://www.xingtu.cn/ad/creator/author-homepage/douyin-video/7097903661300318212?market_track_id=7XTIV3268V2E8E5IT2EH&amp;search_session_id=7615464980443709490&amp;possessStarId" r:id="rId320"/>
    <hyperlink xmlns:r="http://schemas.openxmlformats.org/officeDocument/2006/relationships" ref="H167" display="https://www.douyin.com/user/MS4wLjABAAAAMOQYHIeQaSBfkKGYK3HinNMCCD-5F2wBfonYPYtOGv9Qf-dT6Hcc8hFbwGFUUJ_3" r:id="rId321"/>
    <hyperlink xmlns:r="http://schemas.openxmlformats.org/officeDocument/2006/relationships" ref="G168" display="https://www.xingtu.cn/ad/creator/author-homepage/douyin-video/7345359121169776650?market_track_id=7XTIV3268V2E8E5IT2EH&amp;search_session_id=7615464980443709490&amp;possessStarId" r:id="rId322"/>
    <hyperlink xmlns:r="http://schemas.openxmlformats.org/officeDocument/2006/relationships" ref="H168" display="https://www.douyin.com/user/MS4wLjABAAAAoZrfiAPRqnQsecoH9wT6_ghGAHI6xrCobmimGNFnCfyKylgFh9SW4GD3EYEn_r1p" r:id="rId323"/>
    <hyperlink xmlns:r="http://schemas.openxmlformats.org/officeDocument/2006/relationships" ref="E169" display="https://www.xingtu.cn/ad/creator/insight/hot-video-detail/7603636629379073194 有家电爆款内容" r:id="rId324"/>
    <hyperlink xmlns:r="http://schemas.openxmlformats.org/officeDocument/2006/relationships" ref="G169" display="https://www.xingtu.cn/ad/creator/author-homepage/douyin-video/7156104742790234124?market_track_id=7XTIV3268V2E8E5IT2EH&amp;search_session_id=7615465608784199706&amp;possessStarId" r:id="rId325"/>
    <hyperlink xmlns:r="http://schemas.openxmlformats.org/officeDocument/2006/relationships" ref="H169" display="https://www.douyin.com/user/MS4wLjABAAAAoErf_F985MsYLuH6bzMVoMC8Hzuo-7cMx-IW5GHv-XU" r:id="rId326"/>
    <hyperlink xmlns:r="http://schemas.openxmlformats.org/officeDocument/2006/relationships" ref="G170" display="https://www.xingtu.cn/ad/creator/author-homepage/douyin-video/7411126425756893221?market_track_id=JHTNBEGQO60RJNOU4K0V&amp;search_session_id=7612611836790308873&amp;possessStarId" r:id="rId327"/>
    <hyperlink xmlns:r="http://schemas.openxmlformats.org/officeDocument/2006/relationships" ref="H170" display="https://www.douyin.com/user/MS4wLjABAAAARUypKahedhA7ZUKq8lGwB7JlQ6dWkAaafyXnU9MdhTgLGC5w0AW2ZKnxtVsg5nZw" r:id="rId328"/>
    <hyperlink xmlns:r="http://schemas.openxmlformats.org/officeDocument/2006/relationships" ref="G171" display="https://www.xingtu.cn/ad/creator/author-homepage/douyin-video/7055226032839884807?market_track_id=7XTIV3268V2E8E5IT2EH&amp;search_session_id=7615466233768443954&amp;possessStarId" r:id="rId329"/>
    <hyperlink xmlns:r="http://schemas.openxmlformats.org/officeDocument/2006/relationships" ref="H171" display="https://www.douyin.com/user/MS4wLjABAAAAsySP850WwppMDK6QAq7ZCuhOhbUYsRLYn0GqD63aYk4" r:id="rId330"/>
    <hyperlink xmlns:r="http://schemas.openxmlformats.org/officeDocument/2006/relationships" ref="G172" display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" r:id="rId331"/>
    <hyperlink xmlns:r="http://schemas.openxmlformats.org/officeDocument/2006/relationships" ref="H172" display="https://www.douyin.com/user/MS4wLjABAAAAfYU-pzQ1R1LkhnEswzQeTah8XvAze2T-j9gmANn6w2E" r:id="rId332"/>
    <hyperlink xmlns:r="http://schemas.openxmlformats.org/officeDocument/2006/relationships" ref="G173" display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" r:id="rId333"/>
    <hyperlink xmlns:r="http://schemas.openxmlformats.org/officeDocument/2006/relationships" ref="H173" display="https://www.douyin.com/user/MS4wLjABAAAA3qWxZw2BoHAJqcOlbTuiy9r6cAA4wtPJFmDXbEtp9mM" r:id="rId334"/>
    <hyperlink xmlns:r="http://schemas.openxmlformats.org/officeDocument/2006/relationships" ref="G174" display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" r:id="rId335"/>
    <hyperlink xmlns:r="http://schemas.openxmlformats.org/officeDocument/2006/relationships" ref="H174" display="https://www.douyin.com/user/MS4wLjABAAAAGUA3s_FZOLUkQcZEn-t4I4BGQq7NKOfX2BkK-V-jbU0" r:id="rId336"/>
    <hyperlink xmlns:r="http://schemas.openxmlformats.org/officeDocument/2006/relationships" ref="G175" display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" r:id="rId337"/>
    <hyperlink xmlns:r="http://schemas.openxmlformats.org/officeDocument/2006/relationships" ref="H175" display="https://www.douyin.com/user/MS4wLjABAAAAi5ESFdeQq1Lfu3IoL8O7RDD3wDBZrPzLm22BbHC_PyE" r:id="rId338"/>
    <hyperlink xmlns:r="http://schemas.openxmlformats.org/officeDocument/2006/relationships" ref="G176" display="https://www.xingtu.cn/ad/creator/author-homepage/douyin-video/6676069661546643469?market_track_id=7XTIV3268V2E8E5IT2EH&amp;search_session_id=7615463597411090470&amp;possessStarId" r:id="rId339"/>
    <hyperlink xmlns:r="http://schemas.openxmlformats.org/officeDocument/2006/relationships" ref="H176" display="https://www.douyin.com/user/MS4wLjABAAAAsIc5vRvWsrV1GaqH6o-SAbRJtC8nwg7lsnHhVZZgDxY" r:id="rId340"/>
    <hyperlink xmlns:r="http://schemas.openxmlformats.org/officeDocument/2006/relationships" ref="G177" display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" r:id="rId341"/>
    <hyperlink xmlns:r="http://schemas.openxmlformats.org/officeDocument/2006/relationships" ref="H177" display="https://www.douyin.com/user/MS4wLjABAAAAM4M_uFNMnF9oxKUijqSgLnZwdSfbwLLszK-PJtgkQBRvZR__1-beUO8IJ95OBySo" r:id="rId342"/>
    <hyperlink xmlns:r="http://schemas.openxmlformats.org/officeDocument/2006/relationships" ref="G178" display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" r:id="rId343"/>
    <hyperlink xmlns:r="http://schemas.openxmlformats.org/officeDocument/2006/relationships" ref="H178" display="https://www.douyin.com/user/MS4wLjABAAAA3ZS7aZGPmGiN_PLYTTftyWefff6Dcn2cMd0OPg2JNak" r:id="rId344"/>
    <hyperlink xmlns:r="http://schemas.openxmlformats.org/officeDocument/2006/relationships" ref="G179" display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" r:id="rId345"/>
    <hyperlink xmlns:r="http://schemas.openxmlformats.org/officeDocument/2006/relationships" ref="H179" display="https://www.douyin.com/user/MS4wLjABAAAACtgEdFXImTysoKNBtymQvAFIpFUR1girZ-l6HWP7_JaZeR8_4AoYkHtonTFqCcYx" r:id="rId346"/>
    <hyperlink xmlns:r="http://schemas.openxmlformats.org/officeDocument/2006/relationships" ref="G180" display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" r:id="rId347"/>
    <hyperlink xmlns:r="http://schemas.openxmlformats.org/officeDocument/2006/relationships" ref="H180" display="https://www.douyin.com/user/MS4wLjABAAAAhmWBGlEtnFXYP_l2mPtSVcAIWU7XFHRkw1uhSXKHmwo" r:id="rId348"/>
    <hyperlink xmlns:r="http://schemas.openxmlformats.org/officeDocument/2006/relationships" ref="G181" display="https://www.xingtu.cn/ad/creator/author-homepage/douyin-video/7470420750193983526?market_track_id=QD3GB9I3WY1B49U0XHN1&amp;search_session_id=7615533721722929178&amp;possessStarId&amp;active_tab=content_performance&amp;active_module=.content-video-list-panel&amp;content_key_word=%E6%B4%97%E7%A2%97%E6%9C%BA" r:id="rId349"/>
    <hyperlink xmlns:r="http://schemas.openxmlformats.org/officeDocument/2006/relationships" ref="H181" display="https://www.douyin.com/user/MS4wLjABAAAAyhtLhiL_qYBj3p-f7JsIbf_U18q7d5UPFZ4jqM6sEGg" r:id="rId350"/>
    <hyperlink xmlns:r="http://schemas.openxmlformats.org/officeDocument/2006/relationships" ref="G182" display="https://www.xingtu.cn/ad/creator/author-homepage/douyin-video/7155560692228030477" r:id="rId351"/>
    <hyperlink xmlns:r="http://schemas.openxmlformats.org/officeDocument/2006/relationships" ref="H182" display="https://www.douyin.com/user/MS4wLjABAAAAz1xavYuYxvZZxa4b-T1E2RsMjO6SFBMellpCu39kuQU" r:id="rId352"/>
    <hyperlink xmlns:r="http://schemas.openxmlformats.org/officeDocument/2006/relationships" ref="G183" display="https://www.xingtu.cn/ad/creator/author-homepage/douyin-video/6629724072496332808?market_track_id=SUA9KH7ZBLCVW9Q8I8O3&amp;search_session_id=7611010792837922826&amp;possessStarId" r:id="rId353"/>
    <hyperlink xmlns:r="http://schemas.openxmlformats.org/officeDocument/2006/relationships" ref="H183" display="https://www.douyin.com/user/MS4wLjABAAAAp52iIUIC50X_sKEA9gkGSW3EbhMfkj6rJ5oOiL_tXtw" r:id="rId354"/>
    <hyperlink xmlns:r="http://schemas.openxmlformats.org/officeDocument/2006/relationships" ref="G184" display="https://www.xingtu.cn/ad/creator/author-homepage/douyin-video/6920165577600270344?market_track_id=SYU2O2J77PRZD6HSWFO4&amp;search_session_id=7611491430255001609&amp;possessStarId" r:id="rId355"/>
    <hyperlink xmlns:r="http://schemas.openxmlformats.org/officeDocument/2006/relationships" ref="H184" display="https://www.douyin.com/user/MS4wLjABAAAAEvnSjkvkAzbDpQ0caF50IYBkgWOAyJwd-CNfev5tkxAj7GiO0lFBkO07G1LayvKm" r:id="rId356"/>
    <hyperlink xmlns:r="http://schemas.openxmlformats.org/officeDocument/2006/relationships" ref="G185" display="https://www.xingtu.cn/ad/creator/author-homepage/douyin-video/7495973776300408859?market_track_id=PWQW3OK5VNZ1SLBXNIR0&amp;search_session_id=7611072156659302427&amp;possessStarId" r:id="rId357"/>
    <hyperlink xmlns:r="http://schemas.openxmlformats.org/officeDocument/2006/relationships" ref="H185" display="https://www.douyin.com/user/MS4wLjABAAAAnq7rHHWhn8NtYJqh0PT6cEv-grsVAk9-MV_5DFwB2tX-u92xZiyX2-8drDyBmlL5" r:id="rId358"/>
    <hyperlink xmlns:r="http://schemas.openxmlformats.org/officeDocument/2006/relationships" ref="G186" display="https://www.xingtu.cn/ad/creator/author/douyin/7173687464870019076" r:id="rId359"/>
    <hyperlink xmlns:r="http://schemas.openxmlformats.org/officeDocument/2006/relationships" ref="H186" display="https://www.douyin.com/user/MS4wLjABAAAAIFj1JP9UPWhs18VcYR0GWnoaG0_3IuysonhEak_y-E9sMIancFJvxAv5ouUg-AfN" r:id="rId360"/>
    <hyperlink xmlns:r="http://schemas.openxmlformats.org/officeDocument/2006/relationships" ref="G187" display="https://www.xingtu.cn/ad/creator/author-homepage/douyin-video/7281563288301731859?market_track_id=28H8VODTJ0FNIG82X54T&amp;search_session_id=7615568443047297034&amp;possessStarId" r:id="rId361"/>
    <hyperlink xmlns:r="http://schemas.openxmlformats.org/officeDocument/2006/relationships" ref="H187" display="https://www.douyin.com/user/MS4wLjABAAAAe3cuvpCBepjeMy5x_Qd_zT7fM240_Ad-BcVkbl1UoYw" r:id="rId362"/>
    <hyperlink xmlns:r="http://schemas.openxmlformats.org/officeDocument/2006/relationships" ref="G189" display="https://www.xingtu.cn/ad/creator/author-homepage/douyin-video/6834368834065924104?market_track_id=EVK545173R6DJQ919O2U&amp;search_session_id=7615827593002287113&amp;possessStarId" r:id="rId363"/>
    <hyperlink xmlns:r="http://schemas.openxmlformats.org/officeDocument/2006/relationships" ref="H189" display="https://www.douyin.com/user/MS4wLjABAAAA-F9dWILzcODO8ptMC_wYoEMaqlWxDlkMc3pcG4Fv6ok" r:id="rId364"/>
    <hyperlink xmlns:r="http://schemas.openxmlformats.org/officeDocument/2006/relationships" ref="G190" display="https://www.xingtu.cn/ad/creator/author-homepage/douyin-video/7245215464144502821?market_track_id=FTU6556YBFN9GARRYMMU&amp;search_session_id=7615828418950250534&amp;possessStarId" r:id="rId365"/>
    <hyperlink xmlns:r="http://schemas.openxmlformats.org/officeDocument/2006/relationships" ref="H190" display="https://www.douyin.com/user/MS4wLjABAAAAcWdg-koNqRnGlL9eDZ_Y-G0_vn1YIXEF10B1W5yI-lcbhPk8sGck8zMoxIhTmKUO" r:id="rId366"/>
    <hyperlink xmlns:r="http://schemas.openxmlformats.org/officeDocument/2006/relationships" ref="G191" display="https://www.xingtu.cn/ad/creator/author-homepage/douyin-video/6944117204090617894?market_track_id=PVVZQQZTA088YGZCZE3M&amp;search_session_id=7615829959416086554&amp;possessStarId" r:id="rId367"/>
    <hyperlink xmlns:r="http://schemas.openxmlformats.org/officeDocument/2006/relationships" ref="H191" display="https://www.douyin.com/user/MS4wLjABAAAAuizX40s-AiiyhJ8OJ2i-rV2hqLjwZX_3PJaczfPMbVJxQShBk98mSmtC11y_wVBd" r:id="rId368"/>
    <hyperlink xmlns:r="http://schemas.openxmlformats.org/officeDocument/2006/relationships" ref="G192" display="https://www.xingtu.cn/ad/creator/author-homepage/douyin-video/7120255283875545118?market_track_id=RFXEOFXZ0NT7SBTM4NSS&amp;search_session_id=7615830168871747593&amp;possessStarId" r:id="rId369"/>
    <hyperlink xmlns:r="http://schemas.openxmlformats.org/officeDocument/2006/relationships" ref="H192" display="https://www.douyin.com/user/MS4wLjABAAAA4LaXCt3utG_riGzCCLCdF0nE4x1iqCMwnPw6kIyJew37c25uFtpFI1G_IgPL9ltNhunjun1988" r:id="rId370"/>
    <hyperlink xmlns:r="http://schemas.openxmlformats.org/officeDocument/2006/relationships" ref="G193" display="https://www.xingtu.cn/ad/creator/author-homepage/douyin-video/7443044824921407538?market_track_id=OTDIBZQ2VDQKJ5MLUFVC&amp;search_session_id=7615830546245566491&amp;possessStarId" r:id="rId371"/>
    <hyperlink xmlns:r="http://schemas.openxmlformats.org/officeDocument/2006/relationships" ref="H193" display="https://www.douyin.com/user/MS4wLjABAAAAU1CIlkZD-ncNht3DJ2gyjpQMbJA8cuxm85PhmuFBlH_Xuege6EKfHP7JJ1ejcU0i" r:id="rId372"/>
    <hyperlink xmlns:r="http://schemas.openxmlformats.org/officeDocument/2006/relationships" ref="G194" display="https://www.xingtu.cn/ad/creator/author-homepage/douyin-video/6739499247890071565?market_track_id=3WJJQM1BO6UF7F5FMUOZ&amp;search_session_id=7615867715550691337&amp;possessStarId&amp;active_tab=content_performance&amp;active_module=.content-video-list-panel&amp;content_key_word=%E7%A9%BA%E8%B0%83" r:id="rId373"/>
    <hyperlink xmlns:r="http://schemas.openxmlformats.org/officeDocument/2006/relationships" ref="H194" display="https://www.douyin.com/user/MS4wLjABAAAAPpmxjaU9WAIjuHBeNcJjwxCe-WQt14KaW9OdaCMpx5w" r:id="rId374"/>
    <hyperlink xmlns:r="http://schemas.openxmlformats.org/officeDocument/2006/relationships" ref="G195" display="https://www.xingtu.cn/ad/creator/author-homepage/douyin-video/6756127062890643470?market_track_id=3WJJQM1BO6UF7F5FMUOZ&amp;search_session_id=7615869734516883483&amp;possessStarId&amp;active_tab=content_performance&amp;active_module=.content-video-list-panel&amp;content_key_word=%E7%A9%BA%E8%B0%83" r:id="rId375"/>
    <hyperlink xmlns:r="http://schemas.openxmlformats.org/officeDocument/2006/relationships" ref="H195" display="https://www.douyin.com/user/MS4wLjABAAAAClvYs-T0IT0Jh-O_-dQKH3--0A741RDW2jR_uSYe3kQ" r:id="rId376"/>
    <hyperlink xmlns:r="http://schemas.openxmlformats.org/officeDocument/2006/relationships" ref="G196" display="https://www.xingtu.cn/ad/creator/author-homepage/douyin-video/7127213766332121124?market_track_id=3WJJQM1BO6UF7F5FMUOZ&amp;search_session_id=7615870486664691722&amp;possessStarId&amp;active_tab=content_performance&amp;active_module=.content-video-list-panel&amp;content_key_word=%E7%A9%BA%E8%B0%83" r:id="rId377"/>
    <hyperlink xmlns:r="http://schemas.openxmlformats.org/officeDocument/2006/relationships" ref="H196" display="https://www.douyin.com/user/MS4wLjABAAAAGaIqVOnmR7lsUUWmFIXYrHxiGaswCmCGOXTyDCefVOU" r:id="rId378"/>
    <hyperlink xmlns:r="http://schemas.openxmlformats.org/officeDocument/2006/relationships" ref="G197" display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" r:id="rId379"/>
    <hyperlink xmlns:r="http://schemas.openxmlformats.org/officeDocument/2006/relationships" ref="H197" display="https://www.douyin.com/user/MS4wLjABAAAAIOpleKo7Lc3cla1Wa0km2Zx-rz5yHAufN_c36E1LY6M" r:id="rId380"/>
    <hyperlink xmlns:r="http://schemas.openxmlformats.org/officeDocument/2006/relationships" ref="G198" display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" r:id="rId381"/>
    <hyperlink xmlns:r="http://schemas.openxmlformats.org/officeDocument/2006/relationships" ref="H198" display="https://www.douyin.com/user/MS4wLjABAAAAxXgHKJ1FHUF1zt6f9FXSjPzFf_sN29TLoQs8UBWRxHI" r:id="rId382"/>
    <hyperlink xmlns:r="http://schemas.openxmlformats.org/officeDocument/2006/relationships" ref="G199" display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" r:id="rId383"/>
    <hyperlink xmlns:r="http://schemas.openxmlformats.org/officeDocument/2006/relationships" ref="H199" display="https://www.douyin.com/user/MS4wLjABAAAAy_cE03ybdZUEslPjZeSfVh_3ZMsCX1Q0pyD4EscLA3zNkiCrxP6-ueEhdldhn4OT" r:id="rId384"/>
    <hyperlink xmlns:r="http://schemas.openxmlformats.org/officeDocument/2006/relationships" ref="G200" display="https://www.xingtu.cn/ad/creator/author-homepage/douyin-video/7441525730095136818?market_track_id=4JJPR0NAW5HLH2AL27DA&amp;search_session_id=7615830995779764251&amp;possessStarId" r:id="rId385"/>
    <hyperlink xmlns:r="http://schemas.openxmlformats.org/officeDocument/2006/relationships" ref="H200" display="https://www.douyin.com/user/MS4wLjABAAAAqoSN5f3OZoTcXBs_yQr5GSkpokLQJRmgEb9eaYAHRsc1fCILBauFLxSgdnYheyme" r:id="rId386"/>
    <hyperlink xmlns:r="http://schemas.openxmlformats.org/officeDocument/2006/relationships" ref="G201" display="https://www.xingtu.cn/ad/creator/author-homepage/douyin-video/6629658460059336711?market_track_id=MZCT008XDQ9LRFKWE2VY&amp;search_session_id=7613242839255744521&amp;possessStarId" r:id="rId387"/>
    <hyperlink xmlns:r="http://schemas.openxmlformats.org/officeDocument/2006/relationships" ref="H201" display="https://www.douyin.com/user/MS4wLjABAAAADuP3bF1OcPUmbyMptWG0cIfrxGNLefaMoyoK71ODLh4" r:id="rId388"/>
    <hyperlink xmlns:r="http://schemas.openxmlformats.org/officeDocument/2006/relationships" ref="G202" display="https://www.xingtu.cn/ad/creator/author-homepage/douyin-video/7368677997240385573?market_track_id=X7XM4BYETENRJE1S9R8R&amp;search_session_id=7615873045794717722&amp;possessStarId&amp;active_tab=content_performance&amp;active_module=.content-video-list-panel&amp;content_key_word=%E6%B4%97%E8%A1%A3%E6%9C%BA" r:id="rId389"/>
    <hyperlink xmlns:r="http://schemas.openxmlformats.org/officeDocument/2006/relationships" ref="H202" display="https://www.douyin.com/user/MS4wLjABAAAA3Bd0BFA-N9Mq2j1VkaWBQDRa0gxM-KUADksFVHO3TlRGzOYd0eYlATGyaOVZV1Qs" r:id="rId390"/>
    <hyperlink xmlns:r="http://schemas.openxmlformats.org/officeDocument/2006/relationships" ref="G203" display="https://www.xingtu.cn/ad/creator/author-homepage/douyin-video/7133463608620482597?market_track_id=3WJJQM1BO6UF7F5FMUOZ&amp;search_session_id=7615870486664691722&amp;possessStarId&amp;active_tab=content_performance&amp;active_module=.content-video-list-panel&amp;content_key_word=%E7%A9%BA%E8%B0%83" r:id="rId391"/>
    <hyperlink xmlns:r="http://schemas.openxmlformats.org/officeDocument/2006/relationships" ref="H203" display="https://www.douyin.com/user/MS4wLjABAAAA0ONFQl78h-Ad-jOm_ePmnspVPozUiHj3_NRmLKU2GQ4" r:id="rId392"/>
    <hyperlink xmlns:r="http://schemas.openxmlformats.org/officeDocument/2006/relationships" ref="E204" display="精致妈妈和资深中产占比高，爆款大家电商单https://www.douyin.com/video/7565465871860174122" r:id="rId393"/>
    <hyperlink xmlns:r="http://schemas.openxmlformats.org/officeDocument/2006/relationships" ref="G204" display="https://www.xingtu.cn/ad/creator/author-homepage/douyin-video/7298673899103846450?market_track_id=GTKGQL8X2XU0PIMT6UI5&amp;search_session_id=7615897568245776411&amp;possessStarId" r:id="rId394"/>
    <hyperlink xmlns:r="http://schemas.openxmlformats.org/officeDocument/2006/relationships" ref="H204" display="https://www.douyin.com/user/MS4wLjABAAAAvYjqp_tSUvO_b1Y7bzRxfeIFffVjz5gGjz7JP1zXLMXIOd6GoDwRjQSR8focb3LZ" r:id="rId395"/>
    <hyperlink xmlns:r="http://schemas.openxmlformats.org/officeDocument/2006/relationships" ref="G205" display="https://www.xingtu.cn/ad/creator/author-homepage/douyin-video/6852280498769625096?market_track_id=GTKGQL8X2XU0PIMT6UI5&amp;search_session_id=7615899588088021019&amp;possessStarId" r:id="rId396"/>
    <hyperlink xmlns:r="http://schemas.openxmlformats.org/officeDocument/2006/relationships" ref="H205" display="https://www.douyin.com/user/MS4wLjABAAAA8fD4HMeRXg19fviZC02U7_d5fYr0aJKUiQ1Q_YZYIOc" r:id="rId397"/>
    <hyperlink xmlns:r="http://schemas.openxmlformats.org/officeDocument/2006/relationships" ref="G206" display="https://www.xingtu.cn/ad/creator/author-homepage/douyin-video/7034433199035908104?market_track_id=GTKGQL8X2XU0PIMT6UI5&amp;search_session_id=7615904229032853542&amp;possessStarId" r:id="rId398"/>
    <hyperlink xmlns:r="http://schemas.openxmlformats.org/officeDocument/2006/relationships" ref="H206" display="https://www.douyin.com/user/MS4wLjABAAAA5JHY8ivacRZn-zbolUMIPr92qZcohs47MhBiLtIkM_74JVM4TdCuCLrMScmQPEPZ" r:id="rId399"/>
    <hyperlink xmlns:r="http://schemas.openxmlformats.org/officeDocument/2006/relationships" ref="G208" display="https://www.xingtu.cn/ad/creator/author-homepage/douyin-video/6994640370961219591?market_track_id=BQFZGFBK6WAOAUFUKUFF&amp;search_session_id=7615925446161121326&amp;possessStarId" r:id="rId400"/>
    <hyperlink xmlns:r="http://schemas.openxmlformats.org/officeDocument/2006/relationships" ref="H208" display="https://www.douyin.com/user/MS4wLjABAAAAKFrzR-Lh8AvbUdXHxl0eiTdwcit_JiqOh6UBH4dAVI0" r:id="rId401"/>
    <hyperlink xmlns:r="http://schemas.openxmlformats.org/officeDocument/2006/relationships" ref="G209" display="https://www.xingtu.cn/ad/creator/author-homepage/douyin-video/7072745980210184223?market_track_id=BQFZGFBK6WAOAUFUKUFF&amp;search_session_id=7615927107147513866&amp;possessStarId" r:id="rId402"/>
    <hyperlink xmlns:r="http://schemas.openxmlformats.org/officeDocument/2006/relationships" ref="H209" display="https://www.douyin.com/user/MS4wLjABAAAA_HxonAavr589mpQxQuiYeJM_UbmAFJze0ivECvL-BMo" r:id="rId403"/>
    <hyperlink xmlns:r="http://schemas.openxmlformats.org/officeDocument/2006/relationships" ref="G210" display="https://www.xingtu.cn/ad/creator/author-homepage/douyin-video/6870161519338848269?market_track_id=BQFZGFBK6WAOAUFUKUFF&amp;search_session_id=7615927107147513866&amp;possessStarId" r:id="rId404"/>
    <hyperlink xmlns:r="http://schemas.openxmlformats.org/officeDocument/2006/relationships" ref="H210" display="https://www.douyin.com/user/MS4wLjABAAAAueFF0PaDfazgIovWP3zpwfyQSw2rDa14gI2g2aEDfY4" r:id="rId405"/>
    <hyperlink xmlns:r="http://schemas.openxmlformats.org/officeDocument/2006/relationships" ref="G211" display="https://www.xingtu.cn/ad/creator/author-homepage/douyin-video/7167716894055596046?market_track_id=BQFZGFBK6WAOAUFUKUFF&amp;search_session_id=7615927755905859622&amp;possessStarId" r:id="rId406"/>
    <hyperlink xmlns:r="http://schemas.openxmlformats.org/officeDocument/2006/relationships" ref="H211" display="https://www.douyin.com/user/MS4wLjABAAAAgcZTYFu4DUkOcFwZ3LasykSoKvRcfJjOH-PUuH9zAaV9gdHmcdWTW3_WWD379E8R" r:id="rId407"/>
    <hyperlink xmlns:r="http://schemas.openxmlformats.org/officeDocument/2006/relationships" ref="G212" display="https://www.xingtu.cn/ad/creator/author-homepage/douyin-video/7252161259804557367?market_track_id=BQFZGFBK6WAOAUFUKUFF&amp;search_session_id=7615929518088044571&amp;possessStarId" r:id="rId408"/>
    <hyperlink xmlns:r="http://schemas.openxmlformats.org/officeDocument/2006/relationships" ref="H212" display="https://www.douyin.com/user/MS4wLjABAAAAxgugwnC751HE4ncElhQ77PeD_qDoHL_zQtXpq5MRC9A" r:id="rId409"/>
    <hyperlink xmlns:r="http://schemas.openxmlformats.org/officeDocument/2006/relationships" ref="E213" display="创意博主，有过大家电商单卡萨帝https://www.douyin.com/video/7561712934305516827" r:id="rId410"/>
    <hyperlink xmlns:r="http://schemas.openxmlformats.org/officeDocument/2006/relationships" ref="G213" display="https://www.xingtu.cn/ad/creator/author-homepage/douyin-video/6907118949305942024?market_track_id=RM1Q0W77NOJCAD9UKAIF&amp;search_session_id=7616291070897094694&amp;possessStarId" r:id="rId411"/>
    <hyperlink xmlns:r="http://schemas.openxmlformats.org/officeDocument/2006/relationships" ref="H213" display="https://www.douyin.com/user/MS4wLjABAAAAHdGznQ6dwSu3m2vRS9mdFgCbKhJQOyHlU-RG1xu79409A3YSM74GdTzK39rj3DML" r:id="rId412"/>
    <hyperlink xmlns:r="http://schemas.openxmlformats.org/officeDocument/2006/relationships" ref="G214" display="https://www.xingtu.cn/ad/creator/author-homepage/douyin-video/6927143235483598861?market_track_id=FXDDTU1X5IKRL2PIYGIK&amp;search_session_id=7616293184859914267&amp;possessStarId" r:id="rId413"/>
    <hyperlink xmlns:r="http://schemas.openxmlformats.org/officeDocument/2006/relationships" ref="H214" display="https://www.douyin.com/user/MS4wLjABAAAAepqHKo1626yCN95H8kRjLV-y2dzunICZaFcj6oufbfM" r:id="rId414"/>
    <hyperlink xmlns:r="http://schemas.openxmlformats.org/officeDocument/2006/relationships" ref="G215" display="https://www.xingtu.cn/ad/creator/author-homepage/douyin-video/7024416887282860066?market_track_id=FXDDTU1X5IKRL2PIYGIK&amp;search_session_id=7616293184859914267&amp;possessStarId" r:id="rId415"/>
    <hyperlink xmlns:r="http://schemas.openxmlformats.org/officeDocument/2006/relationships" ref="H215" display="https://www.douyin.com/user/MS4wLjABAAAAcOEi4yfhGtK947Ilzze-4vvu_OdRnwZZJQhVcPGwMD4" r:id="rId416"/>
    <hyperlink xmlns:r="http://schemas.openxmlformats.org/officeDocument/2006/relationships" ref="G216" display="https://www.xingtu.cn/ad/creator/author-homepage/douyin-video/6759441649018863624?market_track_id=FXDDTU1X5IKRL2PIYGIK&amp;search_session_id=7616297123428106291&amp;possessStarId" r:id="rId417"/>
    <hyperlink xmlns:r="http://schemas.openxmlformats.org/officeDocument/2006/relationships" ref="H216" display="https://www.douyin.com/user/MS4wLjABAAAAtDsELJJ0L5as3kW5jbWy0gjGjWc4JqpehiHsl2eiIqpAtjCPoU75Btno11edndqN" r:id="rId418"/>
    <hyperlink xmlns:r="http://schemas.openxmlformats.org/officeDocument/2006/relationships" ref="G217" display="https://www.xingtu.cn/ad/creator/author-homepage/douyin-video/7161065043155484685?market_track_id=6MJHWHZ9IVSELA36P36G&amp;search_session_id=7616321513118760998&amp;possessStarId" r:id="rId419"/>
    <hyperlink xmlns:r="http://schemas.openxmlformats.org/officeDocument/2006/relationships" ref="H217" display="https://www.douyin.com/user/MS4wLjABAAAAtqKDhpIp2otOFPOW-aHlaRcDZcdzdqSY0rL1hJgHbJ9fbYsiB914X6t0Iv4giFSG" r:id="rId420"/>
    <hyperlink xmlns:r="http://schemas.openxmlformats.org/officeDocument/2006/relationships" ref="E218" display="A3数据好，方太3000W大爆单https://www.douyin.com/video/7590699422766419252" r:id="rId421"/>
    <hyperlink xmlns:r="http://schemas.openxmlformats.org/officeDocument/2006/relationships" ref="G218" display="https://www.xingtu.cn/ad/creator/author-homepage/douyin-video/7080974341856296960?market_track_id=AU1WPXK306S8S5ES374S&amp;search_session_id=7616283467366137907&amp;possessStarId" r:id="rId422"/>
    <hyperlink xmlns:r="http://schemas.openxmlformats.org/officeDocument/2006/relationships" ref="H218" display="https://www.douyin.com/user/MS4wLjABAAAAoA6q18gARwQFVu2TnqyMZ4VMdX1Sh4fchA4cz-hPDGQ" r:id="rId423"/>
    <hyperlink xmlns:r="http://schemas.openxmlformats.org/officeDocument/2006/relationships" ref="E219" display="西门子爆单https://www.douyin.com/video/7533444058983779636" r:id="rId424"/>
    <hyperlink xmlns:r="http://schemas.openxmlformats.org/officeDocument/2006/relationships" ref="G219" display="https://www.xingtu.cn/ad/creator/author-homepage/douyin-video/6703488285064298507?market_track_id=P9MHRFZ6HXF90BFDLWI4&amp;search_session_id=7616285568766443566&amp;possessStarId" r:id="rId425"/>
    <hyperlink xmlns:r="http://schemas.openxmlformats.org/officeDocument/2006/relationships" ref="H219" display="https://www.douyin.com/user/MS4wLjABAAAAFSC8Jh8itIoikSjrXMBCbrOh6er9oH7gdoXn8AAsvR0" r:id="rId426"/>
    <hyperlink xmlns:r="http://schemas.openxmlformats.org/officeDocument/2006/relationships" ref="E220" display="创意博主，大家电爆单 https://www.douyin.com/video/7554311169440337171" r:id="rId427"/>
    <hyperlink xmlns:r="http://schemas.openxmlformats.org/officeDocument/2006/relationships" ref="G220" display="https://www.xingtu.cn/ad/creator/author-homepage/douyin-video/7413523525836734491?market_track_id=GR5MWSIU1HNRDPTNUQ3Q&amp;search_session_id=7616289267056738330&amp;possessStarId" r:id="rId428"/>
    <hyperlink xmlns:r="http://schemas.openxmlformats.org/officeDocument/2006/relationships" ref="H220" display="https://www.douyin.com/user/MS4wLjABAAAAaZKJ6glF2gDsLOMN0_Abvh-tMpfHTgJb85NlMKpPG0tDBMq4c3a4bvHKgo4g-Hxd" r:id="rId429"/>
    <hyperlink xmlns:r="http://schemas.openxmlformats.org/officeDocument/2006/relationships" ref="G221" display="https://www.xingtu.cn/ad/creator/author-homepage/douyin-video/6870162144202063885?market_track_id=JHTNBEGQO60RJNOU4K0V&amp;search_session_id=7612612744516632585&amp;possessStarId" r:id="rId430"/>
    <hyperlink xmlns:r="http://schemas.openxmlformats.org/officeDocument/2006/relationships" ref="H221" display="https://www.douyin.com/user/MS4wLjABAAAASQlIT9yA-LNfju8IjDx0j2GdcdLhlHwn_qr83KMtCY0" r:id="rId431"/>
    <hyperlink xmlns:r="http://schemas.openxmlformats.org/officeDocument/2006/relationships" ref="E222" display="大家电爆款商单，https://www.douyin.com/video/7600970938574260836?previous_page=app_code_link" r:id="rId432"/>
    <hyperlink xmlns:r="http://schemas.openxmlformats.org/officeDocument/2006/relationships" ref="G222" display="https://www.xingtu.cn/ad/creator/author-homepage/douyin-video/7165752836070834188?market_track_id=Q44UBLMDWF73H8L3KBZA&amp;search_session_id=7616329416167997449&amp;possessStarId" r:id="rId433"/>
    <hyperlink xmlns:r="http://schemas.openxmlformats.org/officeDocument/2006/relationships" ref="H222" display="https://www.douyin.com/user/MS4wLjABAAAAwIYRDnmPtEPO3Ii_tNh09X-ZmJwm84s6jup2RUIeil1hZ6vEpsfByK3qb00YZHK-" r:id="rId434"/>
    <hyperlink xmlns:r="http://schemas.openxmlformats.org/officeDocument/2006/relationships" ref="E224" display="西门子爆款商单https://www.douyin.com/video/7377710464458902822?previous_page=app_code_link" r:id="rId435"/>
    <hyperlink xmlns:r="http://schemas.openxmlformats.org/officeDocument/2006/relationships" ref="G224" display="https://www.xingtu.cn/ad/creator/author-homepage/douyin-video/6727068349852811268?market_track_id=C3T9LPPN1SC7ET0QI4RF&amp;search_session_id=7616577660684992521&amp;possessStarId" r:id="rId436"/>
    <hyperlink xmlns:r="http://schemas.openxmlformats.org/officeDocument/2006/relationships" ref="H224" display="https://www.douyin.com/user/MS4wLjABAAAAqwHezwd5abfKZfnri7Q7AckMvqvDNOsGQd_ZrC3J4po" r:id="rId437"/>
    <hyperlink xmlns:r="http://schemas.openxmlformats.org/officeDocument/2006/relationships" ref="E225" display="海尔大家电爆款商单https://www.douyin.com/video/7402461141940604201" r:id="rId438"/>
    <hyperlink xmlns:r="http://schemas.openxmlformats.org/officeDocument/2006/relationships" ref="G225" display="https://www.xingtu.cn/ad/creator/author-homepage/douyin-video/6629664154447773704?market_track_id=C3T9LPPN1SC7ET0QI4RF&amp;search_session_id=7616579607346626570&amp;possessStarId" r:id="rId439"/>
    <hyperlink xmlns:r="http://schemas.openxmlformats.org/officeDocument/2006/relationships" ref="H225" display="https://www.douyin.com/user/MS4wLjABAAAABr08X5Vc6Q_s3S07050ecc7pMYCyEvyPUzdJma2bt_M" r:id="rId440"/>
    <hyperlink xmlns:r="http://schemas.openxmlformats.org/officeDocument/2006/relationships" ref="G226" display="https://www.xingtu.cn/ad/creator/author-homepage/douyin-video/6855623204803706893?market_track_id=C3T9LPPN1SC7ET0QI4RF&amp;search_session_id=7616579607346626570&amp;possessStarId" r:id="rId441"/>
    <hyperlink xmlns:r="http://schemas.openxmlformats.org/officeDocument/2006/relationships" ref="H226" display="https://www.douyin.com/user/MS4wLjABAAAAKMa35rfZONaCd2ve6Klu8G3thM8HTDQPoPGRAqFXCGs" r:id="rId442"/>
    <hyperlink xmlns:r="http://schemas.openxmlformats.org/officeDocument/2006/relationships" ref="G227" display="https://www.xingtu.cn/ad/creator/author-homepage/douyin-video/6992043651710844942?market_track_id=C3T9LPPN1SC7ET0QI4RF&amp;search_session_id=7616580037122736174&amp;possessStarId" r:id="rId443"/>
    <hyperlink xmlns:r="http://schemas.openxmlformats.org/officeDocument/2006/relationships" ref="H227" display="https://www.douyin.com/user/MS4wLjABAAAA9KXFZj4eehkhdu-idU4jwar3LBbDveoN2NTLoNkm6kfUFIeKIsbffmALrHw3WrNG" r:id="rId444"/>
    <hyperlink xmlns:r="http://schemas.openxmlformats.org/officeDocument/2006/relationships" ref="E228" display="小米家电爆款商单https://www.douyin.com/video/7516541046617427241?previous_page=app_code_link" r:id="rId445"/>
    <hyperlink xmlns:r="http://schemas.openxmlformats.org/officeDocument/2006/relationships" ref="G228" display="https://www.xingtu.cn/ad/creator/author-homepage/douyin-video/7168806549899608077?market_track_id=C3T9LPPN1SC7ET0QI4RF&amp;search_session_id=7616580037122736174&amp;possessStarId" r:id="rId446"/>
    <hyperlink xmlns:r="http://schemas.openxmlformats.org/officeDocument/2006/relationships" ref="H228" display="https://www.douyin.com/user/MS4wLjABAAAA8U8hHZNbPPvQaFCvNEdml8rJbRstrak-X3De_63zsa7HsRFk_E9Uq_KLCzXjJm9q" r:id="rId447"/>
    <hyperlink xmlns:r="http://schemas.openxmlformats.org/officeDocument/2006/relationships" ref="E229" display="情侣博主，爆单多，有大家电推广经验https://www.douyin.com/video/7478557920486198587?previous_page=app_code_link" r:id="rId448"/>
    <hyperlink xmlns:r="http://schemas.openxmlformats.org/officeDocument/2006/relationships" ref="G229" display="https://www.xingtu.cn/ad/creator/author-homepage/douyin-video/6870160877992017928?market_track_id=C3T9LPPN1SC7ET0QI4RF&amp;search_session_id=7616581366926655515&amp;possessStarId" r:id="rId449"/>
    <hyperlink xmlns:r="http://schemas.openxmlformats.org/officeDocument/2006/relationships" ref="H229" display="https://www.douyin.com/user/MS4wLjABAAAAcjKVPT-o1DbylsfIoLK4oDFk_QgXFNqROzM6aC8Vuho" r:id="rId450"/>
    <hyperlink xmlns:r="http://schemas.openxmlformats.org/officeDocument/2006/relationships" ref="G230" display="https://www.xingtu.cn/ad/creator/author-homepage/douyin-video/6994153345170538504?market_track_id=C3T9LPPN1SC7ET0QI4RF&amp;search_session_id=7616581366926655515&amp;possessStarId" r:id="rId451"/>
    <hyperlink xmlns:r="http://schemas.openxmlformats.org/officeDocument/2006/relationships" ref="H230" display="https://www.douyin.com/user/MS4wLjABAAAA4YO6Ezcplh77iJnwfDFavbx9o8sewQIt4xQRpd82Yak" r:id="rId452"/>
    <hyperlink xmlns:r="http://schemas.openxmlformats.org/officeDocument/2006/relationships" ref="E231" display="大家电千万播放爆款数据https://www.douyin.com/video/7475641881095949608?previous_page=app_code_link" r:id="rId453"/>
    <hyperlink xmlns:r="http://schemas.openxmlformats.org/officeDocument/2006/relationships" ref="G231" display="https://www.xingtu.cn/ad/creator/author-homepage/douyin-video/7008950281987686413?market_track_id=1NN8XWAK1CGIJFNAQBZ8&amp;search_session_id=7613351311513714726&amp;possessStarId" r:id="rId454"/>
    <hyperlink xmlns:r="http://schemas.openxmlformats.org/officeDocument/2006/relationships" ref="H231" display="https://www.douyin.com/user/MS4wLjABAAAAaiXLTcfTvuyI_yPSnMdmJQbyrZ2g0sKYzUVs_UnJ0mq9lEIqcE0XyW7VpZbVkzWx" r:id="rId455"/>
    <hyperlink xmlns:r="http://schemas.openxmlformats.org/officeDocument/2006/relationships" ref="E232" display="爆款家电商单https://www.douyin.com/video/7514570881042058535" r:id="rId456"/>
    <hyperlink xmlns:r="http://schemas.openxmlformats.org/officeDocument/2006/relationships" ref="G232" display="https://www.xingtu.cn/ad/creator/author-homepage/douyin-video/7078218034459967495?market_track_id=2420PDENNTLWAS6GMX7R&amp;search_session_id=7616630069280948262&amp;possessStarId" r:id="rId457"/>
    <hyperlink xmlns:r="http://schemas.openxmlformats.org/officeDocument/2006/relationships" ref="H232" display="https://www.douyin.com/user/MS4wLjABAAAAZoNYeySvQdHnRf7BdXjWUsNuOrHff5upZQA0eiPfhHrP5OC6z50YaS3S5hwwJgf3" r:id="rId458"/>
    <hyperlink xmlns:r="http://schemas.openxmlformats.org/officeDocument/2006/relationships" ref="E233" display="卡萨帝爆款商单https://www.douyin.com/video/7553829616390016283" r:id="rId459"/>
    <hyperlink xmlns:r="http://schemas.openxmlformats.org/officeDocument/2006/relationships" ref="G233" display="https://www.xingtu.cn/ad/creator/author-homepage/douyin-video/6738573523591102475?market_track_id=POFIZ6OUTCOROVDWWFQN&amp;search_session_id=7616631545667649546&amp;possessStarId" r:id="rId460"/>
    <hyperlink xmlns:r="http://schemas.openxmlformats.org/officeDocument/2006/relationships" ref="H233" display="https://www.douyin.com/user/MS4wLjABAAAAO1K_2j6DRZh3KGWCeX60GnsS3JPCkb6Wn34tY7jGVFw" r:id="rId461"/>
    <hyperlink xmlns:r="http://schemas.openxmlformats.org/officeDocument/2006/relationships" ref="E234" display="大家电爆款商单https://www.douyin.com/video/7606707141802056292" r:id="rId462"/>
    <hyperlink xmlns:r="http://schemas.openxmlformats.org/officeDocument/2006/relationships" ref="G234" display="https://www.xingtu.cn/ad/creator/author-homepage/douyin-video/6870171106762817549?market_track_id=SBR7APD1CP9BLG3L2I7H&amp;search_session_id=7616637178206093322&amp;possessStarId" r:id="rId463"/>
    <hyperlink xmlns:r="http://schemas.openxmlformats.org/officeDocument/2006/relationships" ref="H234" display="https://www.douyin.com/user/MS4wLjABAAAAVsFGZsTDs611Vn4t2ciwzt-gUN1Kgk5y4RbfYCRjm6qs9VvxJQTQkja82KTvUkVY" r:id="rId464"/>
    <hyperlink xmlns:r="http://schemas.openxmlformats.org/officeDocument/2006/relationships" ref="E235" display="海氏爆款商单https://www.douyin.com/video/7580635359072111906" r:id="rId465"/>
    <hyperlink xmlns:r="http://schemas.openxmlformats.org/officeDocument/2006/relationships" ref="G235" display="https://www.xingtu.cn/ad/creator/author-homepage/douyin-video/6629659220260159491?market_track_id=GYN7U41I9QVIQIWZCR4K&amp;search_session_id=7616643897611173914&amp;possessStarId" r:id="rId466"/>
    <hyperlink xmlns:r="http://schemas.openxmlformats.org/officeDocument/2006/relationships" ref="H235" display="https://www.douyin.com/user/MS4wLjABAAAAaGPupGXkpAjXZOVH21EVXCRlX-WY4k0pSwspKgpfC9c" r:id="rId467"/>
    <hyperlink xmlns:r="http://schemas.openxmlformats.org/officeDocument/2006/relationships" ref="E236" display="海尔爆款商单：https://www.douyin.com/video/7600647445030203761" r:id="rId468"/>
    <hyperlink xmlns:r="http://schemas.openxmlformats.org/officeDocument/2006/relationships" ref="G236" display="https://www.xingtu.cn/ad/creator/author-homepage/douyin-video/7182410758330777604?market_track_id=SN20ND2FZ5FPJEXN7S4E&amp;search_session_id=7616674203077050419&amp;possessStarId" r:id="rId469"/>
    <hyperlink xmlns:r="http://schemas.openxmlformats.org/officeDocument/2006/relationships" ref="H236" display="https://www.douyin.com/user/MS4wLjABAAAAaAcfvEDWUh_xE5kJu4lV_8C45iIPdOKMq73eysmfdlE" r:id="rId470"/>
    <hyperlink xmlns:r="http://schemas.openxmlformats.org/officeDocument/2006/relationships" ref="E237" display="美的爆款商单：https://www.douyin.com/video/7311687790259883279" r:id="rId471"/>
    <hyperlink xmlns:r="http://schemas.openxmlformats.org/officeDocument/2006/relationships" ref="G237" display="https://www.xingtu.cn/ad/creator/author-homepage/douyin-video/7228050208410566715?market_track_id=MOZQBJ7GT03Q1TMXNOAI&amp;search_session_id=7616648253435789322&amp;possessStarId" r:id="rId472"/>
    <hyperlink xmlns:r="http://schemas.openxmlformats.org/officeDocument/2006/relationships" ref="H237" display="https://www.douyin.com/user/MS4wLjABAAAAb7WAny-tA6rjYHc9UP6I7qiGVhY3Ug47cu2mWz-61oU" r:id="rId473"/>
    <hyperlink xmlns:r="http://schemas.openxmlformats.org/officeDocument/2006/relationships" ref="E238" display="商单均过千万播放，近期有大家电商单爆款，https://www.douyin.com/video/7598388485124634011" r:id="rId474"/>
    <hyperlink xmlns:r="http://schemas.openxmlformats.org/officeDocument/2006/relationships" ref="G238" display="https://www.xingtu.cn/ad/creator/author-homepage/douyin-video/7063710781757456420?market_track_id=7V09FBZRNDM9257H8QCX&amp;search_session_id=7616651184430776347&amp;possessStarId" r:id="rId475"/>
    <hyperlink xmlns:r="http://schemas.openxmlformats.org/officeDocument/2006/relationships" ref="H238" display="https://www.douyin.com/user/MS4wLjABAAAA_M5dOMrn_OJDEseTF8rBFm1WGT0v25Vg0uvTyJDKlqVgxS5sPN2S6ZZX8LlIquSo" r:id="rId476"/>
    <hyperlink xmlns:r="http://schemas.openxmlformats.org/officeDocument/2006/relationships" ref="E239" display="西门子爆款商单：https://www.douyin.com/video/7600015452685661627" r:id="rId477"/>
    <hyperlink xmlns:r="http://schemas.openxmlformats.org/officeDocument/2006/relationships" ref="G239" display="https://www.xingtu.cn/ad/creator/author-homepage/douyin-video/6866734332837363723?market_track_id=255NG1IA5QKP634KZDSQ&amp;search_session_id=7616667210668687410&amp;possessStarId" r:id="rId478"/>
    <hyperlink xmlns:r="http://schemas.openxmlformats.org/officeDocument/2006/relationships" ref="H239" display="https://www.douyin.com/user/MS4wLjABAAAAiXWzfBC6YQjPG5DiOF-8LfxY3fC3zGmkYVy3cXttUFI" r:id="rId479"/>
    <hyperlink xmlns:r="http://schemas.openxmlformats.org/officeDocument/2006/relationships" ref="E240" display="西门子爆款商单：https://www.douyin.com/video/7599919494719251035" r:id="rId480"/>
    <hyperlink xmlns:r="http://schemas.openxmlformats.org/officeDocument/2006/relationships" ref="G240" display="https://www.xingtu.cn/ad/creator/author-homepage/douyin-video/7237693402249494560?market_track_id=N4PBRHV2K7PCWJ3T3MBY&amp;search_session_id=7616667428616962086&amp;possessStarId" r:id="rId481"/>
    <hyperlink xmlns:r="http://schemas.openxmlformats.org/officeDocument/2006/relationships" ref="H240" display="https://www.douyin.com/user/MS4wLjABAAAA9YU4u9kZcGzGzr0ca4sT4-aDqkN8Pm4sEaS2jfEZGJU7raTBd3TsTI36FaCmgctp" r:id="rId482"/>
    <hyperlink xmlns:r="http://schemas.openxmlformats.org/officeDocument/2006/relationships" ref="E241" display="五千万播放家电爆文：https://www.douyin.com/video/7555516326732172579" r:id="rId483"/>
    <hyperlink xmlns:r="http://schemas.openxmlformats.org/officeDocument/2006/relationships" ref="G241" display="https://www.xingtu.cn/ad/creator/author-homepage/douyin-video/7094235680405979177?market_track_id=D74CIVP98ZHTTIUE1GAW&amp;search_session_id=7616671025753128969&amp;possessStarId" r:id="rId484"/>
    <hyperlink xmlns:r="http://schemas.openxmlformats.org/officeDocument/2006/relationships" ref="H241" display="https://www.douyin.com/user/MS4wLjABAAAAguXfi0BOH50IC6s7ttS7JWnczGBQqKr4oVp1qdH2yXQ" r:id="rId485"/>
    <hyperlink xmlns:r="http://schemas.openxmlformats.org/officeDocument/2006/relationships" ref="G243" display="https://www.xingtu.cn/ad/creator/author-homepage/douyin-video/7188349445459673127?market_track_id=V3SVRVAZNICLFPE0J6SJ&amp;search_session_id=7617735670479978547&amp;possessStarId" r:id="rId486"/>
    <hyperlink xmlns:r="http://schemas.openxmlformats.org/officeDocument/2006/relationships" ref="H243" display="https://www.douyin.com/user/MS4wLjABAAAAhVCMU-mUhDIVUWGUMzqmc6GJIgQyM0IMX8bjuImUqJl9h_SXx962d6En8O6_0uEv" r:id="rId487"/>
    <hyperlink xmlns:r="http://schemas.openxmlformats.org/officeDocument/2006/relationships" ref="G244" display="https://www.xingtu.cn/ad/creator/author-homepage/douyin-video/7348285762749595702?market_track_id=V3SVRVAZNICLFPE0J6SJ&amp;search_session_id=7617737280752582665&amp;possessStarId" r:id="rId488"/>
    <hyperlink xmlns:r="http://schemas.openxmlformats.org/officeDocument/2006/relationships" ref="H244" display="https://www.douyin.com/user/MS4wLjABAAAAHKgbcSjDTgowNKDqOyqtKq-hdFjlyDq95TjdXTgRRSY" r:id="rId489"/>
    <hyperlink xmlns:r="http://schemas.openxmlformats.org/officeDocument/2006/relationships" ref="G245" display="https://www.xingtu.cn/ad/creator/author-homepage/douyin-video/7078279148648529928?market_track_id=V3SVRVAZNICLFPE0J6SJ&amp;search_session_id=7617737280752582665&amp;possessStarId" r:id="rId490"/>
    <hyperlink xmlns:r="http://schemas.openxmlformats.org/officeDocument/2006/relationships" ref="H245" display="https://www.douyin.com/user/MS4wLjABAAAAKvsmt0foTt7k1YNr-ro-s6xXcq4JJKr19Vtd6mZ-Dkqxh4_MEFnU3eCxpJSckzHO" r:id="rId491"/>
    <hyperlink xmlns:r="http://schemas.openxmlformats.org/officeDocument/2006/relationships" ref="G246" display="https://www.xingtu.cn/ad/creator/author-homepage/douyin-video/7371376725386756150?market_track_id=V3SVRVAZNICLFPE0J6SJ&amp;search_session_id=7617737280752582665&amp;possessStarId" r:id="rId492"/>
    <hyperlink xmlns:r="http://schemas.openxmlformats.org/officeDocument/2006/relationships" ref="H246" display="https://www.douyin.com/user/MS4wLjABAAAAH6EuhbI0HTnZCrZS3_rhDHJ_L9-oLfolS-ufm5CQ_dM" r:id="rId493"/>
    <hyperlink xmlns:r="http://schemas.openxmlformats.org/officeDocument/2006/relationships" ref="G247" display="https://www.xingtu.cn/ad/creator/author-homepage/douyin-video/6629723068413509639?market_track_id=V3SVRVAZNICLFPE0J6SJ&amp;search_session_id=7617738312274591794&amp;possessStarId" r:id="rId494"/>
    <hyperlink xmlns:r="http://schemas.openxmlformats.org/officeDocument/2006/relationships" ref="H247" display="https://www.douyin.com/user/MS4wLjABAAAAV6vN5b6cqiaBT9CHFwNKh4-RBAXe5G3CEEVMltxeCyQ" r:id="rId495"/>
    <hyperlink xmlns:r="http://schemas.openxmlformats.org/officeDocument/2006/relationships" ref="G248" display="https://www.xingtu.cn/ad/creator/author-homepage/douyin-video/7307089287776829477?market_track_id=V3SVRVAZNICLFPE0J6SJ&amp;search_session_id=7617739065844465702&amp;possessStarId" r:id="rId496"/>
    <hyperlink xmlns:r="http://schemas.openxmlformats.org/officeDocument/2006/relationships" ref="H248" display="https://www.douyin.com/user/MS4wLjABAAAAzqS_PBshcJ_aSZNxIPkqZ_gBhrJq6KzsNRQjjU8aZRI" r:id="rId497"/>
    <hyperlink xmlns:r="http://schemas.openxmlformats.org/officeDocument/2006/relationships" ref="G249" display="https://www.xingtu.cn/ad/creator/author-homepage/douyin-video/7382884261608554506?market_track_id=V3SVRVAZNICLFPE0J6SJ&amp;search_session_id=7617739489735016498&amp;possessStarId" r:id="rId498"/>
    <hyperlink xmlns:r="http://schemas.openxmlformats.org/officeDocument/2006/relationships" ref="H249" display="https://www.douyin.com/user/MS4wLjABAAAA7lplVpa2j83bnjUKoVbuBMmgeQBKxzINNNpCl1MsIew" r:id="rId499"/>
    <hyperlink xmlns:r="http://schemas.openxmlformats.org/officeDocument/2006/relationships" ref="G250" display="https://www.xingtu.cn/ad/creator/author-homepage/douyin-video/7367182371520512037?market_track_id=V3SVRVAZNICLFPE0J6SJ&amp;search_session_id=7617739828616888347&amp;possessStarId" r:id="rId500"/>
    <hyperlink xmlns:r="http://schemas.openxmlformats.org/officeDocument/2006/relationships" ref="H250" display="https://www.douyin.com/user/MS4wLjABAAAASXNhw5qC3BgFGgRjVaj_KUtNG0sb1r1fHNwNFtfGrac" r:id="rId501"/>
    <hyperlink xmlns:r="http://schemas.openxmlformats.org/officeDocument/2006/relationships" ref="G251" display="https://www.xingtu.cn/ad/creator/author-homepage/douyin-video/7195808519419854909?market_track_id=V3SVRVAZNICLFPE0J6SJ&amp;search_session_id=7617739828616888347&amp;possessStarId" r:id="rId502"/>
    <hyperlink xmlns:r="http://schemas.openxmlformats.org/officeDocument/2006/relationships" ref="H251" display="https://www.douyin.com/user/MS4wLjABAAAAKVLBXglsD4wE2hlHYXoyq7LmT07Ftub19OjfZAh_x7moAdZdpvsVVTtUls2prYUb" r:id="rId503"/>
    <hyperlink xmlns:r="http://schemas.openxmlformats.org/officeDocument/2006/relationships" ref="G252" display="https://www.xingtu.cn/ad/creator/author-homepage/douyin-video/6791285912912265230?market_track_id=V3SVRVAZNICLFPE0J6SJ&amp;search_session_id=7617739828616888347&amp;possessStarId" r:id="rId504"/>
    <hyperlink xmlns:r="http://schemas.openxmlformats.org/officeDocument/2006/relationships" ref="H252" display="https://www.douyin.com/user/MS4wLjABAAAAaNkxnzLGYv4rEIP52cuiWtdlvz11ZjOU6mJ0R4_QWWE" r:id="rId505"/>
    <hyperlink xmlns:r="http://schemas.openxmlformats.org/officeDocument/2006/relationships" ref="G253" display="https://www.xingtu.cn/ad/creator/author-homepage/douyin-video/7079471717306859560?market_track_id=3OS0HM7OVN3SYN0IJITL&amp;search_session_id=7617741635262185510&amp;possessStarId" r:id="rId506"/>
    <hyperlink xmlns:r="http://schemas.openxmlformats.org/officeDocument/2006/relationships" ref="H253" display="https://www.douyin.com/user/MS4wLjABAAAAZWtX6HzX5NTPTBxcoqx0xd48bIzbJbqEibYqhmXToOo" r:id="rId507"/>
    <hyperlink xmlns:r="http://schemas.openxmlformats.org/officeDocument/2006/relationships" ref="G254" display="https://www.xingtu.cn/ad/creator/author-homepage/douyin-video/6966856536920424461?market_track_id=3OS0HM7OVN3SYN0IJITL&amp;search_session_id=7617742245093507081&amp;possessStarId" r:id="rId508"/>
    <hyperlink xmlns:r="http://schemas.openxmlformats.org/officeDocument/2006/relationships" ref="H254" display="https://www.douyin.com/user/MS4wLjABAAAAra1iK76STi4Qgd7gH5Zwr38SJb41Opbw3ZOlpUU0d90" r:id="rId509"/>
    <hyperlink xmlns:r="http://schemas.openxmlformats.org/officeDocument/2006/relationships" ref="G255" display="https://www.xingtu.cn/ad/creator/author-homepage/douyin-video/7285762799337209917?market_track_id=3OS0HM7OVN3SYN0IJITL&amp;search_session_id=7617742245093507081&amp;possessStarId" r:id="rId510"/>
    <hyperlink xmlns:r="http://schemas.openxmlformats.org/officeDocument/2006/relationships" ref="H255" display="https://www.douyin.com/user/MS4wLjABAAAA8ew5kbML45thNTQRBofUnhpRIutWPuepUzPtYXqkwI5nefgJDAXFX13p4MKCUeha" r:id="rId511"/>
    <hyperlink xmlns:r="http://schemas.openxmlformats.org/officeDocument/2006/relationships" ref="G256" display="https://www.xingtu.cn/ad/creator/author-homepage/douyin-video/7457923151943434267?market_track_id=3OS0HM7OVN3SYN0IJITL&amp;search_session_id=7617742853069946890&amp;possessStarId" r:id="rId512"/>
    <hyperlink xmlns:r="http://schemas.openxmlformats.org/officeDocument/2006/relationships" ref="H256" display="https://www.douyin.com/user/MS4wLjABAAAABHg-x5mJj6Kc2i_UlK4sT7_RLcCqqYpuw61Rx4ZCGo86YZUFhI8ULO8GypR_bsqn" r:id="rId513"/>
    <hyperlink xmlns:r="http://schemas.openxmlformats.org/officeDocument/2006/relationships" ref="G257" display="https://www.xingtu.cn/ad/creator/author-homepage/douyin-video/7120255283875545118?market_track_id=3OS0HM7OVN3SYN0IJITL&amp;search_session_id=7617743692560252979&amp;possessStarId" r:id="rId514"/>
    <hyperlink xmlns:r="http://schemas.openxmlformats.org/officeDocument/2006/relationships" ref="H257" display="https://www.douyin.com/user/MS4wLjABAAAA4LaXCt3utG_riGzCCLCdF0nE4x1iqCMwnPw6kIyJew37c25uFtpFI1G_IgPL9ltN" r:id="rId515"/>
    <hyperlink xmlns:r="http://schemas.openxmlformats.org/officeDocument/2006/relationships" ref="G258" display="https://www.xingtu.cn/ad/creator/author-homepage/douyin-video/6853263318207954952?market_track_id=3OS0HM7OVN3SYN0IJITL&amp;search_session_id=7617743943477575730&amp;possessStarId" r:id="rId516"/>
    <hyperlink xmlns:r="http://schemas.openxmlformats.org/officeDocument/2006/relationships" ref="H258" display="https://www.douyin.com/user/MS4wLjABAAAAttQnThYYvUttbHudM3Qo80LYIZxA3EmOHZ4xqHMmILbkMZhLh7ZEbw5uJAMQF-my" r:id="rId517"/>
    <hyperlink xmlns:r="http://schemas.openxmlformats.org/officeDocument/2006/relationships" ref="G259" display="https://www.xingtu.cn/ad/creator/author-homepage/douyin-video/6870170595837870087?market_track_id=3OS0HM7OVN3SYN0IJITL&amp;search_session_id=7617744266638721075&amp;possessStarId" r:id="rId518"/>
    <hyperlink xmlns:r="http://schemas.openxmlformats.org/officeDocument/2006/relationships" ref="H259" display="https://www.douyin.com/user/MS4wLjABAAAAgg2ir5yP1-cMGegOYE0mUsYxlTheyIGyiPXCt9ytyc5FhwYOrI23XXjFQ5J5qI2b" r:id="rId519"/>
    <hyperlink xmlns:r="http://schemas.openxmlformats.org/officeDocument/2006/relationships" ref="G260" display="https://www.xingtu.cn/ad/creator/author-homepage/douyin-video/7450492252217933863?market_track_id=7CNF877XNZU7ZPLRMNXT&amp;search_session_id=7496334872174067751&amp;video_type=2&amp;_route_from=from_page%3DMarket%26search_session_id%3D7496334872174067751%26is_for_order%3D1%26market_track_id%3D7CNF877XNZU7ZPLRMNXT%26platform_source%3D1%26key%3D%25E4%25B9%25A6%25E4%25BB%25AAShoei%26order_by%3Dscore%26sort_type%3D2%26search_scene%3D1%26display_scene%3D1%26limit%3D20%26page%3D1%26regular_filter%3D%255Bobject%2BObject%255D%26rel_attribute_filter%3D%255Bobject%2BObject%255D%26attribute_filter%3D%255Bobject%2BObject%255D%26task_category%3D1%26package_id%3Dundefined%26is_filter%3D1%26current_tab%3D2%26displayScene%3Dmarket%26is_limit_time_price%3D0&amp;possessStarId" r:id="rId520"/>
    <hyperlink xmlns:r="http://schemas.openxmlformats.org/officeDocument/2006/relationships" ref="H260" display="https://v.douyin.com/jbQppINgI-w/" r:id="rId521"/>
    <hyperlink xmlns:r="http://schemas.openxmlformats.org/officeDocument/2006/relationships" ref="G261" display="https://www.xingtu.cn/ad/creator/author-homepage/douyin-video/6902656411306557452?market_track_id=4M1RHGEZTXLX7N6TEMJK&amp;search_session_id=7530952912325902363&amp;possessStarId" r:id="rId522"/>
    <hyperlink xmlns:r="http://schemas.openxmlformats.org/officeDocument/2006/relationships" ref="H261" display="https://v.douyin.com/kjYz9rv8mrM/" r:id="rId523"/>
    <hyperlink xmlns:r="http://schemas.openxmlformats.org/officeDocument/2006/relationships" ref="G262" display="https://www.xingtu.cn/ad/creator/author-homepage/douyin-video/6629724881506271245?market_track_id=JFAEWQ73CAGNKOX8JMBS&amp;search_session_id=7600979343234039849&amp;possessStarId" r:id="rId524"/>
    <hyperlink xmlns:r="http://schemas.openxmlformats.org/officeDocument/2006/relationships" ref="H262" display="https://v.douyin.com/XeHFUO3D9hE/" r:id="rId525"/>
    <hyperlink xmlns:r="http://schemas.openxmlformats.org/officeDocument/2006/relationships" ref="G263" display="https://www.xingtu.cn/ad/creator/author/douyin/7477501140842577961/1?market_track_id=NLVXKQ3P72OW6ZAUW40Y&amp;search_session_id=7485572635062337574&amp;video_type=2&amp;_route_from=from_page%3DMarket%26search_session_id%3D7485572635062337574%26is_for_order%3D1%26market_track_id%3DNLVXKQ3P72OW6ZAUW40Y%26platform_source%3D1%26key%3D%25E5%258D%2581%25E4%25BA%258C%25E4%25BA%258B%26order_by%3Dscore%26sort_type%3D2%26search_scene%3D1%26display_scene%3D1%26limit%3D20%26page%3D1%26regular_filter%3D%255Bobject%2BObject%255D%26rel_attribute_filter%3D%255Bobject%2BObject%255D%26multi_string_attribute_filter%3D%255Bobject%2BObject%255D%26attribute_filter%3D%255Bobject%2BObject%255D%26task_category%3D1%26package_id%3Dundefined%26is_filter%3D1%26current_tab%3D2%26displayScene%3Dmarket%26is_limit_time_price%3D0&amp;possessStarId&amp;btm_ppre=a0.b0.c0.d0&amp;btm_pre=a4738.b16016.c26503.d3332&amp;btm_show_id=46de71be-fb5e-4eab-a089-920e20ed7dd7" r:id="rId526"/>
    <hyperlink xmlns:r="http://schemas.openxmlformats.org/officeDocument/2006/relationships" ref="H263" display="https://v.douyin.com/4pl7ZkIWNag/" r:id="rId527"/>
    <hyperlink xmlns:r="http://schemas.openxmlformats.org/officeDocument/2006/relationships" ref="G264" display="https://www.xingtu.cn/ad/creator/author/douyin/7103851887960227854/1?market_track_id=CSPW44DKAS95WWWGN2KN&amp;search_session_id=7429595619725459482&amp;video_type=2&amp;_route_from=from_page%3DMarket%26search_session_id%3D7429595619725459482%26is_for_order%3D1%26market_track_id%3DCSPW44DKAS95WWWGN2KN%26platform_source%3D1%26key%3D%25E9%259F%25A9%25E7%25B4%25AB%26order_by%3Dscore%26sort_type%3D2%26search_scene%3D1%26display_scene%3D1%26limit%3D20%26page%3D1%26regular_filter%3D%255Bobject%2BObject%255D%26multi_string_attribute_filter%3D%255Bobject%2BObject%255D%26task_category%3D1%26package_id%3Dundefined%26is_filter%3D0%26current_tab%3D2%26displayScene%3Dmarket%26is_limit_time_price%3D0&amp;possessStarId&amp;btm_ppre=a0.b0.c0.d0&amp;btm_pre=a4738.b16016.c26503.d3332&amp;btm_show_id=3c20c20f-c3f4-4034-8906-9e634dd9d7ce" r:id="rId528"/>
    <hyperlink xmlns:r="http://schemas.openxmlformats.org/officeDocument/2006/relationships" ref="H264" display="https://v.douyin.com/iJkwsRPy/" r:id="rId529"/>
    <hyperlink xmlns:r="http://schemas.openxmlformats.org/officeDocument/2006/relationships" ref="G266" display="https://www.xingtu.cn/ad/creator/author-homepage/douyin-video/6629724072496332808?market_track_id=SUA9KH7ZBLCVW9Q8I8O3&amp;search_session_id=7611010792837922826&amp;possessStarId" r:id="rId530"/>
    <hyperlink xmlns:r="http://schemas.openxmlformats.org/officeDocument/2006/relationships" ref="H266" display="https://www.douyin.com/user/MS4wLjABAAAAp52iIUIC50X_sKEA9gkGSW3EbhMfkj6rJ5oOiL_tXtw" r:id="rId531"/>
    <hyperlink xmlns:r="http://schemas.openxmlformats.org/officeDocument/2006/relationships" ref="G267" display="https://www.xingtu.cn/ad/creator/author-homepage/douyin-video/6690478800708304908?market_track_id=SUA9KH7ZBLCVW9Q8I8O3&amp;search_session_id=7611015321839599625&amp;possessStarId" r:id="rId532"/>
    <hyperlink xmlns:r="http://schemas.openxmlformats.org/officeDocument/2006/relationships" ref="H267" display="https://www.douyin.com/user/MS4wLjABAAAALfr_yeD1TZl2Imjm_V45ptcvrG4DNFWWuqY_26vhXTg" r:id="rId533"/>
    <hyperlink xmlns:r="http://schemas.openxmlformats.org/officeDocument/2006/relationships" ref="G268" display="https://www.xingtu.cn/ad/creator/author-homepage/douyin-video/7286272063084429369?market_track_id=MZCT008XDQ9LRFKWE2VY&amp;search_session_id=7613243975943913523&amp;possessStarId" r:id="rId534"/>
    <hyperlink xmlns:r="http://schemas.openxmlformats.org/officeDocument/2006/relationships" ref="H268" display="https://www.douyin.com/user/MS4wLjABAAAAZ-xWxEMO6xr9oNSAHhMQrwAKjYmKtkFr0QLWrxmg0-Y" r:id="rId535"/>
    <hyperlink xmlns:r="http://schemas.openxmlformats.org/officeDocument/2006/relationships" ref="G269" display="https://www.xingtu.cn/ad/creator/author-homepage/douyin-video/6629658460059336711?market_track_id=MZCT008XDQ9LRFKWE2VY&amp;search_session_id=7613242839255744521&amp;possessStarId" r:id="rId536"/>
    <hyperlink xmlns:r="http://schemas.openxmlformats.org/officeDocument/2006/relationships" ref="H269" display="https://www.douyin.com/user/MS4wLjABAAAADuP3bF1OcPUmbyMptWG0cIfrxGNLefaMoyoK71ODLh4" r:id="rId537"/>
    <hyperlink xmlns:r="http://schemas.openxmlformats.org/officeDocument/2006/relationships" ref="G270" display="https://www.xingtu.cn/ad/creator/author-homepage/douyin-video/7212663785511714874?market_track_id=MZCT008XDQ9LRFKWE2VY&amp;search_session_id=7613236685597949962&amp;possessStarId" r:id="rId538"/>
    <hyperlink xmlns:r="http://schemas.openxmlformats.org/officeDocument/2006/relationships" ref="H270" display="https://www.douyin.com/user/MS4wLjABAAAA8i9Yi9gV4RDqVvKtoXXIebIOnLLtOOJpoP3zQICKudg" r:id="rId539"/>
    <hyperlink xmlns:r="http://schemas.openxmlformats.org/officeDocument/2006/relationships" ref="G271" display="https://www.xingtu.cn/ad/creator/author-homepage/douyin-video/7225455728285188157?market_track_id=IHKJ7RCF85I21XAQ009Q&amp;search_session_id=7613295973854871603&amp;possessStarId" r:id="rId540"/>
    <hyperlink xmlns:r="http://schemas.openxmlformats.org/officeDocument/2006/relationships" ref="H271" display="https://www.douyin.com/user/MS4wLjABAAAAuhXbv8NUQf-wNDmUaV5U4D5KCHUigR7QsO4E_6ji5kUabmtzcFYUtrQu3SkYmVSR" r:id="rId541"/>
    <hyperlink xmlns:r="http://schemas.openxmlformats.org/officeDocument/2006/relationships" ref="G272" display="https://www.xingtu.cn/ad/creator/author-homepage/douyin-video/6997128678010273805?market_track_id=T3F09RSZB5J532D966YC&amp;search_session_id=7613301898976575514&amp;possessStarId" r:id="rId542"/>
    <hyperlink xmlns:r="http://schemas.openxmlformats.org/officeDocument/2006/relationships" ref="H272" display="https://www.douyin.com/user/MS4wLjABAAAA5qA_IOOFelSPMHIXHW-NyZNIX55R8yceM5gpFr99Ugend87C0wVRO2g1CSHDY67o" r:id="rId543"/>
    <hyperlink xmlns:r="http://schemas.openxmlformats.org/officeDocument/2006/relationships" ref="G273" display="https://www.xingtu.cn/ad/creator/author-homepage/douyin-video/6926304630271901711?market_track_id=0OYPCAVV8EYK36F21DKG&amp;search_session_id=7613346160124297225&amp;possessStarId" r:id="rId544"/>
    <hyperlink xmlns:r="http://schemas.openxmlformats.org/officeDocument/2006/relationships" ref="H273" display="https://www.douyin.com/user/MS4wLjABAAAAj4jdFLdrSSmm1yQo6MMLOSXaMM0biQjbTVDPT3VRmuY" r:id="rId545"/>
    <hyperlink xmlns:r="http://schemas.openxmlformats.org/officeDocument/2006/relationships" ref="G274" display="https://www.xingtu.cn/ad/creator/author-homepage/douyin-video/6740972275522076676?market_track_id=0OYPCAVV8EYK36F21DKG&amp;search_session_id=7613344002150580262&amp;possessStarId" r:id="rId546"/>
    <hyperlink xmlns:r="http://schemas.openxmlformats.org/officeDocument/2006/relationships" ref="H274" display="https://www.douyin.com/user/MS4wLjABAAAA1L_6xSXNev3kU4eW6bo8Te3S8Ms380R0DtiWqjn0JSE" r:id="rId547"/>
    <hyperlink xmlns:r="http://schemas.openxmlformats.org/officeDocument/2006/relationships" ref="G275" display="https://www.xingtu.cn/ad/creator/author-homepage/douyin-video/6870160240763994120?market_track_id=1NN8XWAK1CGIJFNAQBZ8&amp;search_session_id=7613355683773808649&amp;possessStarId" r:id="rId548"/>
    <hyperlink xmlns:r="http://schemas.openxmlformats.org/officeDocument/2006/relationships" ref="H275" display="https://www.douyin.com/user/MS4wLjABAAAAAwdV_ZaHwV7yn4Imf8Q1PqZ7IENSzyyY0u24mWgn-xE" r:id="rId549"/>
    <hyperlink xmlns:r="http://schemas.openxmlformats.org/officeDocument/2006/relationships" ref="G276" display="https://www.xingtu.cn/ad/creator/author-homepage/douyin-video/6870160260540137486?market_track_id=YLXB7MTD8TPJAQ2SP4QR&amp;search_session_id=7613679778771779594&amp;possessStarId" r:id="rId550"/>
    <hyperlink xmlns:r="http://schemas.openxmlformats.org/officeDocument/2006/relationships" ref="H276" display="https://www.douyin.com/user/MS4wLjABAAAASz4Fz2ZvwPrjz2p5h5YkRvH7s83R2_VApQX-jqHOtBg" r:id="rId551"/>
    <hyperlink xmlns:r="http://schemas.openxmlformats.org/officeDocument/2006/relationships" ref="G277" display="https://www.xingtu.cn/ad/creator/author-homepage/douyin-video/6629659220260159491?market_track_id=H4ETHBZMFZY3TAGCQ3FA&amp;search_session_id=7613666091105501234&amp;possessStarId" r:id="rId552"/>
    <hyperlink xmlns:r="http://schemas.openxmlformats.org/officeDocument/2006/relationships" ref="H277" display="https://www.douyin.com/user/MS4wLjABAAAAaGPupGXkpAjXZOVH21EVXCRlX-WY4k0pSwspKgpfC9c" r:id="rId553"/>
    <hyperlink xmlns:r="http://schemas.openxmlformats.org/officeDocument/2006/relationships" ref="G278" display="https://www.xingtu.cn/ad/creator/author-homepage/douyin-video/7441551962656636937?market_track_id=9T58FEEOSH7RZ6RU7JP4&amp;search_session_id=7613652077218316339&amp;possessStarId" r:id="rId554"/>
    <hyperlink xmlns:r="http://schemas.openxmlformats.org/officeDocument/2006/relationships" ref="H278" display="https://www.douyin.com/user/MS4wLjABAAAAPawOZPInC7aNMiahiNWqSTvSU73vSPqIAAE7PmkJSZ2bnoyStZpgGe55ibre3Iyg" r:id="rId555"/>
    <hyperlink xmlns:r="http://schemas.openxmlformats.org/officeDocument/2006/relationships" ref="G279" display="https://www.xingtu.cn/ad/creator/author-homepage/douyin-video/6870161864530067464?market_track_id=SW5R02Z287BG97RJ9TP0&amp;search_session_id=7613707172631248922&amp;possessStarId" r:id="rId556"/>
    <hyperlink xmlns:r="http://schemas.openxmlformats.org/officeDocument/2006/relationships" ref="H279" display="https://www.douyin.com/user/MS4wLjABAAAA9s29W8yTEu9z0lw-htFiNE5EKgb5NFtFxHSJ-3PiV4k" r:id="rId557"/>
    <hyperlink xmlns:r="http://schemas.openxmlformats.org/officeDocument/2006/relationships" ref="G280" display="https://www.xingtu.cn/ad/creator/author-homepage/douyin-video/6986059745152991272?market_track_id=L6OVDUJQ4O614ZL9TH2Q&amp;search_session_id=7614028749639303218&amp;possessStarId" r:id="rId558"/>
    <hyperlink xmlns:r="http://schemas.openxmlformats.org/officeDocument/2006/relationships" ref="H280" display="https://www.douyin.com/user/MS4wLjABAAAA0IM_YtJKDo8tVLPsKWnHWVUSQjnHKgZpw0TRsqXB35GlzriFzcns96tjKKRr7WTI" r:id="rId559"/>
    <hyperlink xmlns:r="http://schemas.openxmlformats.org/officeDocument/2006/relationships" ref="G281" display="https://www.xingtu.cn/ad/creator/author-homepage/douyin-video/7178384753874173987?market_track_id=WQYDLK95ZIKAMRQ6Y2QU&amp;search_session_id=7614026091378180146&amp;possessStarId" r:id="rId560"/>
    <hyperlink xmlns:r="http://schemas.openxmlformats.org/officeDocument/2006/relationships" ref="H281" display="https://www.douyin.com/user/MS4wLjABAAAAGkPRwD17lxAwIwfU_cS_ZCFQDp3onlv7Vt4oWuF3UhNS0eRgdJMLDUx_2-BynGRj" r:id="rId561"/>
    <hyperlink xmlns:r="http://schemas.openxmlformats.org/officeDocument/2006/relationships" ref="G282" display="https://www.xingtu.cn/ad/creator/author-homepage/douyin-video/6802523335012909069?market_track_id=EYBQHQN99X2O5Q0DSX1Q&amp;search_session_id=7614014387368149030&amp;possessStarId" r:id="rId562"/>
    <hyperlink xmlns:r="http://schemas.openxmlformats.org/officeDocument/2006/relationships" ref="H282" display="https://www.douyin.com/user/MS4wLjABAAAAISjmopPTsqgdmoF2_63yBDkUBB5dl1JxIS4veijKvu8lHpIfoe697n4IHzQiiL1h" r:id="rId563"/>
    <hyperlink xmlns:r="http://schemas.openxmlformats.org/officeDocument/2006/relationships" ref="G283" display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" r:id="rId564"/>
    <hyperlink xmlns:r="http://schemas.openxmlformats.org/officeDocument/2006/relationships" ref="H283" display="https://www.douyin.com/user/MS4wLjABAAAAc5kxst574ZOPmOCPOBZeuzPkfjqvCtEGcCL3rqLzrQI" r:id="rId565"/>
    <hyperlink xmlns:r="http://schemas.openxmlformats.org/officeDocument/2006/relationships" ref="E284" display="精致妈妈和资深中产占比高，爆款大家电商单https://www.douyin.com/video/7565465871860174122" r:id="rId566"/>
    <hyperlink xmlns:r="http://schemas.openxmlformats.org/officeDocument/2006/relationships" ref="G284" display="https://www.xingtu.cn/ad/creator/author-homepage/douyin-video/7298673899103846450?market_track_id=GTKGQL8X2XU0PIMT6UI5&amp;search_session_id=7615897568245776411&amp;possessStarId" r:id="rId567"/>
    <hyperlink xmlns:r="http://schemas.openxmlformats.org/officeDocument/2006/relationships" ref="H284" display="https://www.douyin.com/user/MS4wLjABAAAAvYjqp_tSUvO_b1Y7bzRxfeIFffVjz5gGjz7JP1zXLMXIOd6GoDwRjQSR8focb3LZ" r:id="rId568"/>
    <hyperlink xmlns:r="http://schemas.openxmlformats.org/officeDocument/2006/relationships" ref="G285" display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" r:id="rId569"/>
    <hyperlink xmlns:r="http://schemas.openxmlformats.org/officeDocument/2006/relationships" ref="H285" display="https://www.douyin.com/user/MS4wLjABAAAArUV5HctAWlnVc-augz__U2D--90a2UMmw9oiziP91Fw" r:id="rId570"/>
    <hyperlink xmlns:r="http://schemas.openxmlformats.org/officeDocument/2006/relationships" ref="G286" display="https://www.xingtu.cn/ad/creator/author-homepage/douyin-video/6870170334209769479?market_track_id=2HPQ3HRNLPZF3O2NNCPK&amp;search_session_id=7615457725783031846&amp;possessStarId" r:id="rId571"/>
    <hyperlink xmlns:r="http://schemas.openxmlformats.org/officeDocument/2006/relationships" ref="H286" display="https://www.douyin.com/user/MS4wLjABAAAAsvKZAG9tg8xDWUM7kYrWLBjCK9xzFPoY5mHwGl2nd4Na-EHLIOqis9AKbu5RITbY" r:id="rId572"/>
    <hyperlink xmlns:r="http://schemas.openxmlformats.org/officeDocument/2006/relationships" ref="G287" display="https://www.xingtu.cn/ad/creator/author-homepage/douyin-video/6870163502879735815?market_track_id=7XTIV3268V2E8E5IT2EH&amp;search_session_id=7615463195943927858&amp;possessStarId" r:id="rId573"/>
    <hyperlink xmlns:r="http://schemas.openxmlformats.org/officeDocument/2006/relationships" ref="H287" display="https://www.douyin.com/user/MS4wLjABAAAATWFDIem4wHJK5WvRisrwahjXdK1bD_lsJ6ptOhWcZ24" r:id="rId574"/>
    <hyperlink xmlns:r="http://schemas.openxmlformats.org/officeDocument/2006/relationships" ref="G288" display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" r:id="rId575"/>
    <hyperlink xmlns:r="http://schemas.openxmlformats.org/officeDocument/2006/relationships" ref="H288" display="https://www.douyin.com/user/MS4wLjABAAAAM4M_uFNMnF9oxKUijqSgLnZwdSfbwLLszK-PJtgkQBRvZR__1-beUO8IJ95OBySo" r:id="rId576"/>
    <hyperlink xmlns:r="http://schemas.openxmlformats.org/officeDocument/2006/relationships" ref="G289" display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" r:id="rId577"/>
    <hyperlink xmlns:r="http://schemas.openxmlformats.org/officeDocument/2006/relationships" ref="H289" display="https://www.douyin.com/user/MS4wLjABAAAA3ZS7aZGPmGiN_PLYTTftyWefff6Dcn2cMd0OPg2JNak" r:id="rId578"/>
    <hyperlink xmlns:r="http://schemas.openxmlformats.org/officeDocument/2006/relationships" ref="G290" display="https://www.xingtu.cn/ad/creator/author-homepage/douyin-video/7443044824921407538?market_track_id=OTDIBZQ2VDQKJ5MLUFVC&amp;search_session_id=7615830546245566491&amp;possessStarId" r:id="rId579"/>
    <hyperlink xmlns:r="http://schemas.openxmlformats.org/officeDocument/2006/relationships" ref="H290" display="https://www.douyin.com/user/MS4wLjABAAAAU1CIlkZD-ncNht3DJ2gyjpQMbJA8cuxm85PhmuFBlH_Xuege6EKfHP7JJ1ejcU0i" r:id="rId580"/>
    <hyperlink xmlns:r="http://schemas.openxmlformats.org/officeDocument/2006/relationships" ref="G291" display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" r:id="rId581"/>
    <hyperlink xmlns:r="http://schemas.openxmlformats.org/officeDocument/2006/relationships" ref="H291" display="https://www.douyin.com/user/MS4wLjABAAAAIOpleKo7Lc3cla1Wa0km2Zx-rz5yHAufN_c36E1LY6M" r:id="rId582"/>
    <hyperlink xmlns:r="http://schemas.openxmlformats.org/officeDocument/2006/relationships" ref="G293" display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" r:id="rId583"/>
    <hyperlink xmlns:r="http://schemas.openxmlformats.org/officeDocument/2006/relationships" ref="H293" display="https://www.douyin.com/user/MS4wLjABAAAAxXgHKJ1FHUF1zt6f9FXSjPzFf_sN29TLoQs8UBWRxHI" r:id="rId584"/>
    <hyperlink xmlns:r="http://schemas.openxmlformats.org/officeDocument/2006/relationships" ref="G294" display="https://www.xingtu.cn/ad/creator/author-homepage/douyin-video/6870161635978248200?market_track_id=T3F09RSZB5J532D966YC&amp;search_session_id=7613305670808518694&amp;possessStarId" r:id="rId585"/>
    <hyperlink xmlns:r="http://schemas.openxmlformats.org/officeDocument/2006/relationships" ref="H294" display="https://www.douyin.com/user/MS4wLjABAAAAqvZxAHFLfL78cSnQE4ryO2MVRIV7Js0d30t7HrghwW8" r:id="rId586"/>
    <hyperlink xmlns:r="http://schemas.openxmlformats.org/officeDocument/2006/relationships" ref="E295" display="海尔爆款商单：https://www.douyin.com/video/7600647445030203761" r:id="rId587"/>
    <hyperlink xmlns:r="http://schemas.openxmlformats.org/officeDocument/2006/relationships" ref="G295" display="https://www.xingtu.cn/ad/creator/author-homepage/douyin-video/7182410758330777604?market_track_id=SN20ND2FZ5FPJEXN7S4E&amp;search_session_id=7616674203077050419&amp;possessStarId" r:id="rId588"/>
    <hyperlink xmlns:r="http://schemas.openxmlformats.org/officeDocument/2006/relationships" ref="H295" display="https://www.douyin.com/user/MS4wLjABAAAAaAcfvEDWUh_xE5kJu4lV_8C45iIPdOKMq73eysmfdlE" r:id="rId589"/>
    <hyperlink xmlns:r="http://schemas.openxmlformats.org/officeDocument/2006/relationships" ref="E296" display="商单均过千万播放，近期有大家电商单爆款，https://www.douyin.com/video/7598388485124634011" r:id="rId590"/>
    <hyperlink xmlns:r="http://schemas.openxmlformats.org/officeDocument/2006/relationships" ref="G296" display="https://www.xingtu.cn/ad/creator/author-homepage/douyin-video/7063710781757456420?market_track_id=7V09FBZRNDM9257H8QCX&amp;search_session_id=7616651184430776347&amp;possessStarId" r:id="rId591"/>
    <hyperlink xmlns:r="http://schemas.openxmlformats.org/officeDocument/2006/relationships" ref="H296" display="https://www.douyin.com/user/MS4wLjABAAAA_M5dOMrn_OJDEseTF8rBFm1WGT0v25Vg0uvTyJDKlqVgxS5sPN2S6ZZX8LlIquSo" r:id="rId592"/>
    <hyperlink xmlns:r="http://schemas.openxmlformats.org/officeDocument/2006/relationships" ref="E297" display="西门子爆款商单：https://www.douyin.com/video/7599919494719251035" r:id="rId593"/>
    <hyperlink xmlns:r="http://schemas.openxmlformats.org/officeDocument/2006/relationships" ref="G297" display="https://www.xingtu.cn/ad/creator/author-homepage/douyin-video/7237693402249494560?market_track_id=N4PBRHV2K7PCWJ3T3MBY&amp;search_session_id=7616667428616962086&amp;possessStarId" r:id="rId594"/>
    <hyperlink xmlns:r="http://schemas.openxmlformats.org/officeDocument/2006/relationships" ref="H297" display="https://www.douyin.com/user/MS4wLjABAAAA9YU4u9kZcGzGzr0ca4sT4-aDqkN8Pm4sEaS2jfEZGJU7raTBd3TsTI36FaCmgctp" r:id="rId595"/>
    <hyperlink xmlns:r="http://schemas.openxmlformats.org/officeDocument/2006/relationships" ref="G298" display="https://www.xingtu.cn/ad/creator/author-homepage/douyin-video/7235217904738926596?market_track_id=2KVOMPJN4QSG01E4YUAX&amp;search_session_id=7613672629345452082&amp;possessStarId" r:id="rId596"/>
    <hyperlink xmlns:r="http://schemas.openxmlformats.org/officeDocument/2006/relationships" ref="H298" display="https://www.douyin.com/user/MS4wLjABAAAAtR50iDXDnqRgvZGtkakkoNhbJvAL145MBUi55rnGd4CooXaFwC5zmcfTfPJctKY9" r:id="rId597"/>
    <hyperlink xmlns:r="http://schemas.openxmlformats.org/officeDocument/2006/relationships" ref="G299" display="https://www.xingtu.cn/ad/creator/author-homepage/douyin-video/6985112676447813673?market_track_id=L6OVDUJQ4O614ZL9TH2Q&amp;search_session_id=7614030191970631707&amp;possessStarId" r:id="rId598"/>
    <hyperlink xmlns:r="http://schemas.openxmlformats.org/officeDocument/2006/relationships" ref="H299" display="https://www.douyin.com/user/MS4wLjABAAAAxY1B2wXgRFIM56Dgmq6l5LbbLyZkVzxrwerDc-nkWz8" r:id="rId599"/>
    <hyperlink xmlns:r="http://schemas.openxmlformats.org/officeDocument/2006/relationships" ref="G300" display="https://www.xingtu.cn/ad/creator/author-homepage/douyin-video/7270897124420616248?market_track_id=7P11BU0QH3JUILEBBP4A&amp;search_session_id=7614054949244190758&amp;possessStarId" r:id="rId600"/>
    <hyperlink xmlns:r="http://schemas.openxmlformats.org/officeDocument/2006/relationships" ref="H300" display="https://www.douyin.com/user/MS4wLjABAAAAg8Mg_d7hgLjyA9uAtaqiTvttWPKZ5yWHuoIODMrmP44HvVKzkPwWZqK19nFJ1WeF" r:id="rId601"/>
    <hyperlink xmlns:r="http://schemas.openxmlformats.org/officeDocument/2006/relationships" ref="G301" display="https://www.xingtu.cn/ad/creator/author-homepage/douyin-video/6904928031547064335?market_track_id=NHDHIZHMWY3LDTI1FTJQ&amp;search_session_id=7614064463817539610&amp;possessStarId" r:id="rId602"/>
    <hyperlink xmlns:r="http://schemas.openxmlformats.org/officeDocument/2006/relationships" ref="H301" display="https://www.douyin.com/user/MS4wLjABAAAA4BllNusuuP22r0wVxSBWvVleCtUAvfEKlWx_vHMFjP8" r:id="rId603"/>
    <hyperlink xmlns:r="http://schemas.openxmlformats.org/officeDocument/2006/relationships" ref="E302" display="精致妈妈占比高，大家电商单https://www.douyin.com/video/7553536649356119359" r:id="rId604"/>
    <hyperlink xmlns:r="http://schemas.openxmlformats.org/officeDocument/2006/relationships" ref="G302" display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" r:id="rId605"/>
    <hyperlink xmlns:r="http://schemas.openxmlformats.org/officeDocument/2006/relationships" ref="H302" display="https://www.douyin.com/user/MS4wLjABAAAAiN15qBuxq9JWH-8-zX4vmzMSSPoRvRUcOQze7Z3ORzs" r:id="rId606"/>
    <hyperlink xmlns:r="http://schemas.openxmlformats.org/officeDocument/2006/relationships" ref="E303" display="大家电商单https://www.douyin.com/video/7599622349101647537" r:id="rId607"/>
    <hyperlink xmlns:r="http://schemas.openxmlformats.org/officeDocument/2006/relationships" ref="G303" display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" r:id="rId608"/>
    <hyperlink xmlns:r="http://schemas.openxmlformats.org/officeDocument/2006/relationships" ref="H303" display="https://www.douyin.com/user/MS4wLjABAAAACtgEdFXImTysoKNBtymQvAFIpFUR1girZ-l6HWP7_JaZeR8_4AoYkHtonTFqCcYx" r:id="rId609"/>
    <hyperlink xmlns:r="http://schemas.openxmlformats.org/officeDocument/2006/relationships" ref="E304" display="女粉精致妈妈占比高，https://www.douyin.com/video/7502782095450869019" r:id="rId610"/>
    <hyperlink xmlns:r="http://schemas.openxmlformats.org/officeDocument/2006/relationships" ref="G304" display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" r:id="rId611"/>
    <hyperlink xmlns:r="http://schemas.openxmlformats.org/officeDocument/2006/relationships" ref="H304" display="https://www.douyin.com/user/MS4wLjABAAAAhmWBGlEtnFXYP_l2mPtSVcAIWU7XFHRkw1uhSXKHmwo" r:id="rId612"/>
    <hyperlink xmlns:r="http://schemas.openxmlformats.org/officeDocument/2006/relationships" ref="E305" display="情侣博主，活人感强千万大家电爆款商单https://www.douyin.com/video/7559897109244316985?previous_page=app_code_link" r:id="rId613"/>
    <hyperlink xmlns:r="http://schemas.openxmlformats.org/officeDocument/2006/relationships" ref="G305" display="https://www.xingtu.cn/ad/creator/author-homepage/douyin-video/6920165577600270344?market_track_id=SYU2O2J77PRZD6HSWFO4&amp;search_session_id=7611491430255001609&amp;possessStarId" r:id="rId614"/>
    <hyperlink xmlns:r="http://schemas.openxmlformats.org/officeDocument/2006/relationships" ref="H305" display="https://www.douyin.com/user/MS4wLjABAAAAEvnSjkvkAzbDpQ0caF50IYBkgWOAyJwd-CNfev5tkxAj7GiO0lFBkO07G1LayvKm" r:id="rId615"/>
    <hyperlink xmlns:r="http://schemas.openxmlformats.org/officeDocument/2006/relationships" ref="E306" display="设计师身份，大家电爆单https://www.douyin.com/video/7566976520397688102" r:id="rId616"/>
    <hyperlink xmlns:r="http://schemas.openxmlformats.org/officeDocument/2006/relationships" ref="G306" display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" r:id="rId617"/>
    <hyperlink xmlns:r="http://schemas.openxmlformats.org/officeDocument/2006/relationships" ref="H306" display="https://www.douyin.com/user/MS4wLjABAAAAy_cE03ybdZUEslPjZeSfVh_3ZMsCX1Q0pyD4EscLA3zNkiCrxP6-ueEhdldhn4OT" r:id="rId618"/>
    <hyperlink xmlns:r="http://schemas.openxmlformats.org/officeDocument/2006/relationships" ref="E308" display="大家电商单：https://www.douyin.com/video/7599576992983429233" r:id="rId619"/>
    <hyperlink xmlns:r="http://schemas.openxmlformats.org/officeDocument/2006/relationships" ref="G308" display="https://www.xingtu.cn/ad/creator/author-homepage/douyin-video/7081264713178284063?market_track_id=F8Q29YWLZQEHIVGTDSSH&amp;search_session_id=7618472828354199598&amp;possessStarId" r:id="rId620"/>
    <hyperlink xmlns:r="http://schemas.openxmlformats.org/officeDocument/2006/relationships" ref="H308" display="https://www.douyin.com/user/MS4wLjABAAAAMw7LMNLouqzKre1Sg_ffEWLKLla6hItb42IOQw50rhUiSjiQAn2wCj6SLl6Rragz" r:id="rId621"/>
    <hyperlink xmlns:r="http://schemas.openxmlformats.org/officeDocument/2006/relationships" ref="E309" display="大家电商单：https://www.douyin.com/video/7594739089980836090" r:id="rId622"/>
    <hyperlink xmlns:r="http://schemas.openxmlformats.org/officeDocument/2006/relationships" ref="G309" display="https://www.xingtu.cn/ad/creator/author-homepage/douyin-video/6870162918952927239?market_track_id=JYVAWVUHQWU03IDGK6EV&amp;search_session_id=7618474418007883785&amp;possessStarId" r:id="rId623"/>
    <hyperlink xmlns:r="http://schemas.openxmlformats.org/officeDocument/2006/relationships" ref="H309" display="https://www.douyin.com/user/MS4wLjABAAAA7-xOl-vEQBfy_VAj9rT__8vjwlROoMeKX3AmbQsyVV0" r:id="rId624"/>
    <hyperlink xmlns:r="http://schemas.openxmlformats.org/officeDocument/2006/relationships" ref="E310" display="大家电爆单：https://www.douyin.com/video/7615151604291380982" r:id="rId625"/>
    <hyperlink xmlns:r="http://schemas.openxmlformats.org/officeDocument/2006/relationships" ref="G310" display="https://www.xingtu.cn/ad/creator/author-homepage/douyin-video/6856051463051804676?market_track_id=4QBEWON6YT27FK0V9X4F&amp;search_session_id=7618475779613802505&amp;possessStarId" r:id="rId626"/>
    <hyperlink xmlns:r="http://schemas.openxmlformats.org/officeDocument/2006/relationships" ref="H310" display="https://www.douyin.com/user/MS4wLjABAAAAE_BT-vg4yyaNP_uGMMWJVt_4mHilTKUg4A8-iOk-UaQ" r:id="rId627"/>
    <hyperlink xmlns:r="http://schemas.openxmlformats.org/officeDocument/2006/relationships" ref="E311" display="方太油烟机https://www.douyin.com/video/7588804990945250606" r:id="rId628"/>
    <hyperlink xmlns:r="http://schemas.openxmlformats.org/officeDocument/2006/relationships" ref="G311" display="https://www.xingtu.cn/ad/creator/author-homepage/douyin-video/6853653028172464135?market_track_id=EDINYK3XXSDWXZSTZJI2&amp;search_session_id=7618477134667448370&amp;possessStarId" r:id="rId629"/>
    <hyperlink xmlns:r="http://schemas.openxmlformats.org/officeDocument/2006/relationships" ref="H311" display="https://www.douyin.com/user/MS4wLjABAAAAXGcTeW3IhXxNACnaMukODG4pPMQnPP5Vq1Vs91uEb8M" r:id="rId630"/>
    <hyperlink xmlns:r="http://schemas.openxmlformats.org/officeDocument/2006/relationships" ref="E312" display="方太油烟机https://www.douyin.com/video/7589118830769627557" r:id="rId631"/>
    <hyperlink xmlns:r="http://schemas.openxmlformats.org/officeDocument/2006/relationships" ref="G312" display="https://www.xingtu.cn/ad/creator/author-homepage/douyin-video/6865559999012159502?market_track_id=O1NTGH9R0TXFGKQNGQ0J&amp;search_session_id=7618478159851929646&amp;possessStarId" r:id="rId632"/>
    <hyperlink xmlns:r="http://schemas.openxmlformats.org/officeDocument/2006/relationships" ref="H312" display="https://www.douyin.com/user/MS4wLjABAAAAvhGB5m_PPLryRDuEzF_dUQUMX0L6eTWXW1Lrl1MjneM" r:id="rId633"/>
    <hyperlink xmlns:r="http://schemas.openxmlformats.org/officeDocument/2006/relationships" ref="E313" display="方太油烟机https://www.douyin.com/video/7602940303423657882" r:id="rId634"/>
    <hyperlink xmlns:r="http://schemas.openxmlformats.org/officeDocument/2006/relationships" ref="G313" display="https://www.xingtu.cn/ad/creator/author-homepage/douyin-video/7129709466089422861?market_track_id=RZE14O01DKC2XW0OIBC9&amp;search_session_id=7618479423495241737&amp;possessStarId" r:id="rId635"/>
    <hyperlink xmlns:r="http://schemas.openxmlformats.org/officeDocument/2006/relationships" ref="H313" display="https://www.douyin.com/user/MS4wLjABAAAA64mbuDhjtfY2WtQcBgqhyXfuRE6af-WSHWKz-CkeGSg" r:id="rId636"/>
    <hyperlink xmlns:r="http://schemas.openxmlformats.org/officeDocument/2006/relationships" ref="E314" display="大家电商单https://www.douyin.com/video/7598506892470914149" r:id="rId637"/>
    <hyperlink xmlns:r="http://schemas.openxmlformats.org/officeDocument/2006/relationships" ref="G314" display="https://www.xingtu.cn/ad/creator/author-homepage/douyin-video/7076447505478746148?market_track_id=HL1IR2XCACQL1BFKMNV7&amp;search_session_id=7618480657383292979&amp;possessStarId" r:id="rId638"/>
    <hyperlink xmlns:r="http://schemas.openxmlformats.org/officeDocument/2006/relationships" ref="H314" display="https://www.douyin.com/user/MS4wLjABAAAAMQDJp7zeof_F20koNVYXvtIsrslQNYAEDwQVve62zz6LjkLkXVbbgv43dNcKvmvk" r:id="rId639"/>
    <hyperlink xmlns:r="http://schemas.openxmlformats.org/officeDocument/2006/relationships" ref="E315" display="海尔洗碗机https://www.douyin.com/video/7611814908149140777" r:id="rId640"/>
    <hyperlink xmlns:r="http://schemas.openxmlformats.org/officeDocument/2006/relationships" ref="G315" display="https://www.xingtu.cn/ad/creator/author-homepage/douyin-video/7415130308804083763?market_track_id=4UV1ZZY2S04J4L4I7JK9&amp;search_session_id=7618481893562613798&amp;possessStarId" r:id="rId641"/>
    <hyperlink xmlns:r="http://schemas.openxmlformats.org/officeDocument/2006/relationships" ref="H315" display="https://www.douyin.com/user/MS4wLjABAAAAz4Pevk3Phkau4fFecFeUuxm6pSeAO9lwzblAGKMUEGNCavn5FqSoJcCAGi0v7cIm" r:id="rId642"/>
    <hyperlink xmlns:r="http://schemas.openxmlformats.org/officeDocument/2006/relationships" ref="E316" display="大家电商单https://www.douyin.com/video/7595779745992805642" r:id="rId643"/>
    <hyperlink xmlns:r="http://schemas.openxmlformats.org/officeDocument/2006/relationships" ref="G316" display="https://www.xingtu.cn/ad/creator/author-homepage/douyin-video/7539845094233341962?market_track_id=V5XWHU9J99SB7MYAGUYB&amp;search_session_id=7618482750848254003&amp;possessStarId" r:id="rId644"/>
    <hyperlink xmlns:r="http://schemas.openxmlformats.org/officeDocument/2006/relationships" ref="H316" display="https://www.douyin.com/user/MS4wLjABAAAAF_Oq7_bc5BDKDu41djtgeAQdaAiDne9htZ0_pTNNxTpE9deWVjwup8GNgKRuyzYP" r:id="rId645"/>
    <hyperlink xmlns:r="http://schemas.openxmlformats.org/officeDocument/2006/relationships" ref="E317" display="海尔洗碗机https://www.douyin.com/video/7598762047287174131" r:id="rId646"/>
    <hyperlink xmlns:r="http://schemas.openxmlformats.org/officeDocument/2006/relationships" ref="G317" display="https://www.xingtu.cn/ad/creator/author-homepage/douyin-video/7083772815534456846?market_track_id=O3D48WIVRV98OBV3ZC5D&amp;search_session_id=7618483759381692467&amp;possessStarId" r:id="rId647"/>
    <hyperlink xmlns:r="http://schemas.openxmlformats.org/officeDocument/2006/relationships" ref="H317" display="https://www.douyin.com/user/MS4wLjABAAAAcgqSghTF-dj0kpNGFf0aT_2w75vsSygv8M0GE2byCE5QKRjb6FHRMTqwWYRdvB7u" r:id="rId648"/>
    <hyperlink xmlns:r="http://schemas.openxmlformats.org/officeDocument/2006/relationships" ref="G318" display="https://www.xingtu.cn/ad/creator/author-homepage/douyin-video/6834368834065924104?market_track_id=EVK545173R6DJQ919O2U&amp;search_session_id=7615827593002287113&amp;possessStarId" r:id="rId649"/>
    <hyperlink xmlns:r="http://schemas.openxmlformats.org/officeDocument/2006/relationships" ref="H318" display="https://www.douyin.com/user/MS4wLjABAAAA-F9dWILzcODO8ptMC_wYoEMaqlWxDlkMc3pcG4Fv6ok" r:id="rId650"/>
    <hyperlink xmlns:r="http://schemas.openxmlformats.org/officeDocument/2006/relationships" ref="G319" display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" r:id="rId651"/>
    <hyperlink xmlns:r="http://schemas.openxmlformats.org/officeDocument/2006/relationships" ref="H319" display="https://www.douyin.com/user/MS4wLjABAAAAqKockBn2sLlJTihnGBvV706p95ACOWq5a8RoXBHe4dY" r:id="rId652"/>
    <hyperlink xmlns:r="http://schemas.openxmlformats.org/officeDocument/2006/relationships" ref="G320" display="https://www.xingtu.cn/ad/creator/author-homepage/douyin-video/6724813695026724872?market_track_id=JKO9S71X89B2JTGHM2WK&amp;search_session_id=7614017373054173230&amp;possessStarId" r:id="rId653"/>
    <hyperlink xmlns:r="http://schemas.openxmlformats.org/officeDocument/2006/relationships" ref="H320" display="https://www.douyin.com/user/MS4wLjABAAAAOGUuJYH1ZGSzKalWWD7o9jvgV2MEJAL-KrZxEHEbtRKBkaFMI7fw1UIGZC98-3c8" r:id="rId654"/>
    <hyperlink xmlns:r="http://schemas.openxmlformats.org/officeDocument/2006/relationships" ref="E321" display="大家电商单https://www.douyin.com/video/7589540707669553807" r:id="rId655"/>
    <hyperlink xmlns:r="http://schemas.openxmlformats.org/officeDocument/2006/relationships" ref="G321" display="https://www.xingtu.cn/ad/creator/author-homepage/douyin-video/7271817838690566185?market_track_id=LY4LB3QSF89L1C2C56RX&amp;search_session_id=7618486054959775782&amp;possessStarId" r:id="rId656"/>
    <hyperlink xmlns:r="http://schemas.openxmlformats.org/officeDocument/2006/relationships" ref="H321" display="https://www.douyin.com/user/MS4wLjABAAAAw1QvuOw7w71clws2_HxQwvLVW-LV2md50UiJ-xChwr8" r:id="rId657"/>
    <hyperlink xmlns:r="http://schemas.openxmlformats.org/officeDocument/2006/relationships" ref="G322" display="https://www.xingtu.cn/ad/creator/author-homepage/douyin-video/7225455728285188157?market_track_id=IHKJ7RCF85I21XAQ009Q&amp;search_session_id=7613295973854871603&amp;possessStarId" r:id="rId658"/>
    <hyperlink xmlns:r="http://schemas.openxmlformats.org/officeDocument/2006/relationships" ref="H322" display="https://www.douyin.com/user/MS4wLjABAAAAuhXbv8NUQf-wNDmUaV5U4D5KCHUigR7QsO4E_6ji5kUabmtzcFYUtrQu3SkYmVSR" r:id="rId659"/>
    <hyperlink xmlns:r="http://schemas.openxmlformats.org/officeDocument/2006/relationships" ref="G323" display="https://www.xingtu.cn/ad/creator/author-homepage/douyin-video/6997128678010273805?market_track_id=T3F09RSZB5J532D966YC&amp;search_session_id=7613301898976575514&amp;possessStarId" r:id="rId660"/>
    <hyperlink xmlns:r="http://schemas.openxmlformats.org/officeDocument/2006/relationships" ref="H323" display="https://www.douyin.com/user/MS4wLjABAAAA5qA_IOOFelSPMHIXHW-NyZNIX55R8yceM5gpFr99Ugend87C0wVRO2g1CSHDY67o" r:id="rId661"/>
    <hyperlink xmlns:r="http://schemas.openxmlformats.org/officeDocument/2006/relationships" ref="G324" display="https://www.xingtu.cn/ad/creator/author-homepage/douyin-video/6926304630271901711?market_track_id=0OYPCAVV8EYK36F21DKG&amp;search_session_id=7613346160124297225&amp;possessStarId" r:id="rId662"/>
    <hyperlink xmlns:r="http://schemas.openxmlformats.org/officeDocument/2006/relationships" ref="H324" display="https://www.douyin.com/user/MS4wLjABAAAAj4jdFLdrSSmm1yQo6MMLOSXaMM0biQjbTVDPT3VRmuY" r:id="rId663"/>
    <hyperlink xmlns:r="http://schemas.openxmlformats.org/officeDocument/2006/relationships" ref="G325" display="https://www.xingtu.cn/ad/creator/author-homepage/douyin-video/7441551962656636937?market_track_id=9T58FEEOSH7RZ6RU7JP4&amp;search_session_id=7613652077218316339&amp;possessStarId" r:id="rId664"/>
    <hyperlink xmlns:r="http://schemas.openxmlformats.org/officeDocument/2006/relationships" ref="H325" display="https://www.douyin.com/user/MS4wLjABAAAAPawOZPInC7aNMiahiNWqSTvSU73vSPqIAAE7PmkJSZ2bnoyStZpgGe55ibre3Iyg" r:id="rId665"/>
    <hyperlink xmlns:r="http://schemas.openxmlformats.org/officeDocument/2006/relationships" ref="G326" display="https://www.xingtu.cn/ad/creator/author-homepage/douyin-video/6870161864530067464?market_track_id=SW5R02Z287BG97RJ9TP0&amp;search_session_id=7613707172631248922&amp;possessStarId" r:id="rId666"/>
    <hyperlink xmlns:r="http://schemas.openxmlformats.org/officeDocument/2006/relationships" ref="H326" display="https://www.douyin.com/user/MS4wLjABAAAA9s29W8yTEu9z0lw-htFiNE5EKgb5NFtFxHSJ-3PiV4k" r:id="rId667"/>
    <hyperlink xmlns:r="http://schemas.openxmlformats.org/officeDocument/2006/relationships" ref="G327" display="https://www.xingtu.cn/ad/creator/author-homepage/douyin-video/6994640370961219591?market_track_id=BQFZGFBK6WAOAUFUKUFF&amp;search_session_id=7615925446161121326&amp;possessStarId" r:id="rId668"/>
    <hyperlink xmlns:r="http://schemas.openxmlformats.org/officeDocument/2006/relationships" ref="H327" display="https://www.douyin.com/user/MS4wLjABAAAAKFrzR-Lh8AvbUdXHxl0eiTdwcit_JiqOh6UBH4dAVI0" r:id="rId669"/>
    <hyperlink xmlns:r="http://schemas.openxmlformats.org/officeDocument/2006/relationships" ref="G328" display="https://www.xingtu.cn/ad/creator/author-homepage/douyin-video/7072745980210184223?market_track_id=BQFZGFBK6WAOAUFUKUFF&amp;search_session_id=7615927107147513866&amp;possessStarId" r:id="rId670"/>
    <hyperlink xmlns:r="http://schemas.openxmlformats.org/officeDocument/2006/relationships" ref="H328" display="https://www.douyin.com/user/MS4wLjABAAAA_HxonAavr589mpQxQuiYeJM_UbmAFJze0ivECvL-BMo" r:id="rId671"/>
    <hyperlink xmlns:r="http://schemas.openxmlformats.org/officeDocument/2006/relationships" ref="G329" display="https://www.xingtu.cn/ad/creator/author-homepage/douyin-video/6870161519338848269?market_track_id=BQFZGFBK6WAOAUFUKUFF&amp;search_session_id=7615927107147513866&amp;possessStarId" r:id="rId672"/>
    <hyperlink xmlns:r="http://schemas.openxmlformats.org/officeDocument/2006/relationships" ref="H329" display="https://www.douyin.com/user/MS4wLjABAAAAueFF0PaDfazgIovWP3zpwfyQSw2rDa14gI2g2aEDfY4" r:id="rId673"/>
    <hyperlink xmlns:r="http://schemas.openxmlformats.org/officeDocument/2006/relationships" ref="G330" display="https://www.xingtu.cn/ad/creator/author-homepage/douyin-video/7167716894055596046?market_track_id=BQFZGFBK6WAOAUFUKUFF&amp;search_session_id=7615927755905859622&amp;possessStarId" r:id="rId674"/>
    <hyperlink xmlns:r="http://schemas.openxmlformats.org/officeDocument/2006/relationships" ref="H330" display="https://www.douyin.com/user/MS4wLjABAAAAgcZTYFu4DUkOcFwZ3LasykSoKvRcfJjOH-PUuH9zAaV9gdHmcdWTW3_WWD379E8R" r:id="rId675"/>
    <hyperlink xmlns:r="http://schemas.openxmlformats.org/officeDocument/2006/relationships" ref="G331" display="https://www.xingtu.cn/ad/creator/author-homepage/douyin-video/7252161259804557367?market_track_id=BQFZGFBK6WAOAUFUKUFF&amp;search_session_id=7615929518088044571&amp;possessStarId" r:id="rId676"/>
    <hyperlink xmlns:r="http://schemas.openxmlformats.org/officeDocument/2006/relationships" ref="H331" display="https://www.douyin.com/user/MS4wLjABAAAAxgugwnC751HE4ncElhQ77PeD_qDoHL_zQtXpq5MRC9A" r:id="rId677"/>
    <hyperlink xmlns:r="http://schemas.openxmlformats.org/officeDocument/2006/relationships" ref="E332" display="创意博主，有过大家电商单卡萨帝https://www.douyin.com/video/7561712934305516827" r:id="rId678"/>
    <hyperlink xmlns:r="http://schemas.openxmlformats.org/officeDocument/2006/relationships" ref="G332" display="https://www.xingtu.cn/ad/creator/author-homepage/douyin-video/6907118949305942024?market_track_id=RM1Q0W77NOJCAD9UKAIF&amp;search_session_id=7616291070897094694&amp;possessStarId" r:id="rId679"/>
    <hyperlink xmlns:r="http://schemas.openxmlformats.org/officeDocument/2006/relationships" ref="H332" display="https://www.douyin.com/user/MS4wLjABAAAAHdGznQ6dwSu3m2vRS9mdFgCbKhJQOyHlU-RG1xu79409A3YSM74GdTzK39rj3DML" r:id="rId680"/>
    <hyperlink xmlns:r="http://schemas.openxmlformats.org/officeDocument/2006/relationships" ref="G333" display="https://www.xingtu.cn/ad/creator/author-homepage/douyin-video/6927143235483598861?market_track_id=FXDDTU1X5IKRL2PIYGIK&amp;search_session_id=7616293184859914267&amp;possessStarId" r:id="rId681"/>
    <hyperlink xmlns:r="http://schemas.openxmlformats.org/officeDocument/2006/relationships" ref="H333" display="https://www.douyin.com/user/MS4wLjABAAAAepqHKo1626yCN95H8kRjLV-y2dzunICZaFcj6oufbfM" r:id="rId682"/>
    <hyperlink xmlns:r="http://schemas.openxmlformats.org/officeDocument/2006/relationships" ref="G334" display="https://www.xingtu.cn/ad/creator/author-homepage/douyin-video/7024416887282860066?market_track_id=FXDDTU1X5IKRL2PIYGIK&amp;search_session_id=7616293184859914267&amp;possessStarId" r:id="rId683"/>
    <hyperlink xmlns:r="http://schemas.openxmlformats.org/officeDocument/2006/relationships" ref="H334" display="https://www.douyin.com/user/MS4wLjABAAAAcOEi4yfhGtK947Ilzze-4vvu_OdRnwZZJQhVcPGwMD4" r:id="rId684"/>
    <hyperlink xmlns:r="http://schemas.openxmlformats.org/officeDocument/2006/relationships" ref="G335" display="https://www.xingtu.cn/ad/creator/author-homepage/douyin-video/6759441649018863624?market_track_id=FXDDTU1X5IKRL2PIYGIK&amp;search_session_id=7616297123428106291&amp;possessStarId" r:id="rId685"/>
    <hyperlink xmlns:r="http://schemas.openxmlformats.org/officeDocument/2006/relationships" ref="H335" display="https://www.douyin.com/user/MS4wLjABAAAAtDsELJJ0L5as3kW5jbWy0gjGjWc4JqpehiHsl2eiIqpAtjCPoU75Btno11edndqN" r:id="rId686"/>
    <hyperlink xmlns:r="http://schemas.openxmlformats.org/officeDocument/2006/relationships" ref="G336" display="https://www.xingtu.cn/ad/creator/author-homepage/douyin-video/7161065043155484685?market_track_id=6MJHWHZ9IVSELA36P36G&amp;search_session_id=7616321513118760998&amp;possessStarId" r:id="rId687"/>
    <hyperlink xmlns:r="http://schemas.openxmlformats.org/officeDocument/2006/relationships" ref="H336" display="https://www.douyin.com/user/MS4wLjABAAAAtqKDhpIp2otOFPOW-aHlaRcDZcdzdqSY0rL1hJgHbJ9fbYsiB914X6t0Iv4giFSG" r:id="rId688"/>
    <hyperlink xmlns:r="http://schemas.openxmlformats.org/officeDocument/2006/relationships" ref="E337" display="海尔大家电爆款商单https://www.douyin.com/video/7402461141940604201" r:id="rId689"/>
    <hyperlink xmlns:r="http://schemas.openxmlformats.org/officeDocument/2006/relationships" ref="G337" display="https://www.xingtu.cn/ad/creator/author-homepage/douyin-video/6629664154447773704?market_track_id=C3T9LPPN1SC7ET0QI4RF&amp;search_session_id=7616579607346626570&amp;possessStarId" r:id="rId690"/>
    <hyperlink xmlns:r="http://schemas.openxmlformats.org/officeDocument/2006/relationships" ref="H337" display="https://www.douyin.com/user/MS4wLjABAAAABr08X5Vc6Q_s3S07050ecc7pMYCyEvyPUzdJma2bt_M" r:id="rId691"/>
    <hyperlink xmlns:r="http://schemas.openxmlformats.org/officeDocument/2006/relationships" ref="G338" display="https://www.xingtu.cn/ad/creator/author-homepage/douyin-video/6992043651710844942?market_track_id=C3T9LPPN1SC7ET0QI4RF&amp;search_session_id=7616580037122736174&amp;possessStarId" r:id="rId692"/>
    <hyperlink xmlns:r="http://schemas.openxmlformats.org/officeDocument/2006/relationships" ref="H338" display="https://www.douyin.com/user/MS4wLjABAAAA9KXFZj4eehkhdu-idU4jwar3LBbDveoN2NTLoNkm6kfUFIeKIsbffmALrHw3WrNG" r:id="rId693"/>
    <hyperlink xmlns:r="http://schemas.openxmlformats.org/officeDocument/2006/relationships" ref="E339" display="小米家电爆款商单https://www.douyin.com/video/7516541046617427241?previous_page=app_code_link" r:id="rId694"/>
    <hyperlink xmlns:r="http://schemas.openxmlformats.org/officeDocument/2006/relationships" ref="G339" display="https://www.xingtu.cn/ad/creator/author-homepage/douyin-video/7168806549899608077?market_track_id=C3T9LPPN1SC7ET0QI4RF&amp;search_session_id=7616580037122736174&amp;possessStarId" r:id="rId695"/>
    <hyperlink xmlns:r="http://schemas.openxmlformats.org/officeDocument/2006/relationships" ref="H339" display="https://www.douyin.com/user/MS4wLjABAAAA8U8hHZNbPPvQaFCvNEdml8rJbRstrak-X3De_63zsa7HsRFk_E9Uq_KLCzXjJm9q" r:id="rId696"/>
    <hyperlink xmlns:r="http://schemas.openxmlformats.org/officeDocument/2006/relationships" ref="E340" display="情侣博主，爆单多，有大家电推广经验https://www.douyin.com/video/7478557920486198587?previous_page=app_code_link" r:id="rId697"/>
    <hyperlink xmlns:r="http://schemas.openxmlformats.org/officeDocument/2006/relationships" ref="G340" display="https://www.xingtu.cn/ad/creator/author-homepage/douyin-video/6870160877992017928?market_track_id=C3T9LPPN1SC7ET0QI4RF&amp;search_session_id=7616581366926655515&amp;possessStarId" r:id="rId698"/>
    <hyperlink xmlns:r="http://schemas.openxmlformats.org/officeDocument/2006/relationships" ref="H340" display="https://www.douyin.com/user/MS4wLjABAAAAcjKVPT-o1DbylsfIoLK4oDFk_QgXFNqROzM6aC8Vuho" r:id="rId699"/>
    <hyperlink xmlns:r="http://schemas.openxmlformats.org/officeDocument/2006/relationships" ref="G341" display="https://www.xingtu.cn/ad/creator/author-homepage/douyin-video/6994153345170538504?market_track_id=C3T9LPPN1SC7ET0QI4RF&amp;search_session_id=7616581366926655515&amp;possessStarId" r:id="rId700"/>
    <hyperlink xmlns:r="http://schemas.openxmlformats.org/officeDocument/2006/relationships" ref="H341" display="https://www.douyin.com/user/MS4wLjABAAAA4YO6Ezcplh77iJnwfDFavbx9o8sewQIt4xQRpd82Yak" r:id="rId701"/>
    <hyperlink xmlns:r="http://schemas.openxmlformats.org/officeDocument/2006/relationships" ref="E342" display="卡萨帝爆款商单https://www.douyin.com/video/7553829616390016283" r:id="rId702"/>
    <hyperlink xmlns:r="http://schemas.openxmlformats.org/officeDocument/2006/relationships" ref="G342" display="https://www.xingtu.cn/ad/creator/author-homepage/douyin-video/6738573523591102475?market_track_id=POFIZ6OUTCOROVDWWFQN&amp;search_session_id=7616631545667649546&amp;possessStarId" r:id="rId703"/>
    <hyperlink xmlns:r="http://schemas.openxmlformats.org/officeDocument/2006/relationships" ref="H342" display="https://www.douyin.com/user/MS4wLjABAAAAO1K_2j6DRZh3KGWCeX60GnsS3JPCkb6Wn34tY7jGVFw" r:id="rId704"/>
    <hyperlink xmlns:r="http://schemas.openxmlformats.org/officeDocument/2006/relationships" ref="E343" display="美的爆款商单：https://www.douyin.com/video/7311687790259883279" r:id="rId705"/>
    <hyperlink xmlns:r="http://schemas.openxmlformats.org/officeDocument/2006/relationships" ref="G343" display="https://www.xingtu.cn/ad/creator/author-homepage/douyin-video/7228050208410566715?market_track_id=MOZQBJ7GT03Q1TMXNOAI&amp;search_session_id=7616648253435789322&amp;possessStarId" r:id="rId706"/>
    <hyperlink xmlns:r="http://schemas.openxmlformats.org/officeDocument/2006/relationships" ref="H343" display="https://www.douyin.com/user/MS4wLjABAAAAb7WAny-tA6rjYHc9UP6I7qiGVhY3Ug47cu2mWz-61oU" r:id="rId707"/>
    <hyperlink xmlns:r="http://schemas.openxmlformats.org/officeDocument/2006/relationships" ref="E344" display="西门子爆款商单：https://www.douyin.com/video/7600015452685661627" r:id="rId708"/>
    <hyperlink xmlns:r="http://schemas.openxmlformats.org/officeDocument/2006/relationships" ref="G344" display="https://www.xingtu.cn/ad/creator/author-homepage/douyin-video/6866734332837363723?market_track_id=255NG1IA5QKP634KZDSQ&amp;search_session_id=7616667210668687410&amp;possessStarId" r:id="rId709"/>
    <hyperlink xmlns:r="http://schemas.openxmlformats.org/officeDocument/2006/relationships" ref="H344" display="https://www.douyin.com/user/MS4wLjABAAAAiXWzfBC6YQjPG5DiOF-8LfxY3fC3zGmkYVy3cXttUFI" r:id="rId710"/>
    <hyperlink xmlns:r="http://schemas.openxmlformats.org/officeDocument/2006/relationships" ref="E345" display="精致妈妈和资深中产占比高，爆款大家电商单https://www.douyin.com/video/7565465871860174122" r:id="rId711"/>
    <hyperlink xmlns:r="http://schemas.openxmlformats.org/officeDocument/2006/relationships" ref="G345" display="https://www.xingtu.cn/ad/creator/author-homepage/douyin-video/7298673899103846450?market_track_id=GTKGQL8X2XU0PIMT6UI5&amp;search_session_id=7615897568245776411&amp;possessStarId" r:id="rId712"/>
    <hyperlink xmlns:r="http://schemas.openxmlformats.org/officeDocument/2006/relationships" ref="H345" display="https://www.douyin.com/user/MS4wLjABAAAAvYjqp_tSUvO_b1Y7bzRxfeIFffVjz5gGjz7JP1zXLMXIOd6GoDwRjQSR8focb3LZ" r:id="rId713"/>
    <hyperlink xmlns:r="http://schemas.openxmlformats.org/officeDocument/2006/relationships" ref="G346" display="https://www.xingtu.cn/ad/creator/author-homepage/douyin-video/7215493945617285157?market_track_id=218B8CCHGQ6LX2E927X2&amp;search_session_id=7618538479689236490&amp;possessStarId" r:id="rId714"/>
    <hyperlink xmlns:r="http://schemas.openxmlformats.org/officeDocument/2006/relationships" ref="H346" display="https://www.douyin.com/user/MS4wLjABAAAAeRcCWOoVolGsaG8TNTRr_lvHdNa_8HS4ujX9IwgdZAZk-kZPXaVbuDXzy1BAXc4j" r:id="rId715"/>
    <hyperlink xmlns:r="http://schemas.openxmlformats.org/officeDocument/2006/relationships" ref="G348" display="https://www.xingtu.cn/ad/creator/author-homepage/douyin-video/7223968676859346983?market_track_id=CB217O79MPIYNVDHN982&amp;search_session_id=7618541939079544870&amp;possessStarId" r:id="rId716"/>
    <hyperlink xmlns:r="http://schemas.openxmlformats.org/officeDocument/2006/relationships" ref="H348" display="https://www.douyin.com/user/MS4wLjABAAAA-AxocquhRbdEnJgt4wwUHZvX8UjXsfFZpJkCtSsviQw" r:id="rId717"/>
    <hyperlink xmlns:r="http://schemas.openxmlformats.org/officeDocument/2006/relationships" ref="E349" display="米家爆款商单：https://www.douyin.com/video/7567391354944490981" r:id="rId718"/>
    <hyperlink xmlns:r="http://schemas.openxmlformats.org/officeDocument/2006/relationships" ref="G349" display="https://www.xingtu.cn/ad/creator/author-homepage/douyin-video/7112285090771632136?market_track_id=E6OWYX4PZBVA2NSQU2VC&amp;search_session_id=7618542097347756059&amp;possessStarId" r:id="rId719"/>
    <hyperlink xmlns:r="http://schemas.openxmlformats.org/officeDocument/2006/relationships" ref="H349" display="https://www.douyin.com/user/MS4wLjABAAAA4dJG07hpopuuI-1_1N3BJyqE7iVxNObK2j3bDy-GOnMzF-Dv9vFa0Xig08PnIOUa" r:id="rId720"/>
    <hyperlink xmlns:r="http://schemas.openxmlformats.org/officeDocument/2006/relationships" ref="E350" display="爆款家电商单：https://www.douyin.com/video/7564619779487880612?previous_page=app_code_link" r:id="rId721"/>
    <hyperlink xmlns:r="http://schemas.openxmlformats.org/officeDocument/2006/relationships" ref="G350" display="https://www.xingtu.cn/ad/creator/author-homepage/douyin-video/7226269848991432760?market_track_id=8A9G6GHW3NDOCIN6250N&amp;search_session_id=7618543739115814962&amp;possessStarId" r:id="rId722"/>
    <hyperlink xmlns:r="http://schemas.openxmlformats.org/officeDocument/2006/relationships" ref="H350" display="https://www.douyin.com/user/MS4wLjABAAAAwCtu87gZrDHeRrwW3RL3b4medimUkkLn5jRHDa06DpQSYItv3Y-82Pu1-PEh_WIA" r:id="rId723"/>
    <hyperlink xmlns:r="http://schemas.openxmlformats.org/officeDocument/2006/relationships" ref="G351" display="https://www.xingtu.cn/ad/creator/author-homepage/douyin-video/7028814470147211271?market_track_id=8A9G6GHW3NDOCIN6250N&amp;search_session_id=7618543739115814962&amp;possessStarId" r:id="rId724"/>
    <hyperlink xmlns:r="http://schemas.openxmlformats.org/officeDocument/2006/relationships" ref="H351" display="https://www.douyin.com/user/MS4wLjABAAAAT5N-h5kf7NK2pGeQHOTB5uYe_VIr3mSrxc-RSh7tXRJXnIE5_hqmZQmhIfz4HXrz" r:id="rId725"/>
    <hyperlink xmlns:r="http://schemas.openxmlformats.org/officeDocument/2006/relationships" ref="G352" display="https://www.xingtu.cn/ad/creator/author-homepage/douyin-video/7157865824835862542?market_track_id=8A9G6GHW3NDOCIN6250N&amp;search_session_id=7618544331024646194&amp;possessStarId" r:id="rId726"/>
    <hyperlink xmlns:r="http://schemas.openxmlformats.org/officeDocument/2006/relationships" ref="H352" display="https://www.douyin.com/user/MS4wLjABAAAAMLDrARFvjdkKw63auSBFCFfVAWQFw3QezRE2NxE4BC5DoRsDDqMDCoMMV4MGheJ-" r:id="rId727"/>
    <hyperlink xmlns:r="http://schemas.openxmlformats.org/officeDocument/2006/relationships" ref="G353" display="https://www.xingtu.cn/ad/creator/author-homepage/douyin-video/6961236725788049445?market_track_id=8A9G6GHW3NDOCIN6250N&amp;search_session_id=7618544331024646194&amp;possessStarId" r:id="rId728"/>
    <hyperlink xmlns:r="http://schemas.openxmlformats.org/officeDocument/2006/relationships" ref="H353" display="https://www.douyin.com/user/MS4wLjABAAAAI0vB6tbGVfRzYmP81kqgIHtt-KYU3nC-BD3TYoOI8_NiBQvBIyYj05McDGAsMNhp" r:id="rId729"/>
    <hyperlink xmlns:r="http://schemas.openxmlformats.org/officeDocument/2006/relationships" ref="E354" display="老板油合作：https://www.douyin.com/video/7547554707536989449" r:id="rId730"/>
    <hyperlink xmlns:r="http://schemas.openxmlformats.org/officeDocument/2006/relationships" ref="G354" display="https://www.xingtu.cn/ad/creator/author-homepage/douyin-video/7101236488704262180?market_track_id=8A9G6GHW3NDOCIN6250N&amp;search_session_id=7618544921965740070&amp;possessStarId" r:id="rId731"/>
    <hyperlink xmlns:r="http://schemas.openxmlformats.org/officeDocument/2006/relationships" ref="H354" display="https://www.douyin.com/user/MS4wLjABAAAAGSfOLN3atCadTvzhyK1aKWKvLc7JKkcCnzDNalEDAYY" r:id="rId732"/>
    <hyperlink xmlns:r="http://schemas.openxmlformats.org/officeDocument/2006/relationships" ref="E355" display="白领占比高，大家电爆单：https://www.douyin.com/video/7546493465698323731?previous_page=app_code_link" r:id="rId733"/>
    <hyperlink xmlns:r="http://schemas.openxmlformats.org/officeDocument/2006/relationships" ref="G355" display="https://www.xingtu.cn/ad/creator/author-homepage/douyin-video/7263399127407394831?market_track_id=2QRDAY2R4HGYGLSXDJ2X&amp;search_session_id=7618841638756122634&amp;possessStarId" r:id="rId734"/>
    <hyperlink xmlns:r="http://schemas.openxmlformats.org/officeDocument/2006/relationships" ref="H355" display="https://www.douyin.com/user/MS4wLjABAAAApTNwM_iONnWwYZhtBXlDKqpjP1DxNbbbdXZ0WfKLru19xEGhwhVbXnttoXT1kM4v" r:id="rId735"/>
    <hyperlink xmlns:r="http://schemas.openxmlformats.org/officeDocument/2006/relationships" ref="G356" display="https://www.xingtu.cn/ad/creator/author-homepage/douyin-video/7413214416780394506?market_track_id=2QRDAY2R4HGYGLSXDJ2X&amp;search_session_id=7618841638756122634&amp;possessStarId" r:id="rId736"/>
    <hyperlink xmlns:r="http://schemas.openxmlformats.org/officeDocument/2006/relationships" ref="H356" display="https://www.douyin.com/user/MS4wLjABAAAAy_71SfQz64hqc8tBo0zngXhgDJrA_aeihVGVboPhYmA" r:id="rId737"/>
    <hyperlink xmlns:r="http://schemas.openxmlformats.org/officeDocument/2006/relationships" ref="E357" display="A3指数高，西门子爆单：https://www.douyin.com/video/7459341641434877211" r:id="rId738"/>
    <hyperlink xmlns:r="http://schemas.openxmlformats.org/officeDocument/2006/relationships" ref="G357" display="https://www.xingtu.cn/ad/creator/author-homepage/douyin-video/6629723417387991047?market_track_id=2QRDAY2R4HGYGLSXDJ2X&amp;search_session_id=7618845949835034670&amp;possessStarId" r:id="rId739"/>
    <hyperlink xmlns:r="http://schemas.openxmlformats.org/officeDocument/2006/relationships" ref="H357" display="https://www.douyin.com/user/MS4wLjABAAAAMdW4vEH0CF50f5reKPhXosU5n1FJ-Y6e7gCZ0ATJFSc" r:id="rId740"/>
    <hyperlink xmlns:r="http://schemas.openxmlformats.org/officeDocument/2006/relationships" ref="G358" display="https://www.xingtu.cn/ad/creator/author-homepage/douyin-video/7412905831986888714?market_track_id=2QRDAY2R4HGYGLSXDJ2X&amp;search_session_id=7618845949835034670&amp;possessStarId" r:id="rId741"/>
    <hyperlink xmlns:r="http://schemas.openxmlformats.org/officeDocument/2006/relationships" ref="H358" display="https://www.douyin.com/user/MS4wLjABAAAAl2ctQZPBbs69FEEj3oZIMpP3uotc7e6zcesC-m5NsXg" r:id="rId742"/>
    <hyperlink xmlns:r="http://schemas.openxmlformats.org/officeDocument/2006/relationships" ref="E359" display="油烟机爆单：https://www.douyin.com/video/7615879027287089908?previous_page=app_code_link" r:id="rId743"/>
    <hyperlink xmlns:r="http://schemas.openxmlformats.org/officeDocument/2006/relationships" ref="G359" display="https://www.xingtu.cn/ad/creator/author-homepage/douyin-video/7130162637106577444?market_track_id=2QRDAY2R4HGYGLSXDJ2X&amp;search_session_id=7618845949835034670&amp;possessStarId" r:id="rId744"/>
    <hyperlink xmlns:r="http://schemas.openxmlformats.org/officeDocument/2006/relationships" ref="H359" display="https://www.douyin.com/user/MS4wLjABAAAAX9jNKnDtCqx8XXYuVE3a0f-D-Tt9eeN3VSMYg1to7g0" r:id="rId745"/>
    <hyperlink xmlns:r="http://schemas.openxmlformats.org/officeDocument/2006/relationships" ref="G360" display="https://www.xingtu.cn/ad/creator/author-homepage/douyin-video/7340242627557589030?market_track_id=2QRDAY2R4HGYGLSXDJ2X&amp;search_session_id=7618845949835034670&amp;possessStarId" r:id="rId746"/>
    <hyperlink xmlns:r="http://schemas.openxmlformats.org/officeDocument/2006/relationships" ref="H360" display="https://www.douyin.com/user/MS4wLjABAAAAiwnTb94xY5tXfPMYKw9xVBdfaoTM49N2wD5myet7Xto" r:id="rId747"/>
    <hyperlink xmlns:r="http://schemas.openxmlformats.org/officeDocument/2006/relationships" ref="G361" display="https://www.xingtu.cn/ad/creator/author-homepage/douyin-video/6834455957632712718?market_track_id=2QRDAY2R4HGYGLSXDJ2X&amp;search_session_id=7618845949835034670&amp;possessStarId" r:id="rId748"/>
    <hyperlink xmlns:r="http://schemas.openxmlformats.org/officeDocument/2006/relationships" ref="H361" display="https://www.douyin.com/user/MS4wLjABAAAA9Uf2N_afCH0mQ_5nWGpoC4wFulZZ0fuk8LtQGLAUbqE" r:id="rId749"/>
    <hyperlink xmlns:r="http://schemas.openxmlformats.org/officeDocument/2006/relationships" ref="G362" display="https://www.xingtu.cn/ad/creator/author-homepage/douyin-video/6770246259681787911?market_track_id=2QRDAY2R4HGYGLSXDJ2X&amp;search_session_id=7618852733019504678&amp;possessStarId" r:id="rId750"/>
    <hyperlink xmlns:r="http://schemas.openxmlformats.org/officeDocument/2006/relationships" ref="H362" display="https://www.douyin.com/user/MS4wLjABAAAAsQFY2WckQYO0nnOJNJBgLUzxCepbQJCSp8Zo3EcKSXc" r:id="rId751"/>
    <hyperlink xmlns:r="http://schemas.openxmlformats.org/officeDocument/2006/relationships" ref="G363" display="https://www.xingtu.cn/ad/creator/author-homepage/douyin-video/7025753596956246030?market_track_id=2QRDAY2R4HGYGLSXDJ2X&amp;search_session_id=7618852733019504678&amp;possessStarId" r:id="rId752"/>
    <hyperlink xmlns:r="http://schemas.openxmlformats.org/officeDocument/2006/relationships" ref="H363" display="https://www.douyin.com/user/MS4wLjABAAAAQxTkv44P0jI237ih3MXJKQ3-FZuqJMOCQoMxRVJvp8A" r:id="rId753"/>
    <hyperlink xmlns:r="http://schemas.openxmlformats.org/officeDocument/2006/relationships" ref="E364" display="爆款大家电商单https://www.douyin.com/video/7560217304925244730" r:id="rId754"/>
    <hyperlink xmlns:r="http://schemas.openxmlformats.org/officeDocument/2006/relationships" ref="G364" display="https://www.xingtu.cn/ad/creator/author-homepage/douyin-video/7271197745812095034?market_track_id=2QRDAY2R4HGYGLSXDJ2X&amp;search_session_id=7618852733019504678&amp;possessStarId" r:id="rId755"/>
    <hyperlink xmlns:r="http://schemas.openxmlformats.org/officeDocument/2006/relationships" ref="H364" display="https://www.douyin.com/user/MS4wLjABAAAAmSPk6-9eFUHnWudEdsZ6yEETC-e7_neQHnBk8TZh6JQ" r:id="rId756"/>
    <hyperlink xmlns:r="http://schemas.openxmlformats.org/officeDocument/2006/relationships" ref="E365" display="油烟机爆款商单：https://www.douyin.com/video/7567378675596980090" r:id="rId757"/>
    <hyperlink xmlns:r="http://schemas.openxmlformats.org/officeDocument/2006/relationships" ref="G365" display="https://www.xingtu.cn/ad/creator/author-homepage/douyin-video/6917076050329468942?market_track_id=2QRDAY2R4HGYGLSXDJ2X&amp;search_session_id=7618852733019504678&amp;possessStarId" r:id="rId758"/>
    <hyperlink xmlns:r="http://schemas.openxmlformats.org/officeDocument/2006/relationships" ref="H365" display="https://www.douyin.com/user/MS4wLjABAAAAyPKvMcmFZeoohM2Md0wXVDGCCgj6oWsUJI3SlKIkKxY" r:id="rId759"/>
    <hyperlink xmlns:r="http://schemas.openxmlformats.org/officeDocument/2006/relationships" ref="E366" display="家电商单多https://www.douyin.com/video/7502650496201608505" r:id="rId760"/>
    <hyperlink xmlns:r="http://schemas.openxmlformats.org/officeDocument/2006/relationships" ref="G366" display="https://www.xingtu.cn/ad/creator/author-homepage/douyin-video/6987411860874067999?market_track_id=5A6HOFKFKTHRXB1LHGCR&amp;search_session_id=7618859456377798683&amp;possessStarId" r:id="rId761"/>
    <hyperlink xmlns:r="http://schemas.openxmlformats.org/officeDocument/2006/relationships" ref="H366" display="https://www.douyin.com/user/MS4wLjABAAAAGOEfeInhypUd-0QGtWmsetKH74tyUv_cWuniOEmZIPsdrKpNkANQPU6NsJkHZnb2" r:id="rId762"/>
    <hyperlink xmlns:r="http://schemas.openxmlformats.org/officeDocument/2006/relationships" ref="G367" display="https://www.xingtu.cn/ad/creator/author-homepage/douyin-video/7250313631873630220?market_track_id=5A6HOFKFKTHRXB1LHGCR&amp;search_session_id=7618859456377798683&amp;possessStarId" r:id="rId763"/>
    <hyperlink xmlns:r="http://schemas.openxmlformats.org/officeDocument/2006/relationships" ref="H367" display="https://www.douyin.com/user/MS4wLjABAAAAIkXfYvJYbpwFursUnN3Xb6dpIW_l1-i2gZINakgBXajGJx40jqnOJvIK450J1yDA" r:id="rId764"/>
    <hyperlink xmlns:r="http://schemas.openxmlformats.org/officeDocument/2006/relationships" ref="E368" display="大家电爆款：https://www.douyin.com/video/7549046791322422537?previous_page=app_code_link" r:id="rId765"/>
    <hyperlink xmlns:r="http://schemas.openxmlformats.org/officeDocument/2006/relationships" ref="G368" display="https://www.xingtu.cn/ad/creator/author-homepage/douyin-video/6939722626608660487?market_track_id=5A6HOFKFKTHRXB1LHGCR&amp;search_session_id=7618859456377798683&amp;possessStarId" r:id="rId766"/>
    <hyperlink xmlns:r="http://schemas.openxmlformats.org/officeDocument/2006/relationships" ref="H368" display="https://www.douyin.com/user/MS4wLjABAAAAQvKCftPwz9tTUBAVXz_EdXetudUydGzzRnXjpP1cZlneqWJwKxQH5s3cjobyMEKw" r:id="rId767"/>
    <hyperlink xmlns:r="http://schemas.openxmlformats.org/officeDocument/2006/relationships" ref="E369" display="爆款大家电商单：https://www.douyin.com/video/7560640059482279228" r:id="rId768"/>
    <hyperlink xmlns:r="http://schemas.openxmlformats.org/officeDocument/2006/relationships" ref="G369" display="https://www.xingtu.cn/ad/creator/author-homepage/douyin-video/7049500296354988068?market_track_id=5A6HOFKFKTHRXB1LHGCR&amp;search_session_id=7618864069680332841&amp;possessStarId" r:id="rId769"/>
    <hyperlink xmlns:r="http://schemas.openxmlformats.org/officeDocument/2006/relationships" ref="H369" display="https://www.douyin.com/user/MS4wLjABAAAA93m-zhcEYSb-JvbXJuvs3rgDWdCXc0pgAmyqMVJUTq8" r:id="rId770"/>
    <hyperlink xmlns:r="http://schemas.openxmlformats.org/officeDocument/2006/relationships" ref="G370" display="https://www.xingtu.cn/ad/creator/author-homepage/douyin-video/6935817485073514508?market_track_id=5A6HOFKFKTHRXB1LHGCR&amp;search_session_id=7618864069680332841&amp;possessStarId" r:id="rId771"/>
    <hyperlink xmlns:r="http://schemas.openxmlformats.org/officeDocument/2006/relationships" ref="H370" display="https://www.douyin.com/user/MS4wLjABAAAA_zJrUsUWCyjzUnAhIaWJh4ru2K76ZAxGZldIYVeBKxf0GeflVeChcxSNb95zkuUb" r:id="rId772"/>
    <hyperlink xmlns:r="http://schemas.openxmlformats.org/officeDocument/2006/relationships" ref="E371" display="蒸烤箱商单：https://www.douyin.com/video/7352081067588750604" r:id="rId773"/>
    <hyperlink xmlns:r="http://schemas.openxmlformats.org/officeDocument/2006/relationships" ref="G371" display="https://www.xingtu.cn/ad/creator/author-homepage/douyin-video/6674506731407540237?market_track_id=5A6HOFKFKTHRXB1LHGCR&amp;search_session_id=7618867037276061732&amp;possessStarId" r:id="rId774"/>
    <hyperlink xmlns:r="http://schemas.openxmlformats.org/officeDocument/2006/relationships" ref="H371" display="https://www.douyin.com/user/MS4wLjABAAAAbTQPjm6Xw3KZpsezM992HYPQaIAGZPw58qHG6vk1orE" r:id="rId775"/>
    <hyperlink xmlns:r="http://schemas.openxmlformats.org/officeDocument/2006/relationships" ref="G372" display="https://www.xingtu.cn/ad/creator/author/douyin/7035148598673145893" r:id="rId776"/>
    <hyperlink xmlns:r="http://schemas.openxmlformats.org/officeDocument/2006/relationships" ref="H372" display="https://www.douyin.com/user/MS4wLjABAAAAXsGCC7lQH6QEZlSFR0IMjIusmJ797ycDSJ7i2-xuNVI" r:id="rId777"/>
    <hyperlink xmlns:r="http://schemas.openxmlformats.org/officeDocument/2006/relationships" ref="E373" display="萌宠+居家日常，大家电爆单：https://www.douyin.com/video/7566112373561949177" r:id="rId778"/>
    <hyperlink xmlns:r="http://schemas.openxmlformats.org/officeDocument/2006/relationships" ref="G373" display="https://www.xingtu.cn/ad/creator/author-homepage/douyin-video/6802195315425280008?market_track_id=I3AXFCO2FFOA5SYPCT78&amp;search_session_id=7605461670957154354&amp;possessStarId" r:id="rId779"/>
    <hyperlink xmlns:r="http://schemas.openxmlformats.org/officeDocument/2006/relationships" ref="H373" display="https://www.douyin.com/user/MS4wLjABAAAAlSz3mcmyAGG0yhJn26N7Q51TJVEmSIt5wFl8dJbQBNgbOYDsnizQJ15y0-ub0MBe" r:id="rId780"/>
    <hyperlink xmlns:r="http://schemas.openxmlformats.org/officeDocument/2006/relationships" ref="G374" display="https://www.xingtu.cn/ad/creator/author-homepage/douyin-video/7056697681633673254?market_track_id=5MSRLKT79NBF9NI0VRJU&amp;search_session_id=7605882072573870089&amp;possessStarId" r:id="rId781"/>
    <hyperlink xmlns:r="http://schemas.openxmlformats.org/officeDocument/2006/relationships" ref="H374" display="https://www.douyin.com/user/MS4wLjABAAAAGMRZ4QN-LI4wGhJlz6QYxBmj8wo9EV9ehqyzHZvon3DoJucSdZL6W2iIXsWGjl2i" r:id="rId782"/>
    <hyperlink xmlns:r="http://schemas.openxmlformats.org/officeDocument/2006/relationships" ref="G375" display="https://www.xingtu.cn/ad/creator/author-homepage/douyin-video/7144302846098276383?market_track_id=57AK8QJ7796S4R61FYUD&amp;search_session_id=7612529862233899054&amp;possessStarId" r:id="rId783"/>
    <hyperlink xmlns:r="http://schemas.openxmlformats.org/officeDocument/2006/relationships" ref="H375" display="https://www.douyin.com/user/MS4wLjABAAAADpWLYF7Frwaj4FHsza8dnXlbdTvG_edRvEBZWw3j71o-83zgeU9rWf1A62iQ0y6h" r:id="rId784"/>
    <hyperlink xmlns:r="http://schemas.openxmlformats.org/officeDocument/2006/relationships" ref="G376" display="https://www.xingtu.cn/ad/creator/author-homepage/douyin-video/7434138094598619162?market_track_id=5A6HOFKFKTHRXB1LHGCR&amp;search_session_id=7618867037276061732&amp;possessStarId" r:id="rId785"/>
    <hyperlink xmlns:r="http://schemas.openxmlformats.org/officeDocument/2006/relationships" ref="H376" display="https://www.douyin.com/user/MS4wLjABAAAAbusgPpOwOK7QsvRW8ek83TxhrTbyj4Y_P-EY_9cDAWYhaBQeeQYJdny4yLYGUdcc" r:id="rId786"/>
    <hyperlink xmlns:r="http://schemas.openxmlformats.org/officeDocument/2006/relationships" ref="G377" display="https://www.xingtu.cn/ad/creator/author-homepage/douyin-video/6870163126906519565?market_track_id=FLCBD4RXT5HYWEMG7UHR&amp;search_session_id=7611812381207265326&amp;possessStarId" r:id="rId787"/>
    <hyperlink xmlns:r="http://schemas.openxmlformats.org/officeDocument/2006/relationships" ref="H377" display="https://www.douyin.com/user/MS4wLjABAAAAytQ5bEH0kqRGdZKusd4gNP8-Hpu2cStRb0eBe4zkekw" r:id="rId788"/>
    <hyperlink xmlns:r="http://schemas.openxmlformats.org/officeDocument/2006/relationships" ref="G378" display="https://www.xingtu.cn/ad/creator/author/douyin/7187717265784045571" r:id="rId789"/>
    <hyperlink xmlns:r="http://schemas.openxmlformats.org/officeDocument/2006/relationships" ref="H378" display="https://www.douyin.com/user/MS4wLjABAAAA36ygQUleS8zQJWN96YBvSNwcASyhmwtmalAqx_BXrhQ" r:id="rId790"/>
    <hyperlink xmlns:r="http://schemas.openxmlformats.org/officeDocument/2006/relationships" ref="G379" display="https://www.xingtu.cn/ad/creator/author-homepage/douyin-video/6845479040711655437?market_track_id=FLCBD4RXT5HYWEMG7UHR&amp;search_session_id=7611816153388367918&amp;possessStarId" r:id="rId791"/>
    <hyperlink xmlns:r="http://schemas.openxmlformats.org/officeDocument/2006/relationships" ref="H379" display="https://www.douyin.com/user/MS4wLjABAAAAHidCXCW5lERrbOCVnFNYPYPgMDo-3ABhbupZNm8loQHeB6nGV9d98e77DVqKhwLz" r:id="rId792"/>
    <hyperlink xmlns:r="http://schemas.openxmlformats.org/officeDocument/2006/relationships" ref="G380" display="https://www.xingtu.cn/ad/creator/author/douyin/6986582519093149727" r:id="rId793"/>
    <hyperlink xmlns:r="http://schemas.openxmlformats.org/officeDocument/2006/relationships" ref="H380" display="https://www.douyin.com/user/MS4wLjABAAAAiqXKqFZq0zlTPzqTlkrc2n76duP8WLouphqLRgLEswk" r:id="rId794"/>
    <hyperlink xmlns:r="http://schemas.openxmlformats.org/officeDocument/2006/relationships" ref="G381" display="https://www.xingtu.cn/ad/creator/author-homepage/douyin-video/6870165875882721288?market_track_id=28IV43G9Y3MLDF90H43F&amp;search_session_id=7605449129901080603&amp;possessStarId" r:id="rId795"/>
    <hyperlink xmlns:r="http://schemas.openxmlformats.org/officeDocument/2006/relationships" ref="H381" display="https://www.douyin.com/user/MS4wLjABAAAAHEZvl70FPnX_9i3jFHyJUQcIer7Hz2124cXXeOlxAgs" r:id="rId796"/>
    <hyperlink xmlns:r="http://schemas.openxmlformats.org/officeDocument/2006/relationships" ref="G382" display="https://www.xingtu.cn/ad/creator/author-homepage/douyin-video/6795431243358928903?market_track_id=23A7DS8IV3VZ3BZD3ORA&amp;search_session_id=7605567873494908978&amp;possessStarId" r:id="rId797"/>
    <hyperlink xmlns:r="http://schemas.openxmlformats.org/officeDocument/2006/relationships" ref="H382" display="https://www.douyin.com/user/MS4wLjABAAAAst53hCwDJvgLvx0QuB5nt9Ev23U_06ghD9oYzN5YIx8" r:id="rId798"/>
    <hyperlink xmlns:r="http://schemas.openxmlformats.org/officeDocument/2006/relationships" ref="G383" display="https://www.xingtu.cn/ad/creator/author-homepage/douyin-video/7427403870072111155?market_track_id=JHTNBEGQO60RJNOU4K0V&amp;search_session_id=7612612744516632585&amp;possessStarId" r:id="rId799"/>
    <hyperlink xmlns:r="http://schemas.openxmlformats.org/officeDocument/2006/relationships" ref="H383" display="https://www.douyin.com/user/MS4wLjABAAAAvTAJb8dJVKxeMB1JkonLZFg0RomZgtjxb05Ya0FR4H4" r:id="rId800"/>
    <hyperlink xmlns:r="http://schemas.openxmlformats.org/officeDocument/2006/relationships" ref="G384" display="https://www.xingtu.cn/ad/creator/author-homepage/douyin-video/7475264104974778406?market_track_id=ZWASKBQKMRJE74YLWW0T&amp;search_session_id=7612933352894545947&amp;possessStarId" r:id="rId801"/>
    <hyperlink xmlns:r="http://schemas.openxmlformats.org/officeDocument/2006/relationships" ref="H384" display="https://www.douyin.com/user/MS4wLjABAAAA-k56s429UgYVRVj7_ppi7YZ171L9zDXOkdM1Kl46PqQ" r:id="rId802"/>
    <hyperlink xmlns:r="http://schemas.openxmlformats.org/officeDocument/2006/relationships" ref="G385" display="https://www.xingtu.cn/ad/creator/author-homepage/douyin-video/7209600735070126136?market_track_id=N9IQ7NEJKRBGPYRMSWWF&amp;search_session_id=7612939479762698291&amp;possessStarId" r:id="rId803"/>
    <hyperlink xmlns:r="http://schemas.openxmlformats.org/officeDocument/2006/relationships" ref="H385" display="https://www.douyin.com/user/MS4wLjABAAAAP6YjZLD6MkDQVfiFvhCKdWpPJNz959om7-SO1HklBfwyJSwZLmJIVFC83Gh5_01z" r:id="rId804"/>
    <hyperlink xmlns:r="http://schemas.openxmlformats.org/officeDocument/2006/relationships" ref="G386" display="https://www.xingtu.cn/ad/creator/author-homepage/douyin-video/7371376725386756150?market_track_id=V3SVRVAZNICLFPE0J6SJ&amp;search_session_id=7617737280752582665&amp;possessStarId" r:id="rId805"/>
    <hyperlink xmlns:r="http://schemas.openxmlformats.org/officeDocument/2006/relationships" ref="H386" display="https://www.douyin.com/user/MS4wLjABAAAAH6EuhbI0HTnZCrZS3_rhDHJ_L9-oLfolS-ufm5CQ_dM" r:id="rId806"/>
    <hyperlink xmlns:r="http://schemas.openxmlformats.org/officeDocument/2006/relationships" ref="G387" display="https://www.xingtu.cn/ad/creator/author-homepage/douyin-video/6629723068413509639?market_track_id=V3SVRVAZNICLFPE0J6SJ&amp;search_session_id=7617738312274591794&amp;possessStarId" r:id="rId807"/>
    <hyperlink xmlns:r="http://schemas.openxmlformats.org/officeDocument/2006/relationships" ref="H387" display="https://www.douyin.com/user/MS4wLjABAAAAV6vN5b6cqiaBT9CHFwNKh4-RBAXe5G3CEEVMltxeCyQ" r:id="rId808"/>
    <hyperlink xmlns:r="http://schemas.openxmlformats.org/officeDocument/2006/relationships" ref="G388" display="https://www.xingtu.cn/ad/creator/author-homepage/douyin-video/7307089287776829477?market_track_id=V3SVRVAZNICLFPE0J6SJ&amp;search_session_id=7617739065844465702&amp;possessStarId" r:id="rId809"/>
    <hyperlink xmlns:r="http://schemas.openxmlformats.org/officeDocument/2006/relationships" ref="H388" display="https://www.douyin.com/user/MS4wLjABAAAAzqS_PBshcJ_aSZNxIPkqZ_gBhrJq6KzsNRQjjU8aZRI" r:id="rId810"/>
    <hyperlink xmlns:r="http://schemas.openxmlformats.org/officeDocument/2006/relationships" ref="G389" display="https://www.xingtu.cn/ad/creator/author-homepage/douyin-video/7382884261608554506?market_track_id=V3SVRVAZNICLFPE0J6SJ&amp;search_session_id=7617739489735016498&amp;possessStarId" r:id="rId811"/>
    <hyperlink xmlns:r="http://schemas.openxmlformats.org/officeDocument/2006/relationships" ref="H389" display="https://www.douyin.com/user/MS4wLjABAAAA7lplVpa2j83bnjUKoVbuBMmgeQBKxzINNNpCl1MsIew" r:id="rId812"/>
    <hyperlink xmlns:r="http://schemas.openxmlformats.org/officeDocument/2006/relationships" ref="G390" display="https://www.xingtu.cn/ad/creator/author-homepage/douyin-video/7367182371520512037?market_track_id=V3SVRVAZNICLFPE0J6SJ&amp;search_session_id=7617739828616888347&amp;possessStarId" r:id="rId813"/>
    <hyperlink xmlns:r="http://schemas.openxmlformats.org/officeDocument/2006/relationships" ref="H390" display="https://www.douyin.com/user/MS4wLjABAAAASXNhw5qC3BgFGgRjVaj_KUtNG0sb1r1fHNwNFtfGrac" r:id="rId814"/>
    <hyperlink xmlns:r="http://schemas.openxmlformats.org/officeDocument/2006/relationships" ref="G391" display="https://www.xingtu.cn/ad/creator/author-homepage/douyin-video/7195808519419854909?market_track_id=V3SVRVAZNICLFPE0J6SJ&amp;search_session_id=7617739828616888347&amp;possessStarId" r:id="rId815"/>
    <hyperlink xmlns:r="http://schemas.openxmlformats.org/officeDocument/2006/relationships" ref="H391" display="https://www.douyin.com/user/MS4wLjABAAAAKVLBXglsD4wE2hlHYXoyq7LmT07Ftub19OjfZAh_x7moAdZdpvsVVTtUls2prYUb" r:id="rId816"/>
    <hyperlink xmlns:r="http://schemas.openxmlformats.org/officeDocument/2006/relationships" ref="G392" display="https://www.xingtu.cn/ad/creator/author-homepage/douyin-video/6791285912912265230?market_track_id=V3SVRVAZNICLFPE0J6SJ&amp;search_session_id=7617739828616888347&amp;possessStarId" r:id="rId817"/>
    <hyperlink xmlns:r="http://schemas.openxmlformats.org/officeDocument/2006/relationships" ref="H392" display="https://www.douyin.com/user/MS4wLjABAAAAaNkxnzLGYv4rEIP52cuiWtdlvz11ZjOU6mJ0R4_QWWE" r:id="rId818"/>
    <hyperlink xmlns:r="http://schemas.openxmlformats.org/officeDocument/2006/relationships" ref="G393" display="https://www.xingtu.cn/ad/creator/author-homepage/douyin-video/7079471717306859560?market_track_id=3OS0HM7OVN3SYN0IJITL&amp;search_session_id=7617741635262185510&amp;possessStarId" r:id="rId819"/>
    <hyperlink xmlns:r="http://schemas.openxmlformats.org/officeDocument/2006/relationships" ref="H393" display="https://www.douyin.com/user/MS4wLjABAAAAZWtX6HzX5NTPTBxcoqx0xd48bIzbJbqEibYqhmXToOo" r:id="rId820"/>
    <hyperlink xmlns:r="http://schemas.openxmlformats.org/officeDocument/2006/relationships" ref="G394" display="https://www.xingtu.cn/ad/creator/author-homepage/douyin-video/6966856536920424461?market_track_id=3OS0HM7OVN3SYN0IJITL&amp;search_session_id=7617742245093507081&amp;possessStarId" r:id="rId821"/>
    <hyperlink xmlns:r="http://schemas.openxmlformats.org/officeDocument/2006/relationships" ref="H394" display="https://www.douyin.com/user/MS4wLjABAAAAra1iK76STi4Qgd7gH5Zwr38SJb41Opbw3ZOlpUU0d90" r:id="rId822"/>
    <hyperlink xmlns:r="http://schemas.openxmlformats.org/officeDocument/2006/relationships" ref="G395" display="https://www.xingtu.cn/ad/creator/author-homepage/douyin-video/7285762799337209917?market_track_id=3OS0HM7OVN3SYN0IJITL&amp;search_session_id=7617742245093507081&amp;possessStarId" r:id="rId823"/>
    <hyperlink xmlns:r="http://schemas.openxmlformats.org/officeDocument/2006/relationships" ref="H395" display="https://www.douyin.com/user/MS4wLjABAAAA8ew5kbML45thNTQRBofUnhpRIutWPuepUzPtYXqkwI5nefgJDAXFX13p4MKCUeha" r:id="rId824"/>
    <hyperlink xmlns:r="http://schemas.openxmlformats.org/officeDocument/2006/relationships" ref="G396" display="https://www.xingtu.cn/ad/creator/author-homepage/douyin-video/7457923151943434267?market_track_id=3OS0HM7OVN3SYN0IJITL&amp;search_session_id=7617742853069946890&amp;possessStarId" r:id="rId825"/>
    <hyperlink xmlns:r="http://schemas.openxmlformats.org/officeDocument/2006/relationships" ref="H396" display="https://www.douyin.com/user/MS4wLjABAAAABHg-x5mJj6Kc2i_UlK4sT7_RLcCqqYpuw61Rx4ZCGo86YZUFhI8ULO8GypR_bsqn" r:id="rId826"/>
    <hyperlink xmlns:r="http://schemas.openxmlformats.org/officeDocument/2006/relationships" ref="G397" display="https://www.xingtu.cn/ad/creator/author-homepage/douyin-video/6853263318207954952?market_track_id=3OS0HM7OVN3SYN0IJITL&amp;search_session_id=7617743943477575730&amp;possessStarId" r:id="rId827"/>
    <hyperlink xmlns:r="http://schemas.openxmlformats.org/officeDocument/2006/relationships" ref="H397" display="https://www.douyin.com/user/MS4wLjABAAAAttQnThYYvUttbHudM3Qo80LYIZxA3EmOHZ4xqHMmILbkMZhLh7ZEbw5uJAMQF-my" r:id="rId828"/>
    <hyperlink xmlns:r="http://schemas.openxmlformats.org/officeDocument/2006/relationships" ref="G398" display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" r:id="rId829"/>
    <hyperlink xmlns:r="http://schemas.openxmlformats.org/officeDocument/2006/relationships" ref="H398" display="https://www.douyin.com/user/MS4wLjABAAAAxXgHKJ1FHUF1zt6f9FXSjPzFf_sN29TLoQs8UBWRxHI" r:id="rId830"/>
    <hyperlink xmlns:r="http://schemas.openxmlformats.org/officeDocument/2006/relationships" ref="G399" display="https://www.xingtu.cn/ad/creator/author-homepage/douyin-video/7235217904738926596?market_track_id=2KVOMPJN4QSG01E4YUAX&amp;search_session_id=7613672629345452082&amp;possessStarId" r:id="rId831"/>
    <hyperlink xmlns:r="http://schemas.openxmlformats.org/officeDocument/2006/relationships" ref="H399" display="https://www.douyin.com/user/MS4wLjABAAAAtR50iDXDnqRgvZGtkakkoNhbJvAL145MBUi55rnGd4CooXaFwC5zmcfTfPJctKY9" r:id="rId832"/>
    <hyperlink xmlns:r="http://schemas.openxmlformats.org/officeDocument/2006/relationships" ref="G400" display="https://www.xingtu.cn/ad/creator/author-homepage/douyin-video/7270897124420616248?market_track_id=7P11BU0QH3JUILEBBP4A&amp;search_session_id=7614054949244190758&amp;possessStarId" r:id="rId833"/>
    <hyperlink xmlns:r="http://schemas.openxmlformats.org/officeDocument/2006/relationships" ref="H400" display="https://www.douyin.com/user/MS4wLjABAAAAg8Mg_d7hgLjyA9uAtaqiTvttWPKZ5yWHuoIODMrmP44HvVKzkPwWZqK19nFJ1WeF" r:id="rId834"/>
    <hyperlink xmlns:r="http://schemas.openxmlformats.org/officeDocument/2006/relationships" ref="G401" display="https://www.xingtu.cn/ad/creator/author-homepage/douyin-video/6904928031547064335?market_track_id=NHDHIZHMWY3LDTI1FTJQ&amp;search_session_id=7614064463817539610&amp;possessStarId" r:id="rId835"/>
    <hyperlink xmlns:r="http://schemas.openxmlformats.org/officeDocument/2006/relationships" ref="H401" display="https://www.douyin.com/user/MS4wLjABAAAA4BllNusuuP22r0wVxSBWvVleCtUAvfEKlWx_vHMFjP8" r:id="rId836"/>
    <hyperlink xmlns:r="http://schemas.openxmlformats.org/officeDocument/2006/relationships" ref="E402" display="精致妈妈占比高，大家电商单https://www.douyin.com/video/7553536649356119359" r:id="rId837"/>
    <hyperlink xmlns:r="http://schemas.openxmlformats.org/officeDocument/2006/relationships" ref="G402" display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" r:id="rId838"/>
    <hyperlink xmlns:r="http://schemas.openxmlformats.org/officeDocument/2006/relationships" ref="H402" display="https://www.douyin.com/user/MS4wLjABAAAAiN15qBuxq9JWH-8-zX4vmzMSSPoRvRUcOQze7Z3ORzs" r:id="rId839"/>
    <hyperlink xmlns:r="http://schemas.openxmlformats.org/officeDocument/2006/relationships" ref="E403" display="大家电商单https://www.douyin.com/video/7599622349101647537" r:id="rId840"/>
    <hyperlink xmlns:r="http://schemas.openxmlformats.org/officeDocument/2006/relationships" ref="G403" display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" r:id="rId841"/>
    <hyperlink xmlns:r="http://schemas.openxmlformats.org/officeDocument/2006/relationships" ref="H403" display="https://www.douyin.com/user/MS4wLjABAAAACtgEdFXImTysoKNBtymQvAFIpFUR1girZ-l6HWP7_JaZeR8_4AoYkHtonTFqCcYx" r:id="rId842"/>
    <hyperlink xmlns:r="http://schemas.openxmlformats.org/officeDocument/2006/relationships" ref="E404" display="女粉精致妈妈占比高，https://www.douyin.com/video/7502782095450869019" r:id="rId843"/>
    <hyperlink xmlns:r="http://schemas.openxmlformats.org/officeDocument/2006/relationships" ref="G404" display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" r:id="rId844"/>
    <hyperlink xmlns:r="http://schemas.openxmlformats.org/officeDocument/2006/relationships" ref="H404" display="https://www.douyin.com/user/MS4wLjABAAAAhmWBGlEtnFXYP_l2mPtSVcAIWU7XFHRkw1uhSXKHmwo" r:id="rId845"/>
    <hyperlink xmlns:r="http://schemas.openxmlformats.org/officeDocument/2006/relationships" ref="E405" display="情侣博主，活人感强千万大家电爆款商单https://www.douyin.com/video/7559897109244316985?previous_page=app_code_link" r:id="rId846"/>
    <hyperlink xmlns:r="http://schemas.openxmlformats.org/officeDocument/2006/relationships" ref="G405" display="https://www.xingtu.cn/ad/creator/author-homepage/douyin-video/6920165577600270344?market_track_id=SYU2O2J77PRZD6HSWFO4&amp;search_session_id=7611491430255001609&amp;possessStarId" r:id="rId847"/>
    <hyperlink xmlns:r="http://schemas.openxmlformats.org/officeDocument/2006/relationships" ref="H405" display="https://www.douyin.com/user/MS4wLjABAAAAEvnSjkvkAzbDpQ0caF50IYBkgWOAyJwd-CNfev5tkxAj7GiO0lFBkO07G1LayvKm" r:id="rId848"/>
    <hyperlink xmlns:r="http://schemas.openxmlformats.org/officeDocument/2006/relationships" ref="G406" display="https://www.xingtu.cn/ad/creator/author-homepage/douyin-video/7121607124089569316?market_track_id=CTMSOHG2UEDVFASGDN5K&amp;search_session_id=7613298886794395674&amp;possessStarId" r:id="rId849"/>
    <hyperlink xmlns:r="http://schemas.openxmlformats.org/officeDocument/2006/relationships" ref="H406" display="https://www.douyin.com/user/MS4wLjABAAAA_N4YHaBZG_IZZPlX7oB0vR7z3cTveIodjhr3FXhmnYwo0qy9nnZzVA0idcTMj3-H" r:id="rId850"/>
    <hyperlink xmlns:r="http://schemas.openxmlformats.org/officeDocument/2006/relationships" ref="G407" display="https://www.xingtu.cn/ad/creator/author-homepage/douyin-video/7012557078963159043?market_track_id=T3F09RSZB5J532D966YC&amp;search_session_id=7613303540936818738&amp;possessStarId" r:id="rId851"/>
    <hyperlink xmlns:r="http://schemas.openxmlformats.org/officeDocument/2006/relationships" ref="H407" display="https://www.douyin.com/user/MS4wLjABAAAAfNVPEhjcQudNSFplx0LoYrdvH8rrT7GoYQ_Ij09FMfw" r:id="rId852"/>
    <hyperlink xmlns:r="http://schemas.openxmlformats.org/officeDocument/2006/relationships" ref="G408" display="https://www.xingtu.cn/ad/creator/author-homepage/douyin-video/7381753558883893299?market_track_id=H4ETHBZMFZY3TAGCQ3FA&amp;search_session_id=7613664374527885358&amp;possessStarId" r:id="rId853"/>
    <hyperlink xmlns:r="http://schemas.openxmlformats.org/officeDocument/2006/relationships" ref="H408" display="https://www.douyin.com/user/MS4wLjABAAAAlW6qdt6ZVRhZtUHJNWqoM3xP-TOU3bXaVQyE5UjRTH8uU4lnR0hPF-7LlHozelfw" r:id="rId854"/>
    <hyperlink xmlns:r="http://schemas.openxmlformats.org/officeDocument/2006/relationships" ref="G409" display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" r:id="rId855"/>
    <hyperlink xmlns:r="http://schemas.openxmlformats.org/officeDocument/2006/relationships" ref="H409" display="https://www.douyin.com/user/MS4wLjABAAAAP0p19DKAPCeDWTBGWDVpHAsjIRQIlDl3ehczZGtLdZQ" r:id="rId856"/>
    <hyperlink xmlns:r="http://schemas.openxmlformats.org/officeDocument/2006/relationships" ref="G410" display="https://www.xingtu.cn/ad/creator/author-homepage/douyin-video/7345359121169776650?market_track_id=7XTIV3268V2E8E5IT2EH&amp;search_session_id=7615464980443709490&amp;possessStarId" r:id="rId857"/>
    <hyperlink xmlns:r="http://schemas.openxmlformats.org/officeDocument/2006/relationships" ref="H410" display="https://www.douyin.com/user/MS4wLjABAAAAoZrfiAPRqnQsecoH9wT6_ghGAHI6xrCobmimGNFnCfyKylgFh9SW4GD3EYEn_r1p" r:id="rId858"/>
    <hyperlink xmlns:r="http://schemas.openxmlformats.org/officeDocument/2006/relationships" ref="G413" display="https://www.xingtu.cn/ad/creator/author-homepage/douyin-video/6852032860858089487?market_track_id=I3AXFCO2FFOA5SYPCT78&amp;search_session_id=7605451398251888690&amp;possessStarId" r:id="rId859"/>
    <hyperlink xmlns:r="http://schemas.openxmlformats.org/officeDocument/2006/relationships" ref="H413" display="https://www.douyin.com/user/MS4wLjABAAAA5eWz7uX9robWyIw2haX9428cHpyuIrWUeDqFI1J7mko" r:id="rId860"/>
    <hyperlink xmlns:r="http://schemas.openxmlformats.org/officeDocument/2006/relationships" ref="G414" display="https://www.xingtu.cn/ad/creator/author-homepage/douyin-video/6896359756827459591?market_track_id=BU8GKV5W3XFJCTREMRGB&amp;search_session_id=7605444486264520755&amp;possessStarId" r:id="rId861"/>
    <hyperlink xmlns:r="http://schemas.openxmlformats.org/officeDocument/2006/relationships" ref="H414" display="https://www.douyin.com/user/MS4wLjABAAAA5iMhOQOEbK1fkp3ALCP3QrUcBfWiw-CElER1wF2ybX4" r:id="rId862"/>
    <hyperlink xmlns:r="http://schemas.openxmlformats.org/officeDocument/2006/relationships" ref="G415" display="https://www.xingtu.cn/ad/creator/author-homepage/douyin-video/6968524225481015299?market_track_id=H4ETHBZMFZY3TAGCQ3FA&amp;search_session_id=7613665705892266034&amp;possessStarId" r:id="rId863"/>
    <hyperlink xmlns:r="http://schemas.openxmlformats.org/officeDocument/2006/relationships" ref="H415" display="https://www.douyin.com/user/MS4wLjABAAAAvbVySaoiJbUbHymqxLMTMoWoy5m3jybj_ZtILScBFnw" r:id="rId864"/>
    <hyperlink xmlns:r="http://schemas.openxmlformats.org/officeDocument/2006/relationships" ref="G416" display="https://www.xingtu.cn/ad/creator/author-homepage/douyin-video/7374012112449830963?market_track_id=SW5R02Z287BG97RJ9TP0&amp;search_session_id=7613708909291520009&amp;possessStarId" r:id="rId865"/>
    <hyperlink xmlns:r="http://schemas.openxmlformats.org/officeDocument/2006/relationships" ref="H416" display="https://www.douyin.com/user/MS4wLjABAAAAWhUtU86K-QcRWDv9sq_jLbAHWRckIXJ5YcHK7qI9pOQ" r:id="rId866"/>
    <hyperlink xmlns:r="http://schemas.openxmlformats.org/officeDocument/2006/relationships" ref="G417" display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" r:id="rId867"/>
    <hyperlink xmlns:r="http://schemas.openxmlformats.org/officeDocument/2006/relationships" ref="H417" display="https://www.douyin.com/user/MS4wLjABAAAA7slDjZsDDFxXoscBEUG2oZSUhl0f8x-RhBd5rK2YchuwBEDJD-fXQrisE7VCeOrJ" r:id="rId868"/>
    <hyperlink xmlns:r="http://schemas.openxmlformats.org/officeDocument/2006/relationships" ref="G418" display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" r:id="rId869"/>
    <hyperlink xmlns:r="http://schemas.openxmlformats.org/officeDocument/2006/relationships" ref="H418" display="https://www.douyin.com/user/MS4wLjABAAAA0BIOqMlFvRjsOveQoVO6Wq1DaOgs2LMB-wAXHRZeIIg" r:id="rId870"/>
    <hyperlink xmlns:r="http://schemas.openxmlformats.org/officeDocument/2006/relationships" ref="G419" display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" r:id="rId871"/>
    <hyperlink xmlns:r="http://schemas.openxmlformats.org/officeDocument/2006/relationships" ref="H419" display="https://www.douyin.com/user/MS4wLjABAAAAi0Z66aFzn6W5NeNnoo3rJeN1JxHSs4ltPgW616-pL2Bv1fTfgd_AdyyBauGPe1xm" r:id="rId872"/>
    <hyperlink xmlns:r="http://schemas.openxmlformats.org/officeDocument/2006/relationships" ref="G420" display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" r:id="rId873"/>
    <hyperlink xmlns:r="http://schemas.openxmlformats.org/officeDocument/2006/relationships" ref="H420" display="https://www.douyin.com/user/MS4wLjABAAAAw62OndX7mTNjejKQRh6SQYU_9TjuHI_GsCqDZCEiz9c" r:id="rId874"/>
    <hyperlink xmlns:r="http://schemas.openxmlformats.org/officeDocument/2006/relationships" ref="G421" display="https://www.xingtu.cn/ad/creator/author-homepage/douyin-video/7215526602636001283?market_track_id=2HPQ3HRNLPZF3O2NNCPK&amp;search_session_id=7615456741454544923&amp;possessStarId" r:id="rId875"/>
    <hyperlink xmlns:r="http://schemas.openxmlformats.org/officeDocument/2006/relationships" ref="H421" display="https://www.douyin.com/user/MS4wLjABAAAAvLnzMrcSjaXfkhP2RsN54q3z2FdcxAf-CCFnJ9PrfMM" r:id="rId876"/>
    <hyperlink xmlns:r="http://schemas.openxmlformats.org/officeDocument/2006/relationships" ref="G422" display="https://www.xingtu.cn/ad/creator/author-homepage/douyin-video/7284525791256412216?market_track_id=2HPQ3HRNLPZF3O2NNCPK&amp;search_session_id=7615457725783031846&amp;possessStarId" r:id="rId877"/>
    <hyperlink xmlns:r="http://schemas.openxmlformats.org/officeDocument/2006/relationships" ref="H422" display="https://www.douyin.com/user/MS4wLjABAAAAE02CEEZR-G8X-daREUFZiMOepruk8UmM1XuGjYLEm1Iq_aUvDbhnHG8wsz-x5kYZ" r:id="rId878"/>
    <hyperlink xmlns:r="http://schemas.openxmlformats.org/officeDocument/2006/relationships" ref="G423" display="https://www.xingtu.cn/ad/creator/author-homepage/douyin-video/6870170334209769479?market_track_id=2HPQ3HRNLPZF3O2NNCPK&amp;search_session_id=7615457725783031846&amp;possessStarId" r:id="rId879"/>
    <hyperlink xmlns:r="http://schemas.openxmlformats.org/officeDocument/2006/relationships" ref="H423" display="https://www.douyin.com/user/MS4wLjABAAAAsvKZAG9tg8xDWUM7kYrWLBjCK9xzFPoY5mHwGl2nd4Na-EHLIOqis9AKbu5RITbY" r:id="rId880"/>
    <hyperlink xmlns:r="http://schemas.openxmlformats.org/officeDocument/2006/relationships" ref="G424" display="https://www.xingtu.cn/ad/creator/author-homepage/douyin-video/6870163502879735815?market_track_id=7XTIV3268V2E8E5IT2EH&amp;search_session_id=7615463195943927858&amp;possessStarId" r:id="rId881"/>
    <hyperlink xmlns:r="http://schemas.openxmlformats.org/officeDocument/2006/relationships" ref="H424" display="https://www.douyin.com/user/MS4wLjABAAAATWFDIem4wHJK5WvRisrwahjXdK1bD_lsJ6ptOhWcZ24" r:id="rId882"/>
    <hyperlink xmlns:r="http://schemas.openxmlformats.org/officeDocument/2006/relationships" ref="G425" display="https://www.xingtu.cn/ad/creator/author-homepage/douyin-video/7055226032839884807?market_track_id=7XTIV3268V2E8E5IT2EH&amp;search_session_id=7615466233768443954&amp;possessStarId" r:id="rId883"/>
    <hyperlink xmlns:r="http://schemas.openxmlformats.org/officeDocument/2006/relationships" ref="H425" display="https://www.douyin.com/user/MS4wLjABAAAAsySP850WwppMDK6QAq7ZCuhOhbUYsRLYn0GqD63aYk4" r:id="rId884"/>
    <hyperlink xmlns:r="http://schemas.openxmlformats.org/officeDocument/2006/relationships" ref="G426" display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" r:id="rId885"/>
    <hyperlink xmlns:r="http://schemas.openxmlformats.org/officeDocument/2006/relationships" ref="H426" display="https://www.douyin.com/user/MS4wLjABAAAAfYU-pzQ1R1LkhnEswzQeTah8XvAze2T-j9gmANn6w2E" r:id="rId886"/>
    <hyperlink xmlns:r="http://schemas.openxmlformats.org/officeDocument/2006/relationships" ref="G427" display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" r:id="rId887"/>
    <hyperlink xmlns:r="http://schemas.openxmlformats.org/officeDocument/2006/relationships" ref="H427" display="https://www.douyin.com/user/MS4wLjABAAAA3qWxZw2BoHAJqcOlbTuiy9r6cAA4wtPJFmDXbEtp9mM" r:id="rId888"/>
    <hyperlink xmlns:r="http://schemas.openxmlformats.org/officeDocument/2006/relationships" ref="G428" display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" r:id="rId889"/>
    <hyperlink xmlns:r="http://schemas.openxmlformats.org/officeDocument/2006/relationships" ref="H428" display="https://www.douyin.com/user/MS4wLjABAAAAGUA3s_FZOLUkQcZEn-t4I4BGQq7NKOfX2BkK-V-jbU0" r:id="rId890"/>
    <hyperlink xmlns:r="http://schemas.openxmlformats.org/officeDocument/2006/relationships" ref="G429" display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" r:id="rId891"/>
    <hyperlink xmlns:r="http://schemas.openxmlformats.org/officeDocument/2006/relationships" ref="H429" display="https://www.douyin.com/user/MS4wLjABAAAAi5ESFdeQq1Lfu3IoL8O7RDD3wDBZrPzLm22BbHC_PyE" r:id="rId892"/>
    <hyperlink xmlns:r="http://schemas.openxmlformats.org/officeDocument/2006/relationships" ref="G430" display="https://www.xingtu.cn/ad/creator/author-homepage/douyin-video/7495973776300408859?market_track_id=PWQW3OK5VNZ1SLBXNIR0&amp;search_session_id=7611072156659302427&amp;possessStarId" r:id="rId893"/>
    <hyperlink xmlns:r="http://schemas.openxmlformats.org/officeDocument/2006/relationships" ref="H430" display="https://www.douyin.com/user/MS4wLjABAAAAnq7rHHWhn8NtYJqh0PT6cEv-grsVAk9-MV_5DFwB2tX-u92xZiyX2-8drDyBmlL5" r:id="rId894"/>
    <hyperlink xmlns:r="http://schemas.openxmlformats.org/officeDocument/2006/relationships" ref="G431" display="https://www.xingtu.cn/ad/creator/author-homepage/douyin-video/6944117204090617894?market_track_id=PVVZQQZTA088YGZCZE3M&amp;search_session_id=7615829959416086554&amp;possessStarId" r:id="rId895"/>
    <hyperlink xmlns:r="http://schemas.openxmlformats.org/officeDocument/2006/relationships" ref="H431" display="https://www.douyin.com/user/MS4wLjABAAAAuizX40s-AiiyhJ8OJ2i-rV2hqLjwZX_3PJaczfPMbVJxQShBk98mSmtC11y_wVBd" r:id="rId896"/>
    <hyperlink xmlns:r="http://schemas.openxmlformats.org/officeDocument/2006/relationships" ref="G432" display="https://www.xingtu.cn/ad/creator/author-homepage/douyin-video/7443044824921407538?market_track_id=OTDIBZQ2VDQKJ5MLUFVC&amp;search_session_id=7615830546245566491&amp;possessStarId" r:id="rId897"/>
    <hyperlink xmlns:r="http://schemas.openxmlformats.org/officeDocument/2006/relationships" ref="H432" display="https://www.douyin.com/user/MS4wLjABAAAAU1CIlkZD-ncNht3DJ2gyjpQMbJA8cuxm85PhmuFBlH_Xuege6EKfHP7JJ1ejcU0i" r:id="rId898"/>
    <hyperlink xmlns:r="http://schemas.openxmlformats.org/officeDocument/2006/relationships" ref="G433" display="https://www.xingtu.cn/ad/creator/author-homepage/douyin-video/6870170595837870087?market_track_id=3OS0HM7OVN3SYN0IJITL&amp;search_session_id=7617744266638721075&amp;possessStarId" r:id="rId899"/>
    <hyperlink xmlns:r="http://schemas.openxmlformats.org/officeDocument/2006/relationships" ref="H433" display="https://www.douyin.com/user/MS4wLjABAAAAgg2ir5yP1-cMGegOYE0mUsYxlTheyIGyiPXCt9ytyc5FhwYOrI23XXjFQ5J5qI2b" r:id="rId900"/>
    <hyperlink xmlns:r="http://schemas.openxmlformats.org/officeDocument/2006/relationships" ref="G434" display="https://www.xingtu.cn/ad/creator/author-homepage/douyin-video/6986059745152991272?market_track_id=L6OVDUJQ4O614ZL9TH2Q&amp;search_session_id=7614028749639303218&amp;possessStarId" r:id="rId901"/>
    <hyperlink xmlns:r="http://schemas.openxmlformats.org/officeDocument/2006/relationships" ref="H434" display="https://www.douyin.com/user/MS4wLjABAAAA0IM_YtJKDo8tVLPsKWnHWVUSQjnHKgZpw0TRsqXB35GlzriFzcns96tjKKRr7WTI" r:id="rId902"/>
    <hyperlink xmlns:r="http://schemas.openxmlformats.org/officeDocument/2006/relationships" ref="G435" display="https://www.xingtu.cn/ad/creator/author-homepage/douyin-video/7178384753874173987?market_track_id=WQYDLK95ZIKAMRQ6Y2QU&amp;search_session_id=7614026091378180146&amp;possessStarId" r:id="rId903"/>
    <hyperlink xmlns:r="http://schemas.openxmlformats.org/officeDocument/2006/relationships" ref="H435" display="https://www.douyin.com/user/MS4wLjABAAAAGkPRwD17lxAwIwfU_cS_ZCFQDp3onlv7Vt4oWuF3UhNS0eRgdJMLDUx_2-BynGRj" r:id="rId904"/>
    <hyperlink xmlns:r="http://schemas.openxmlformats.org/officeDocument/2006/relationships" ref="G436" display="https://www.xingtu.cn/ad/creator/author-homepage/douyin-video/6802523335012909069?market_track_id=EYBQHQN99X2O5Q0DSX1Q&amp;search_session_id=7614014387368149030&amp;possessStarId" r:id="rId905"/>
    <hyperlink xmlns:r="http://schemas.openxmlformats.org/officeDocument/2006/relationships" ref="H436" display="https://www.douyin.com/user/MS4wLjABAAAAISjmopPTsqgdmoF2_63yBDkUBB5dl1JxIS4veijKvu8lHpIfoe697n4IHzQiiL1h" r:id="rId906"/>
    <hyperlink xmlns:r="http://schemas.openxmlformats.org/officeDocument/2006/relationships" ref="G437" display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" r:id="rId907"/>
    <hyperlink xmlns:r="http://schemas.openxmlformats.org/officeDocument/2006/relationships" ref="H437" display="https://www.douyin.com/user/MS4wLjABAAAAc5kxst574ZOPmOCPOBZeuzPkfjqvCtEGcCL3rqLzrQI" r:id="rId908"/>
    <hyperlink xmlns:r="http://schemas.openxmlformats.org/officeDocument/2006/relationships" ref="G438" display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" r:id="rId909"/>
    <hyperlink xmlns:r="http://schemas.openxmlformats.org/officeDocument/2006/relationships" ref="H438" display="https://www.douyin.com/user/MS4wLjABAAAAIOpleKo7Lc3cla1Wa0km2Zx-rz5yHAufN_c36E1LY6M" r:id="rId910"/>
    <hyperlink xmlns:r="http://schemas.openxmlformats.org/officeDocument/2006/relationships" ref="G439" display="https://www.xingtu.cn/ad/creator/author-homepage/douyin-video/7215493945617285157?market_track_id=218B8CCHGQ6LX2E927X2&amp;search_session_id=7618538479689236490&amp;possessStarId" r:id="rId911"/>
    <hyperlink xmlns:r="http://schemas.openxmlformats.org/officeDocument/2006/relationships" ref="H439" display="https://www.douyin.com/user/MS4wLjABAAAAeRcCWOoVolGsaG8TNTRr_lvHdNa_8HS4ujX9IwgdZAZk-kZPXaVbuDXzy1BAXc4j" r:id="rId912"/>
    <hyperlink xmlns:r="http://schemas.openxmlformats.org/officeDocument/2006/relationships" ref="G441" display="https://www.xingtu.cn/ad/creator/author/douyin/6870163126906519565/1?market_track_id=KAW3G5XX7Q647JIVPTLI&amp;search_session_id=7452273290539925543&amp;video_type=2&amp;_route_from=from_page%3DMarket%26search_session_id%3D7452273290539925543%26is_for_order%3D1%26market_track_id%3DKAW3G5XX7Q647JIVPTLI%26platform_source%3D1%26key%3D%25E9%2598%25BF%25E5%25AE%2581%25E5%25AE%25B6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" r:id="rId913"/>
    <hyperlink xmlns:r="http://schemas.openxmlformats.org/officeDocument/2006/relationships" ref="H441" display="https://www.douyin.com/user/MS4wLjABAAAAytQ5bEH0kqRGdZKusd4gNP8-Hpu2cStRb0eBe4zkekw?relation=0&amp;vid=7402991638194244914" r:id="rId914"/>
    <hyperlink xmlns:r="http://schemas.openxmlformats.org/officeDocument/2006/relationships" ref="G442" display="https://www.xingtu.cn/ad/creator/author-homepage/douyin-video/7545034640386424882?market_track_id=16N2Q1K7O61F6E8ADYJV&amp;search_session_id=7563196124620455945&amp;possessStarId" r:id="rId915"/>
    <hyperlink xmlns:r="http://schemas.openxmlformats.org/officeDocument/2006/relationships" ref="H442" display="https://www.xingtu.cn/ad/creator/author-homepage/douyin-video/7545034640386424882?market_track_id=16N2Q1K7O61F6E8ADYJV&amp;search_session_id=7563196124620455945&amp;possessStarId" r:id="rId916"/>
    <hyperlink xmlns:r="http://schemas.openxmlformats.org/officeDocument/2006/relationships" ref="G443" display="https://www.xingtu.cn/ad/creator/author/douyin/7402525764085612582/1?market_track_id=8YOQPT3XCI1X4KYLETPT&amp;search_session_id=7452914367039045641&amp;video_type=2&amp;_route_from=from_page%3DMarket%26search_session_id%3D7452914367039045641%26is_for_order%3D1%26market_track_id%3D8YOQPT3XCI1X4KYLETPT%26platform_source%3D1%26key%3D%25E9%2599%25B3%25E5%259C%2588%25E5%259C%2588Circle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" r:id="rId917"/>
    <hyperlink xmlns:r="http://schemas.openxmlformats.org/officeDocument/2006/relationships" ref="H443" display="https://v.douyin.com/ihesUdvA/" r:id="rId918"/>
    <hyperlink xmlns:r="http://schemas.openxmlformats.org/officeDocument/2006/relationships" ref="G444" display="https://www.xingtu.cn/ad/creator/author-homepage/douyin-video/7367182371520512037?market_track_id=QVGTVKO1HDURGRRZMCZ1&amp;search_session_id=7584997171079807002&amp;possessStarId" r:id="rId919"/>
    <hyperlink xmlns:r="http://schemas.openxmlformats.org/officeDocument/2006/relationships" ref="H444" display="https://www.douyin.com/user/MS4wLjABAAAASXNhw5qC3BgFGgRjVaj_KUtNG0sb1r1fHNwNFtfGrac" r:id="rId920"/>
    <hyperlink xmlns:r="http://schemas.openxmlformats.org/officeDocument/2006/relationships" ref="G445" display="https://www.xingtu.cn/ad/creator/author-homepage/douyin-video/7367283661231620123?market_track_id=8Q9PE8BDFU6R649W6A60&amp;search_session_id=7584998289569841203&amp;possessStarId" r:id="rId921"/>
    <hyperlink xmlns:r="http://schemas.openxmlformats.org/officeDocument/2006/relationships" ref="H445" display="https://www.douyin.com/user/MS4wLjABAAAAu6mKtM9F4csuK9rrcXZzgMLlYL8-_BTCTm_QiMRe29bFNzJE0h5FtlHGHla_3gVC" r:id="rId922"/>
    <hyperlink xmlns:r="http://schemas.openxmlformats.org/officeDocument/2006/relationships" ref="G446" display="https://www.xingtu.cn/ad/creator/author-homepage/douyin-video/7314592158177198117?market_track_id=IJJ5QQUKHFASAQSW1XMW&amp;search_session_id=7584998942632181770&amp;possessStarId" r:id="rId923"/>
    <hyperlink xmlns:r="http://schemas.openxmlformats.org/officeDocument/2006/relationships" ref="H446" display="https://www.douyin.com/user/MS4wLjABAAAAhWpMzXpJ-npOS91mD-0ReHBMUhhjQhEcLB9oM1-N5Mw" r:id="rId924"/>
    <hyperlink xmlns:r="http://schemas.openxmlformats.org/officeDocument/2006/relationships" ref="G447" display="https://www.xingtu.cn/ad/creator/author/douyin/7408026282077716490/1?market_track_id=JWQ91YYAU1AB6YGYR0S3&amp;search_session_id=7452914678520741926&amp;video_type=2&amp;_route_from=from_page%3DMarket%26search_session_id%3D7452914678520741926%26is_for_order%3D1%26market_track_id%3DJWQ91YYAU1AB6YGYR0S3%26platform_source%3D1%26key%3D%25E5%258E%259F%25E6%259D%25A5%25E6%2598%25AF%25E4%25B8%2581%25E4%25B8%2581%25E5%25BD%2593%25E5%2595%258A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" r:id="rId925"/>
    <hyperlink xmlns:r="http://schemas.openxmlformats.org/officeDocument/2006/relationships" ref="H447" display="https://v.douyin.com/iBePRswf/" r:id="rId926"/>
    <hyperlink xmlns:r="http://schemas.openxmlformats.org/officeDocument/2006/relationships" ref="G448" display="https://www.xingtu.cn/ad/creator/author-homepage/douyin-video/7396201152951353354?market_track_id=L7KOGABXHNZ6P81A4PCO&amp;search_session_id=7584697960924545067&amp;possessStarId" r:id="rId927"/>
    <hyperlink xmlns:r="http://schemas.openxmlformats.org/officeDocument/2006/relationships" ref="H448" display="https://www.douyin.com/user/MS4wLjABAAAA5oaBbHwjpt0Tl2faidLnmwx0aBRt1veYwVz-OQuKoA0" r:id="rId928"/>
    <hyperlink xmlns:r="http://schemas.openxmlformats.org/officeDocument/2006/relationships" ref="G449" display="https://www.xingtu.cn/ad/creator/author-homepage/douyin-video/7384731250080088091?market_track_id=HOXOHIJNKY5VR82G9EOQ&amp;search_session_id=7584997332060815370&amp;possessStarId" r:id="rId929"/>
    <hyperlink xmlns:r="http://schemas.openxmlformats.org/officeDocument/2006/relationships" ref="H449" display="https://www.douyin.com/user/MS4wLjABAAAA7KZvwqdWgKmM6HIfkNvnQjm2imgWk9MYspoHAeLD8Vd3MCiYUP5-IBiAFnAZ18nd" r:id="rId930"/>
    <hyperlink xmlns:r="http://schemas.openxmlformats.org/officeDocument/2006/relationships" ref="G450" display="https://www.xingtu.cn/ad/creator/author/douyin/7400640434445221899/1?marketType=&amp;btm_ppre=a0.b0.c0.d0&amp;btm_pre=a4738.b27311.c0.author-card&amp;btm_show_id=d06bfb35-b92e-4036-be94-128d3a1be541" r:id="rId931"/>
    <hyperlink xmlns:r="http://schemas.openxmlformats.org/officeDocument/2006/relationships" ref="H450" display="https://v.douyin.com/ihY4psDX/" r:id="rId932"/>
    <hyperlink xmlns:r="http://schemas.openxmlformats.org/officeDocument/2006/relationships" ref="G451" display="https://www.xingtu.cn/ad/creator/author/douyin/7356549493598355506/1?marketType=&amp;btm_ppre=a0.b0.c0.d0&amp;btm_pre=a4738.b27311.c0.author-card&amp;btm_show_id=d06bfb35-b92e-4036-be94-128d3a1be541" r:id="rId933"/>
    <hyperlink xmlns:r="http://schemas.openxmlformats.org/officeDocument/2006/relationships" ref="H451" display="https://v.douyin.com/ir3strbV/" r:id="rId934"/>
    <hyperlink xmlns:r="http://schemas.openxmlformats.org/officeDocument/2006/relationships" ref="G452" display="https://www.xingtu.cn/ad/creator/author/douyin/7216176940263309324" r:id="rId935"/>
    <hyperlink xmlns:r="http://schemas.openxmlformats.org/officeDocument/2006/relationships" ref="H452" display="https://www.douyin.com/user/MS4wLjABAAAArtDcksJ7sHVBUHzOZtR3kUPGx77UG5YyFE_YRDZmIcM" r:id="rId936"/>
    <hyperlink xmlns:r="http://schemas.openxmlformats.org/officeDocument/2006/relationships" ref="G453" display="https://www.xingtu.cn/ad/creator/author/douyin/7127213766332121124" r:id="rId937"/>
    <hyperlink xmlns:r="http://schemas.openxmlformats.org/officeDocument/2006/relationships" ref="H453" display="https://www.douyin.com/user/MS4wLjABAAAAGaIqVOnmR7lsUUWmFIXYrHxiGaswCmCGOXTyDCefVOU" r:id="rId938"/>
    <hyperlink xmlns:r="http://schemas.openxmlformats.org/officeDocument/2006/relationships" ref="G454" display="https://www.xingtu.cn/ad/creator/author/douyin/6986502918828458018" r:id="rId939"/>
    <hyperlink xmlns:r="http://schemas.openxmlformats.org/officeDocument/2006/relationships" ref="H454" display="https://www.douyin.com/user/MS4wLjABAAAAEgx8hek2VqUVvdz1pE5IMZm6UEv5ZaiQdXjX3yBnY-BzUCl_OoV03V-yGo4xs0-y" r:id="rId940"/>
    <hyperlink xmlns:r="http://schemas.openxmlformats.org/officeDocument/2006/relationships" ref="G455" display="https://www.xingtu.cn/ad/creator/author/douyin/7177294850537029670" r:id="rId941"/>
    <hyperlink xmlns:r="http://schemas.openxmlformats.org/officeDocument/2006/relationships" ref="H455" display="https://www.douyin.com/user/MS4wLjABAAAAPbj87_5buxdwlFq2PRpq2Z916eeLK-obh6GTg6FFHEA" r:id="rId942"/>
    <hyperlink xmlns:r="http://schemas.openxmlformats.org/officeDocument/2006/relationships" ref="G456" display="https://www.xingtu.cn/ad/creator/author/douyin/7011195522501312549" r:id="rId943"/>
    <hyperlink xmlns:r="http://schemas.openxmlformats.org/officeDocument/2006/relationships" ref="H456" display="https://www.douyin.com/user/MS4wLjABAAAA_qiDcE91TBBIE_k1oaGGji-3zrm-nbyOxXEzvJWF6P5E_uH8nGZZFxrDk_NqMc8s" r:id="rId944"/>
    <hyperlink xmlns:r="http://schemas.openxmlformats.org/officeDocument/2006/relationships" ref="G457" display="https://www.xingtu.cn/ad/creator/author/douyin/6770557523503087629" r:id="rId945"/>
    <hyperlink xmlns:r="http://schemas.openxmlformats.org/officeDocument/2006/relationships" ref="H457" display="https://www.douyin.com/user/MS4wLjABAAAADmiSGi_K5biZrwWkh99jDGjwdsc2xjsYsnEIP8Ff0i0" r:id="rId946"/>
    <hyperlink xmlns:r="http://schemas.openxmlformats.org/officeDocument/2006/relationships" ref="G458" display="https://www.xingtu.cn/ad/creator/author-homepage/douyin-video/7442164486321995802?market_track_id=VAC8NSLE09AG076K9UKP&amp;search_session_id=7620351066076495898&amp;possessStarId" r:id="rId947"/>
    <hyperlink xmlns:r="http://schemas.openxmlformats.org/officeDocument/2006/relationships" ref="H458" display="https://v.douyin.com/8BYyJ9UwDlk/ 3@3.com :9pm" r:id="rId948"/>
    <hyperlink xmlns:r="http://schemas.openxmlformats.org/officeDocument/2006/relationships" ref="G459" display="https://www.xingtu.cn/ad/creator/author-homepage/douyin-video/6629722309571641351?market_track_id=PUKJ54PIB4R0ADREIYF1&amp;search_session_id=7620379018856661030&amp;possessStarId" r:id="rId94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F206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4" defaultRowHeight="12.75"/>
  <cols>
    <col width="14" customWidth="1" style="151" min="1" max="1"/>
    <col width="23" customWidth="1" style="151" min="5" max="5"/>
    <col width="14" customWidth="1" style="151" min="14" max="15"/>
  </cols>
  <sheetData>
    <row r="1" ht="24.75" customHeight="1" s="151">
      <c r="A1" s="9" t="inlineStr">
        <is>
          <t>提交日期</t>
        </is>
      </c>
      <c r="B1" s="10" t="inlineStr">
        <is>
          <t>是否选号
【品牌填写】</t>
        </is>
      </c>
      <c r="C1" s="10" t="inlineStr">
        <is>
          <t>品牌反馈</t>
        </is>
      </c>
      <c r="D1" s="11" t="inlineStr">
        <is>
          <t>品牌/电商</t>
        </is>
      </c>
      <c r="E1" s="12" t="inlineStr">
        <is>
          <t>KOC名称</t>
        </is>
      </c>
      <c r="F1" s="11" t="inlineStr">
        <is>
          <t>星图链接</t>
        </is>
      </c>
      <c r="G1" s="11" t="inlineStr">
        <is>
          <t>主页链接</t>
        </is>
      </c>
      <c r="H1" s="12" t="inlineStr">
        <is>
          <t>ID</t>
        </is>
      </c>
      <c r="I1" s="11" t="inlineStr">
        <is>
          <t>KOL类型</t>
        </is>
      </c>
      <c r="J1" s="11" t="inlineStr">
        <is>
          <t>量级</t>
        </is>
      </c>
      <c r="K1" s="13" t="inlineStr">
        <is>
          <t>粉丝量（w）</t>
        </is>
      </c>
      <c r="L1" s="14" t="inlineStr">
        <is>
          <t>播放量中位数</t>
        </is>
      </c>
      <c r="M1" s="15" t="inlineStr">
        <is>
          <t>图文报备价格
（含平台费5%）</t>
        </is>
      </c>
      <c r="N1" s="13" t="inlineStr">
        <is>
          <t xml:space="preserve"> CPE</t>
        </is>
      </c>
      <c r="O1" s="11" t="inlineStr">
        <is>
          <t>合作形式</t>
        </is>
      </c>
      <c r="P1" s="11" t="inlineStr">
        <is>
          <t>女粉占比</t>
        </is>
      </c>
      <c r="Q1" s="14" t="inlineStr">
        <is>
          <t>3月图文
报价</t>
        </is>
      </c>
      <c r="R1" s="14" t="inlineStr">
        <is>
          <t>CPM</t>
        </is>
      </c>
      <c r="S1" s="14" t="inlineStr">
        <is>
          <t>平均点赞</t>
        </is>
      </c>
      <c r="T1" s="14" t="inlineStr">
        <is>
          <t>平均评论</t>
        </is>
      </c>
      <c r="U1" s="14" t="inlineStr">
        <is>
          <t>平均转发</t>
        </is>
      </c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</row>
    <row r="2">
      <c r="A2" s="17" t="n">
        <v>46085</v>
      </c>
      <c r="B2" s="18" t="n"/>
      <c r="C2" s="18" t="n"/>
      <c r="D2" s="18" t="inlineStr">
        <is>
          <t>品牌</t>
        </is>
      </c>
      <c r="E2" s="18" t="inlineStr">
        <is>
          <t>程剑泽</t>
        </is>
      </c>
      <c r="F2" s="19" t="inlineStr">
        <is>
          <t>https://www.xingtu.cn/ad/creator/author-homepage/douyin-video/6862337034371989511?market_track_id=6DNXHR4DH2VHZ8WAKXMF&amp;search_session_id=7613315252344487982&amp;video_type=130&amp;_route_from=from_page%3DMarket%26search_session_id%3D7613315252344487982%26is_for_order%3D0%26market_track_id%3D6DNXHR4DH2VHZ8WAKXMF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2" s="19" t="inlineStr">
        <is>
          <t>https://www.douyin.com/user/MS4wLjABAAAAIzwXtn4OcpB4hb2G49roQ-yvx8QB5OCCdrY1k_nKdOQ</t>
        </is>
      </c>
      <c r="H2" s="18" t="inlineStr">
        <is>
          <t>cjz8880102</t>
        </is>
      </c>
      <c r="I2" s="18" t="inlineStr">
        <is>
          <t>创意技能</t>
        </is>
      </c>
      <c r="J2" s="18" t="inlineStr">
        <is>
          <t>KOC</t>
        </is>
      </c>
      <c r="K2" s="18" t="n">
        <v>10</v>
      </c>
      <c r="L2" s="18" t="n">
        <v>15000</v>
      </c>
      <c r="M2" s="18">
        <f>Q2*1.05</f>
        <v/>
      </c>
      <c r="N2" s="20">
        <f>Q2/(S2+T2++U2)</f>
        <v/>
      </c>
      <c r="O2" s="18" t="inlineStr">
        <is>
          <t>图文</t>
        </is>
      </c>
      <c r="P2" s="21" t="n">
        <v>0.78</v>
      </c>
      <c r="Q2" s="18" t="n">
        <v>1300</v>
      </c>
      <c r="R2" s="20">
        <f>Q2/L2*1000</f>
        <v/>
      </c>
      <c r="S2" s="18" t="n">
        <v>219</v>
      </c>
      <c r="T2" s="18" t="n">
        <v>14</v>
      </c>
      <c r="U2" s="18" t="n">
        <v>4</v>
      </c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</row>
    <row r="3">
      <c r="A3" s="17" t="n">
        <v>46085</v>
      </c>
      <c r="B3" s="18" t="n"/>
      <c r="C3" s="18" t="n"/>
      <c r="D3" s="18" t="inlineStr">
        <is>
          <t>品牌</t>
        </is>
      </c>
      <c r="E3" s="18" t="inlineStr">
        <is>
          <t>晴子宅家记</t>
        </is>
      </c>
      <c r="F3" s="19" t="inlineStr">
        <is>
          <t>https://www.xingtu.cn/ad/creator/author-homepage/douyin-video/7356526050525855781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3" s="19" t="inlineStr">
        <is>
          <t>https://www.douyin.com/user/MS4wLjABAAAAoMBjWrzNyJC2jAIWJdVVGMe8dvCUefB-5XSnNoLCYmQ</t>
        </is>
      </c>
      <c r="H3" s="18" t="n">
        <v>933024721</v>
      </c>
      <c r="I3" s="18" t="inlineStr">
        <is>
          <t>家居</t>
        </is>
      </c>
      <c r="J3" s="18" t="inlineStr">
        <is>
          <t>KOC</t>
        </is>
      </c>
      <c r="K3" s="18" t="n">
        <v>25</v>
      </c>
      <c r="L3" s="18" t="n">
        <v>226000</v>
      </c>
      <c r="M3" s="18">
        <f>Q3*1.05</f>
        <v/>
      </c>
      <c r="N3" s="20">
        <f>Q3/(S3+T3++U3)</f>
        <v/>
      </c>
      <c r="O3" s="18" t="inlineStr">
        <is>
          <t>图文</t>
        </is>
      </c>
      <c r="P3" s="21" t="n">
        <v>0.6</v>
      </c>
      <c r="Q3" s="18" t="n">
        <v>2000</v>
      </c>
      <c r="R3" s="20">
        <f>Q3/L3*1000</f>
        <v/>
      </c>
      <c r="S3" s="22" t="n">
        <v>2818</v>
      </c>
      <c r="T3" s="18" t="n">
        <v>144</v>
      </c>
      <c r="U3" s="18" t="n">
        <v>141</v>
      </c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</row>
    <row r="4">
      <c r="A4" s="17" t="n">
        <v>46085</v>
      </c>
      <c r="B4" s="18" t="n"/>
      <c r="C4" s="18" t="n"/>
      <c r="D4" s="18" t="inlineStr">
        <is>
          <t>品牌</t>
        </is>
      </c>
      <c r="E4" s="18" t="inlineStr">
        <is>
          <t>白小达的家</t>
        </is>
      </c>
      <c r="F4" s="19" t="inlineStr">
        <is>
          <t>https://www.xingtu.cn/ad/creator/author-homepage/douyin-video/7163580183356637197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4" s="19" t="inlineStr">
        <is>
          <t>https://www.douyin.com/user/MS4wLjABAAAA2yHm6xUq4Pk9RqLPQmOPVUUAbdOjrEfLSoWISXl_tSDjBmfcZ6-Okx9LZYYGy7B7</t>
        </is>
      </c>
      <c r="H4" s="18" t="n">
        <v>95834086953</v>
      </c>
      <c r="I4" s="18" t="inlineStr">
        <is>
          <t>家居</t>
        </is>
      </c>
      <c r="J4" s="18" t="inlineStr">
        <is>
          <t>KOC</t>
        </is>
      </c>
      <c r="K4" s="18" t="n">
        <v>10</v>
      </c>
      <c r="L4" s="18" t="n">
        <v>70000</v>
      </c>
      <c r="M4" s="18">
        <f>Q4*1.05</f>
        <v/>
      </c>
      <c r="N4" s="20">
        <f>Q4/(S4+T4++U4)</f>
        <v/>
      </c>
      <c r="O4" s="18" t="inlineStr">
        <is>
          <t>图文</t>
        </is>
      </c>
      <c r="P4" s="21" t="n">
        <v>0.86</v>
      </c>
      <c r="Q4" s="18" t="n">
        <v>2450</v>
      </c>
      <c r="R4" s="20">
        <f>Q4/L4*1000</f>
        <v/>
      </c>
      <c r="S4" s="18" t="n">
        <v>557</v>
      </c>
      <c r="T4" s="18" t="n">
        <v>14</v>
      </c>
      <c r="U4" s="18" t="n">
        <v>17</v>
      </c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</row>
    <row r="5">
      <c r="A5" s="17" t="n">
        <v>46085</v>
      </c>
      <c r="B5" s="18" t="n"/>
      <c r="C5" s="18" t="n"/>
      <c r="D5" s="18" t="inlineStr">
        <is>
          <t>品牌</t>
        </is>
      </c>
      <c r="E5" s="18" t="inlineStr">
        <is>
          <t>豆豆家✨</t>
        </is>
      </c>
      <c r="F5" s="19" t="inlineStr">
        <is>
          <t>https://www.xingtu.cn/ad/creator/author-homepage/douyin-video/7331739316021886985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5" s="19" t="inlineStr">
        <is>
          <t>https://www.douyin.com/user/MS4wLjABAAAATQ9_aUGiTKOmnwruMSYom8gcFoEjVh3zAUgSF6heFd_mzxfpTEa_8P5v64IXSRF3</t>
        </is>
      </c>
      <c r="H5" s="18" t="inlineStr">
        <is>
          <t>ddxx03111105</t>
        </is>
      </c>
      <c r="I5" s="18" t="inlineStr">
        <is>
          <t>家居</t>
        </is>
      </c>
      <c r="J5" s="18" t="inlineStr">
        <is>
          <t>KOC</t>
        </is>
      </c>
      <c r="K5" s="18" t="n">
        <v>11.6</v>
      </c>
      <c r="L5" s="18" t="n">
        <v>12000</v>
      </c>
      <c r="M5" s="18">
        <f>Q5*1.05</f>
        <v/>
      </c>
      <c r="N5" s="20">
        <f>Q5/(S5+T5++U5)</f>
        <v/>
      </c>
      <c r="O5" s="18" t="inlineStr">
        <is>
          <t>图文</t>
        </is>
      </c>
      <c r="P5" s="21" t="n">
        <v>0.87</v>
      </c>
      <c r="Q5" s="18" t="n">
        <v>1500</v>
      </c>
      <c r="R5" s="20">
        <f>Q5/L5*1000</f>
        <v/>
      </c>
      <c r="S5" s="18" t="n">
        <v>207</v>
      </c>
      <c r="T5" s="18" t="n">
        <v>14</v>
      </c>
      <c r="U5" s="18" t="n">
        <v>54</v>
      </c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</row>
    <row r="6">
      <c r="A6" s="17" t="n">
        <v>46085</v>
      </c>
      <c r="B6" s="18" t="n"/>
      <c r="C6" s="18" t="n"/>
      <c r="D6" s="18" t="inlineStr">
        <is>
          <t>品牌</t>
        </is>
      </c>
      <c r="E6" s="18" t="inlineStr">
        <is>
          <t>郝白</t>
        </is>
      </c>
      <c r="F6" s="19" t="inlineStr">
        <is>
          <t>https://www.xingtu.cn/ad/creator/author-homepage/douyin-video/7106310332527837198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6" s="19" t="inlineStr">
        <is>
          <t>https://www.douyin.com/user/MS4wLjABAAAAoyk9krUR_MF6Tt9VuHzM8zczJHEsxoWa2Pd9S4wm9HazMDdd5VpkXvTM4yF6Plct</t>
        </is>
      </c>
      <c r="H6" s="18" t="inlineStr">
        <is>
          <t>haobai2003317</t>
        </is>
      </c>
      <c r="I6" s="18" t="inlineStr">
        <is>
          <t>家居</t>
        </is>
      </c>
      <c r="J6" s="18" t="inlineStr">
        <is>
          <t>KOC</t>
        </is>
      </c>
      <c r="K6" s="18" t="n">
        <v>10.8</v>
      </c>
      <c r="L6" s="18" t="n">
        <v>151000</v>
      </c>
      <c r="M6" s="18">
        <f>Q6*1.05</f>
        <v/>
      </c>
      <c r="N6" s="20">
        <f>Q6/(S6+T6++U6)</f>
        <v/>
      </c>
      <c r="O6" s="18" t="inlineStr">
        <is>
          <t>图文</t>
        </is>
      </c>
      <c r="P6" s="21" t="n">
        <v>0.4</v>
      </c>
      <c r="Q6" s="18" t="n">
        <v>2050</v>
      </c>
      <c r="R6" s="20">
        <f>Q6/L6*1000</f>
        <v/>
      </c>
      <c r="S6" s="18" t="n">
        <v>459</v>
      </c>
      <c r="T6" s="18" t="n">
        <v>26</v>
      </c>
      <c r="U6" s="18" t="n">
        <v>68</v>
      </c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</row>
    <row r="7">
      <c r="A7" s="17" t="n">
        <v>46085</v>
      </c>
      <c r="B7" s="18" t="n"/>
      <c r="C7" s="18" t="n"/>
      <c r="D7" s="18" t="inlineStr">
        <is>
          <t>品牌</t>
        </is>
      </c>
      <c r="E7" s="18" t="inlineStr">
        <is>
          <t>鸽子的家🏠</t>
        </is>
      </c>
      <c r="F7" s="19" t="inlineStr">
        <is>
          <t>https://www.xingtu.cn/ad/creator/author-homepage/douyin-video/7233683198318739513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</t>
        </is>
      </c>
      <c r="G7" s="19" t="inlineStr">
        <is>
          <t>https://www.douyin.com/user/MS4wLjABAAAAcCNQsWMO7HL2vGMtrLxPc4NIUAy93y2JaMTeFnvt8Ow</t>
        </is>
      </c>
      <c r="H7" s="18" t="n">
        <v>8723996</v>
      </c>
      <c r="I7" s="18" t="inlineStr">
        <is>
          <t>家居</t>
        </is>
      </c>
      <c r="J7" s="18" t="inlineStr">
        <is>
          <t>KOC</t>
        </is>
      </c>
      <c r="K7" s="18" t="n">
        <v>18.8</v>
      </c>
      <c r="L7" s="18" t="n">
        <v>32000</v>
      </c>
      <c r="M7" s="18">
        <f>Q7*1.05</f>
        <v/>
      </c>
      <c r="N7" s="20">
        <f>Q7/(S7+T7++U7)</f>
        <v/>
      </c>
      <c r="O7" s="18" t="inlineStr">
        <is>
          <t>图文</t>
        </is>
      </c>
      <c r="P7" s="21" t="n">
        <v>0.5600000000000001</v>
      </c>
      <c r="Q7" s="18" t="n">
        <v>2000</v>
      </c>
      <c r="R7" s="20">
        <f>Q7/L7*1000</f>
        <v/>
      </c>
      <c r="S7" s="18" t="n">
        <v>514</v>
      </c>
      <c r="T7" s="18" t="n">
        <v>22</v>
      </c>
      <c r="U7" s="18" t="n">
        <v>14</v>
      </c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</row>
    <row r="8">
      <c r="A8" s="17" t="n">
        <v>46085</v>
      </c>
      <c r="B8" s="18" t="n"/>
      <c r="C8" s="18" t="n"/>
      <c r="D8" s="18" t="inlineStr">
        <is>
          <t>品牌</t>
        </is>
      </c>
      <c r="E8" s="18" t="inlineStr">
        <is>
          <t>童童的心家🏠</t>
        </is>
      </c>
      <c r="F8" s="19" t="inlineStr">
        <is>
          <t>https://www.xingtu.cn/ad/creator/author-homepage/douyin-video/7133402704461856800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</t>
        </is>
      </c>
      <c r="G8" s="19" t="inlineStr">
        <is>
          <t>https://www.douyin.com/user/MS4wLjABAAAAqKG5BkMv6q7M3DgBgg1rOl6GgXVUCD0uZ395j5lVCFbl08hmS-cCbPfRPkWwD4__</t>
        </is>
      </c>
      <c r="H8" s="18" t="inlineStr">
        <is>
          <t>szt8577</t>
        </is>
      </c>
      <c r="I8" s="18" t="inlineStr">
        <is>
          <t>家居</t>
        </is>
      </c>
      <c r="J8" s="18" t="inlineStr">
        <is>
          <t>KOC</t>
        </is>
      </c>
      <c r="K8" s="18" t="n">
        <v>33</v>
      </c>
      <c r="L8" s="18" t="n">
        <v>180000</v>
      </c>
      <c r="M8" s="18">
        <f>Q8*1.05</f>
        <v/>
      </c>
      <c r="N8" s="20">
        <f>Q8/(S8+T8++U8)</f>
        <v/>
      </c>
      <c r="O8" s="18" t="inlineStr">
        <is>
          <t>图文</t>
        </is>
      </c>
      <c r="P8" s="21" t="n">
        <v>0.44</v>
      </c>
      <c r="Q8" s="18" t="n">
        <v>2500</v>
      </c>
      <c r="R8" s="20">
        <f>Q8/L8*1000</f>
        <v/>
      </c>
      <c r="S8" s="18" t="n">
        <v>634</v>
      </c>
      <c r="T8" s="18" t="n">
        <v>270</v>
      </c>
      <c r="U8" s="18" t="n">
        <v>135</v>
      </c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</row>
    <row r="9">
      <c r="A9" s="17" t="n">
        <v>46085</v>
      </c>
      <c r="B9" s="18" t="n"/>
      <c r="C9" s="18" t="n"/>
      <c r="D9" s="18" t="inlineStr">
        <is>
          <t>品牌</t>
        </is>
      </c>
      <c r="E9" s="18" t="inlineStr">
        <is>
          <t>韩小果的家</t>
        </is>
      </c>
      <c r="F9" s="19" t="inlineStr">
        <is>
          <t>https://www.xingtu.cn/ad/creator/author-homepage/douyin-video/7243769338820296737?market_track_id=6DNXHR4DH2VHZ8WAKXMF&amp;search_session_id=7613315845238243337&amp;video_type=130&amp;_route_from=from_page%3DMarket%26search_session_id%3D7613315845238243337%26is_for_order%3D0%26market_track_id%3D6DNXHR4DH2VHZ8WAKXMF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9" s="19" t="inlineStr">
        <is>
          <t>https://www.douyin.com/user/MS4wLjABAAAA5igjS-ttg1DuWvi89br569c_gUmz80p8BTOJkWuUG1E</t>
        </is>
      </c>
      <c r="H9" s="18" t="inlineStr">
        <is>
          <t>hanxiaoguo91</t>
        </is>
      </c>
      <c r="I9" s="18" t="inlineStr">
        <is>
          <t>家居</t>
        </is>
      </c>
      <c r="J9" s="18" t="inlineStr">
        <is>
          <t>KOC</t>
        </is>
      </c>
      <c r="K9" s="18" t="n">
        <v>1.9</v>
      </c>
      <c r="L9" s="18" t="n">
        <v>8000</v>
      </c>
      <c r="M9" s="18">
        <f>Q9*1.05</f>
        <v/>
      </c>
      <c r="N9" s="20">
        <f>Q9/(S9+T9++U9)</f>
        <v/>
      </c>
      <c r="O9" s="18" t="inlineStr">
        <is>
          <t>图文</t>
        </is>
      </c>
      <c r="P9" s="21" t="n">
        <v>0.65</v>
      </c>
      <c r="Q9" s="18" t="n">
        <v>800</v>
      </c>
      <c r="R9" s="20">
        <f>Q9/L9*1000</f>
        <v/>
      </c>
      <c r="S9" s="18" t="n">
        <v>102</v>
      </c>
      <c r="T9" s="18" t="n">
        <v>15</v>
      </c>
      <c r="U9" s="18" t="n">
        <v>9</v>
      </c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</row>
    <row r="10">
      <c r="A10" s="17" t="n">
        <v>46085</v>
      </c>
      <c r="B10" s="18" t="n"/>
      <c r="C10" s="18" t="n"/>
      <c r="D10" s="18" t="inlineStr">
        <is>
          <t>品牌</t>
        </is>
      </c>
      <c r="E10" s="18" t="inlineStr">
        <is>
          <t>设计师小橙</t>
        </is>
      </c>
      <c r="F10" s="19" t="inlineStr">
        <is>
          <t>https://www.xingtu.cn/ad/creator/author-homepage/douyin-video/7138655518096097316?market_track_id=DXZTWF5UPCT7FDKA0NE3&amp;search_session_id=7613324734945296411&amp;video_type=130&amp;_route_from=from_page%3DMarket%26search_session_id%3D7613324734945296411%26is_for_order%3D0%26market_track_id%3DDXZTWF5UPCT7FDKA0NE3%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0" s="19" t="inlineStr">
        <is>
          <t>https://www.douyin.com/user/MS4wLjABAAAAODJdpZDbUj3cXhAGTpYqx4QIjXavQMX7hniCaoFIbwB5lI551T_rZOl164gRUk16</t>
        </is>
      </c>
      <c r="H10" s="18" t="inlineStr">
        <is>
          <t>xiaoc102509</t>
        </is>
      </c>
      <c r="I10" s="18" t="inlineStr">
        <is>
          <t>家居</t>
        </is>
      </c>
      <c r="J10" s="18" t="inlineStr">
        <is>
          <t>KOC</t>
        </is>
      </c>
      <c r="K10" s="18" t="n">
        <v>11</v>
      </c>
      <c r="L10" s="18" t="n">
        <v>13000</v>
      </c>
      <c r="M10" s="18">
        <f>Q10*1.05</f>
        <v/>
      </c>
      <c r="N10" s="20">
        <f>Q10/(S10+T10++U10)</f>
        <v/>
      </c>
      <c r="O10" s="18" t="inlineStr">
        <is>
          <t>图文</t>
        </is>
      </c>
      <c r="P10" s="21" t="n">
        <v>0.8</v>
      </c>
      <c r="Q10" s="18" t="n">
        <v>1775</v>
      </c>
      <c r="R10" s="20">
        <f>Q10/L10*1000</f>
        <v/>
      </c>
      <c r="S10" s="18" t="n">
        <v>296</v>
      </c>
      <c r="T10" s="18" t="n">
        <v>4</v>
      </c>
      <c r="U10" s="18" t="n">
        <v>11</v>
      </c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</row>
    <row r="11">
      <c r="A11" s="17" t="n">
        <v>46085</v>
      </c>
      <c r="B11" s="18" t="n"/>
      <c r="C11" s="18" t="n"/>
      <c r="D11" s="18" t="inlineStr">
        <is>
          <t>品牌</t>
        </is>
      </c>
      <c r="E11" s="18" t="inlineStr">
        <is>
          <t>捌月</t>
        </is>
      </c>
      <c r="F11" s="19" t="inlineStr">
        <is>
          <t>https://www.xingtu.cn/ad/creator/author-homepage/douyin-video/7404774924474122291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1" s="19" t="inlineStr">
        <is>
          <t>https://www.douyin.com/user/MS4wLjABAAAAc_SXDTOduipqZ3aNDBZngNu3QPaNkHmUawEjaaFOxQcFZ8-N-_5WW1ukTm13xJEZ</t>
        </is>
      </c>
      <c r="H11" s="18" t="inlineStr">
        <is>
          <t>bayue89812</t>
        </is>
      </c>
      <c r="I11" s="18" t="inlineStr">
        <is>
          <t>家居</t>
        </is>
      </c>
      <c r="J11" s="18" t="inlineStr">
        <is>
          <t>KOC</t>
        </is>
      </c>
      <c r="K11" s="18" t="n">
        <v>2</v>
      </c>
      <c r="L11" s="18" t="n">
        <v>26000</v>
      </c>
      <c r="M11" s="18">
        <f>Q11*1.05</f>
        <v/>
      </c>
      <c r="N11" s="20">
        <f>Q11/(S11+T11++U11)</f>
        <v/>
      </c>
      <c r="O11" s="18" t="inlineStr">
        <is>
          <t>图文</t>
        </is>
      </c>
      <c r="P11" s="21" t="n">
        <v>0.65</v>
      </c>
      <c r="Q11" s="18" t="n">
        <v>1500</v>
      </c>
      <c r="R11" s="20">
        <f>Q11/L11*1000</f>
        <v/>
      </c>
      <c r="S11" s="18" t="n">
        <v>441</v>
      </c>
      <c r="T11" s="18" t="n">
        <v>21</v>
      </c>
      <c r="U11" s="18" t="n">
        <v>60</v>
      </c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</row>
    <row r="12">
      <c r="A12" s="17" t="n">
        <v>46085</v>
      </c>
      <c r="B12" s="18" t="n"/>
      <c r="C12" s="18" t="n"/>
      <c r="D12" s="18" t="inlineStr">
        <is>
          <t>品牌</t>
        </is>
      </c>
      <c r="E12" s="18" t="inlineStr">
        <is>
          <t>盐味奶糖</t>
        </is>
      </c>
      <c r="F12" s="19" t="inlineStr">
        <is>
          <t>https://www.xingtu.cn/ad/creator/author-homepage/douyin-video/7385144812976111657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2" s="19" t="inlineStr">
        <is>
          <t>https://www.douyin.com/user/MS4wLjABAAAADhIAM2uqn4fhh5cx9sNzuMLtzYfAQP1zhKL_t3Qj9eA</t>
        </is>
      </c>
      <c r="H12" s="18" t="inlineStr">
        <is>
          <t>xiaonaitang20I</t>
        </is>
      </c>
      <c r="I12" s="18" t="inlineStr">
        <is>
          <t>家居</t>
        </is>
      </c>
      <c r="J12" s="18" t="inlineStr">
        <is>
          <t>KOC</t>
        </is>
      </c>
      <c r="K12" s="18" t="n">
        <v>2.8</v>
      </c>
      <c r="L12" s="18" t="n">
        <v>35000</v>
      </c>
      <c r="M12" s="18">
        <f>Q12*1.05</f>
        <v/>
      </c>
      <c r="N12" s="20">
        <f>Q12/(S12+T12++U12)</f>
        <v/>
      </c>
      <c r="O12" s="18" t="inlineStr">
        <is>
          <t>图文</t>
        </is>
      </c>
      <c r="P12" s="21" t="n">
        <v>0.68</v>
      </c>
      <c r="Q12" s="18" t="n">
        <v>1500</v>
      </c>
      <c r="R12" s="20">
        <f>Q12/L12*1000</f>
        <v/>
      </c>
      <c r="S12" s="18" t="n">
        <v>770</v>
      </c>
      <c r="T12" s="18" t="n">
        <v>25</v>
      </c>
      <c r="U12" s="18" t="n">
        <v>89</v>
      </c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</row>
    <row r="13">
      <c r="A13" s="17" t="n">
        <v>46085</v>
      </c>
      <c r="B13" s="18" t="n"/>
      <c r="C13" s="18" t="n"/>
      <c r="D13" s="18" t="inlineStr">
        <is>
          <t>品牌</t>
        </is>
      </c>
      <c r="E13" s="18" t="inlineStr">
        <is>
          <t>🏠乔乔的家</t>
        </is>
      </c>
      <c r="F13" s="19" t="inlineStr">
        <is>
          <t>https://www.xingtu.cn/ad/creator/author-homepage/douyin-video/7498168129944567834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3" s="19" t="inlineStr">
        <is>
          <t>https://www.douyin.com/user/MS4wLjABAAAAOE683W8ZiFNnRj1CxaWlgn7vDyo0BiqhNMHsIDPCwx3hG7Xr6Q65oOOMdul126um</t>
        </is>
      </c>
      <c r="H13" s="18" t="n">
        <v>23381894937</v>
      </c>
      <c r="I13" s="18" t="inlineStr">
        <is>
          <t>家居</t>
        </is>
      </c>
      <c r="J13" s="18" t="inlineStr">
        <is>
          <t>KOC</t>
        </is>
      </c>
      <c r="K13" s="18" t="n">
        <v>2.6</v>
      </c>
      <c r="L13" s="18" t="n">
        <v>13000</v>
      </c>
      <c r="M13" s="18">
        <f>Q13*1.05</f>
        <v/>
      </c>
      <c r="N13" s="20">
        <f>Q13/(S13+T13++U13)</f>
        <v/>
      </c>
      <c r="O13" s="18" t="inlineStr">
        <is>
          <t>图文</t>
        </is>
      </c>
      <c r="P13" s="21" t="n">
        <v>0.6</v>
      </c>
      <c r="Q13" s="18" t="n">
        <v>1200</v>
      </c>
      <c r="R13" s="20">
        <f>Q13/L13*1000</f>
        <v/>
      </c>
      <c r="S13" s="18" t="n">
        <v>101</v>
      </c>
      <c r="T13" s="18" t="n">
        <v>6</v>
      </c>
      <c r="U13" s="18" t="n">
        <v>16</v>
      </c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</row>
    <row r="14">
      <c r="A14" s="17" t="n">
        <v>46085</v>
      </c>
      <c r="B14" s="18" t="n"/>
      <c r="C14" s="18" t="n"/>
      <c r="D14" s="18" t="inlineStr">
        <is>
          <t>品牌</t>
        </is>
      </c>
      <c r="E14" s="18" t="inlineStr">
        <is>
          <t>王旭旭</t>
        </is>
      </c>
      <c r="F14" s="19" t="inlineStr">
        <is>
          <t>https://www.xingtu.cn/ad/creator/author-homepage/douyin-video/7439773940446134299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4" s="19" t="inlineStr">
        <is>
          <t>https://www.douyin.com/user/MS4wLjABAAAAvmHAQMY7a7xq2Hykm3oYmbXhw4Z-LpF6j1Luq1l6RnTIyn2X5UIC0NL6aW-J919e</t>
        </is>
      </c>
      <c r="H14" s="18" t="n">
        <v>61089170558</v>
      </c>
      <c r="I14" s="18" t="inlineStr">
        <is>
          <t>家居</t>
        </is>
      </c>
      <c r="J14" s="18" t="inlineStr">
        <is>
          <t>KOC</t>
        </is>
      </c>
      <c r="K14" s="18" t="n">
        <v>1.6</v>
      </c>
      <c r="L14" s="18" t="n">
        <v>27000</v>
      </c>
      <c r="M14" s="18">
        <f>Q14*1.05</f>
        <v/>
      </c>
      <c r="N14" s="20">
        <f>Q14/(S14+T14++U14)</f>
        <v/>
      </c>
      <c r="O14" s="18" t="inlineStr">
        <is>
          <t>图文</t>
        </is>
      </c>
      <c r="P14" s="21" t="n">
        <v>0.75</v>
      </c>
      <c r="Q14" s="18" t="n">
        <v>800</v>
      </c>
      <c r="R14" s="20">
        <f>Q14/L14*1000</f>
        <v/>
      </c>
      <c r="S14" s="18" t="n">
        <v>433</v>
      </c>
      <c r="T14" s="18" t="n">
        <v>21</v>
      </c>
      <c r="U14" s="18" t="n">
        <v>55</v>
      </c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</row>
    <row r="15">
      <c r="A15" s="17" t="n">
        <v>46085</v>
      </c>
      <c r="B15" s="18" t="n"/>
      <c r="C15" s="18" t="n"/>
      <c r="D15" s="18" t="inlineStr">
        <is>
          <t>品牌</t>
        </is>
      </c>
      <c r="E15" s="18" t="inlineStr">
        <is>
          <t>是曼曼呀🥳</t>
        </is>
      </c>
      <c r="F15" s="19" t="inlineStr">
        <is>
          <t>https://www.xingtu.cn/ad/creator/author-homepage/douyin-video/6881199830161424399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5" s="19" t="inlineStr">
        <is>
          <t>https://www.douyin.com/user/MS4wLjABAAAAYDyfBw_JyvKKlBGL0icbrNhz8iAA-S_c10xzr8tno6c</t>
        </is>
      </c>
      <c r="H15" s="18" t="inlineStr">
        <is>
          <t>920CYTI</t>
        </is>
      </c>
      <c r="I15" s="18" t="inlineStr">
        <is>
          <t>家居</t>
        </is>
      </c>
      <c r="J15" s="18" t="inlineStr">
        <is>
          <t>KOC</t>
        </is>
      </c>
      <c r="K15" s="18" t="n">
        <v>3.2</v>
      </c>
      <c r="L15" s="18" t="n">
        <v>17000</v>
      </c>
      <c r="M15" s="18">
        <f>Q15*1.05</f>
        <v/>
      </c>
      <c r="N15" s="20">
        <f>Q15/(S15+T15++U15)</f>
        <v/>
      </c>
      <c r="O15" s="18" t="inlineStr">
        <is>
          <t>图文</t>
        </is>
      </c>
      <c r="P15" s="21" t="n">
        <v>0.73</v>
      </c>
      <c r="Q15" s="18" t="n">
        <v>1200</v>
      </c>
      <c r="R15" s="20">
        <f>Q15/L15*1000</f>
        <v/>
      </c>
      <c r="S15" s="18" t="n">
        <v>325</v>
      </c>
      <c r="T15" s="18" t="n">
        <v>12</v>
      </c>
      <c r="U15" s="18" t="n">
        <v>11</v>
      </c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</row>
    <row r="16">
      <c r="A16" s="17" t="n">
        <v>46085</v>
      </c>
      <c r="B16" s="18" t="n"/>
      <c r="C16" s="18" t="n"/>
      <c r="D16" s="18" t="inlineStr">
        <is>
          <t>品牌</t>
        </is>
      </c>
      <c r="E16" s="18" t="inlineStr">
        <is>
          <t>往小猫</t>
        </is>
      </c>
      <c r="F16" s="19" t="inlineStr">
        <is>
          <t>https://www.xingtu.cn/ad/creator/author-homepage/douyin-video/7162041987355377668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6" s="19" t="inlineStr">
        <is>
          <t>https://www.douyin.com/user/MS4wLjABAAAAQ7Qe0L5_m3JT44vhjIj3DK7PTRRW0Th1gitdvDmjiaRzhUZzKxHqzYADXlUOzr7l</t>
        </is>
      </c>
      <c r="H16" s="18" t="n">
        <v>70035461773</v>
      </c>
      <c r="I16" s="18" t="inlineStr">
        <is>
          <t>家居</t>
        </is>
      </c>
      <c r="J16" s="18" t="inlineStr">
        <is>
          <t>KOC</t>
        </is>
      </c>
      <c r="K16" s="18" t="n">
        <v>4.5</v>
      </c>
      <c r="L16" s="18" t="n">
        <v>37000</v>
      </c>
      <c r="M16" s="18">
        <f>Q16*1.05</f>
        <v/>
      </c>
      <c r="N16" s="20">
        <f>Q16/(S16+T16++U16)</f>
        <v/>
      </c>
      <c r="O16" s="18" t="inlineStr">
        <is>
          <t>图文</t>
        </is>
      </c>
      <c r="P16" s="21" t="n">
        <v>0.7</v>
      </c>
      <c r="Q16" s="18" t="n">
        <v>2000</v>
      </c>
      <c r="R16" s="20">
        <f>Q16/L16*1000</f>
        <v/>
      </c>
      <c r="S16" s="18" t="n">
        <v>1600</v>
      </c>
      <c r="T16" s="18" t="n">
        <v>242</v>
      </c>
      <c r="U16" s="18" t="n">
        <v>268</v>
      </c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</row>
    <row r="17">
      <c r="A17" s="17" t="n">
        <v>46085</v>
      </c>
      <c r="B17" s="18" t="n"/>
      <c r="C17" s="18" t="n"/>
      <c r="D17" s="18" t="inlineStr">
        <is>
          <t>品牌</t>
        </is>
      </c>
      <c r="E17" s="18" t="inlineStr">
        <is>
          <t>苏苏的复古家</t>
        </is>
      </c>
      <c r="F17" s="19" t="inlineStr">
        <is>
          <t>https://www.xingtu.cn/ad/creator/author-homepage/douyin-video/7193936024114823179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7" s="19" t="inlineStr">
        <is>
          <t>https://www.douyin.com/user/MS4wLjABAAAAhuahst49K4_hybFvf785ZpHYYKIFgNEk-ZjAWAQI0ijw0skMlNAujRZqvqDOhaCX</t>
        </is>
      </c>
      <c r="H17" s="18" t="inlineStr">
        <is>
          <t>susujiedan</t>
        </is>
      </c>
      <c r="I17" s="18" t="inlineStr">
        <is>
          <t>家居</t>
        </is>
      </c>
      <c r="J17" s="18" t="inlineStr">
        <is>
          <t>KOC</t>
        </is>
      </c>
      <c r="K17" s="18" t="n">
        <v>4.6</v>
      </c>
      <c r="L17" s="18" t="n">
        <v>98000</v>
      </c>
      <c r="M17" s="18">
        <f>Q17*1.05</f>
        <v/>
      </c>
      <c r="N17" s="20">
        <f>Q17/(S17+T17++U17)</f>
        <v/>
      </c>
      <c r="O17" s="18" t="inlineStr">
        <is>
          <t>图文</t>
        </is>
      </c>
      <c r="P17" s="21" t="n">
        <v>0.6</v>
      </c>
      <c r="Q17" s="18" t="n">
        <v>2500</v>
      </c>
      <c r="R17" s="20">
        <f>Q17/L17*1000</f>
        <v/>
      </c>
      <c r="S17" s="18" t="n">
        <v>744</v>
      </c>
      <c r="T17" s="18" t="n">
        <v>86</v>
      </c>
      <c r="U17" s="18" t="n">
        <v>59</v>
      </c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</row>
    <row r="18">
      <c r="A18" s="17" t="n">
        <v>46085</v>
      </c>
      <c r="B18" s="18" t="n"/>
      <c r="C18" s="18" t="n"/>
      <c r="D18" s="18" t="inlineStr">
        <is>
          <t>品牌</t>
        </is>
      </c>
      <c r="E18" s="18" t="inlineStr">
        <is>
          <t>设计狮de太太</t>
        </is>
      </c>
      <c r="F18" s="19" t="inlineStr">
        <is>
          <t>https://www.xingtu.cn/ad/creator/author-homepage/douyin-video/7078261196956106765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8" s="19" t="inlineStr">
        <is>
          <t>https://www.douyin.com/user/MS4wLjABAAAAko-P9kXBMiCybVkdc2VH5e_MqHPMbMiEpyck80o-ths</t>
        </is>
      </c>
      <c r="H18" s="18" t="inlineStr">
        <is>
          <t>mslioness007</t>
        </is>
      </c>
      <c r="I18" s="18" t="inlineStr">
        <is>
          <t>家居</t>
        </is>
      </c>
      <c r="J18" s="18" t="inlineStr">
        <is>
          <t>KOC</t>
        </is>
      </c>
      <c r="K18" s="18" t="n">
        <v>6.3</v>
      </c>
      <c r="L18" s="18" t="n">
        <v>13000</v>
      </c>
      <c r="M18" s="18">
        <f>Q18*1.05</f>
        <v/>
      </c>
      <c r="N18" s="20">
        <f>Q18/(S18+T18++U18)</f>
        <v/>
      </c>
      <c r="O18" s="18" t="inlineStr">
        <is>
          <t>图文</t>
        </is>
      </c>
      <c r="P18" s="21" t="n">
        <v>0.7</v>
      </c>
      <c r="Q18" s="18" t="n">
        <v>1425</v>
      </c>
      <c r="R18" s="20">
        <f>Q18/L18*1000</f>
        <v/>
      </c>
      <c r="S18" s="18" t="n">
        <v>297</v>
      </c>
      <c r="T18" s="18" t="n">
        <v>15</v>
      </c>
      <c r="U18" s="18" t="n">
        <v>34</v>
      </c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</row>
    <row r="19">
      <c r="A19" s="17" t="n">
        <v>46085</v>
      </c>
      <c r="B19" s="18" t="n"/>
      <c r="C19" s="18" t="n"/>
      <c r="D19" s="18" t="inlineStr">
        <is>
          <t>品牌</t>
        </is>
      </c>
      <c r="E19" s="18" t="inlineStr">
        <is>
          <t>沫沫同学🏠</t>
        </is>
      </c>
      <c r="F19" s="19" t="inlineStr">
        <is>
          <t>https://www.xingtu.cn/ad/creator/author-homepage/douyin-video/7299848328433369115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19" s="19" t="inlineStr">
        <is>
          <t>https://www.douyin.com/user/MS4wLjABAAAA-Z4GRWwT849JhKV_2gkiYLu_TpbZ7XHTXNjMj0SEXJE</t>
        </is>
      </c>
      <c r="H19" s="18" t="inlineStr">
        <is>
          <t>May1993012</t>
        </is>
      </c>
      <c r="I19" s="18" t="inlineStr">
        <is>
          <t>家居</t>
        </is>
      </c>
      <c r="J19" s="18" t="inlineStr">
        <is>
          <t>KOC</t>
        </is>
      </c>
      <c r="K19" s="18" t="n">
        <v>6.6</v>
      </c>
      <c r="L19" s="18" t="n">
        <v>19000</v>
      </c>
      <c r="M19" s="18">
        <f>Q19*1.05</f>
        <v/>
      </c>
      <c r="N19" s="20">
        <f>Q19/(S19+T19++U19)</f>
        <v/>
      </c>
      <c r="O19" s="18" t="inlineStr">
        <is>
          <t>图文</t>
        </is>
      </c>
      <c r="P19" s="21" t="n">
        <v>0.77</v>
      </c>
      <c r="Q19" s="18" t="n">
        <v>1500</v>
      </c>
      <c r="R19" s="20">
        <f>Q19/L19*1000</f>
        <v/>
      </c>
      <c r="S19" s="18" t="n">
        <v>318</v>
      </c>
      <c r="T19" s="18" t="n">
        <v>21</v>
      </c>
      <c r="U19" s="18" t="n">
        <v>57</v>
      </c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</row>
    <row r="20">
      <c r="A20" s="17" t="n">
        <v>46085</v>
      </c>
      <c r="B20" s="18" t="n"/>
      <c r="C20" s="18" t="n"/>
      <c r="D20" s="18" t="inlineStr">
        <is>
          <t>品牌</t>
        </is>
      </c>
      <c r="E20" s="18" t="inlineStr">
        <is>
          <t>超级小包子</t>
        </is>
      </c>
      <c r="F20" s="19" t="inlineStr">
        <is>
          <t>https://www.xingtu.cn/ad/creator/author-homepage/douyin-video/7110252799065079839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20" s="19" t="inlineStr">
        <is>
          <t>https://www.douyin.com/user/MS4wLjABAAAAL9La_SSqpddVHybjls_uLUZHgQRbT4Wm1m8YGYU2cZfkAMNMt2g2BIIKihG4NAHl</t>
        </is>
      </c>
      <c r="H20" s="18" t="inlineStr">
        <is>
          <t>99xiaobaozi99</t>
        </is>
      </c>
      <c r="I20" s="18" t="inlineStr">
        <is>
          <t>家居</t>
        </is>
      </c>
      <c r="J20" s="18" t="inlineStr">
        <is>
          <t>KOC</t>
        </is>
      </c>
      <c r="K20" s="18" t="n">
        <v>3.7</v>
      </c>
      <c r="L20" s="18" t="n">
        <v>19000</v>
      </c>
      <c r="M20" s="18">
        <f>Q20*1.05</f>
        <v/>
      </c>
      <c r="N20" s="20">
        <f>Q20/(S20+T20++U20)</f>
        <v/>
      </c>
      <c r="O20" s="18" t="inlineStr">
        <is>
          <t>图文</t>
        </is>
      </c>
      <c r="P20" s="21" t="n">
        <v>0.5600000000000001</v>
      </c>
      <c r="Q20" s="18" t="n">
        <v>1500</v>
      </c>
      <c r="R20" s="20">
        <f>Q20/L20*1000</f>
        <v/>
      </c>
      <c r="S20" s="18" t="n">
        <v>361</v>
      </c>
      <c r="T20" s="18" t="n">
        <v>9</v>
      </c>
      <c r="U20" s="18" t="n">
        <v>10</v>
      </c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</row>
    <row r="21">
      <c r="A21" s="17" t="n">
        <v>46085</v>
      </c>
      <c r="B21" s="18" t="n"/>
      <c r="C21" s="18" t="n"/>
      <c r="D21" s="18" t="inlineStr">
        <is>
          <t>品牌</t>
        </is>
      </c>
      <c r="E21" s="18" t="inlineStr">
        <is>
          <t>小丸子家</t>
        </is>
      </c>
      <c r="F21" s="19" t="inlineStr">
        <is>
          <t>https://www.xingtu.cn/ad/creator/author-homepage/douyin-video/7424780322694234163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    </is>
      </c>
      <c r="G21" s="19" t="inlineStr">
        <is>
          <t>https://www.douyin.com/user/MS4wLjABAAAAtK1tB77O8hiy699eOfcz_cc00hFIncZIpdbSS_IMlg8TF_QnGh5lzTv5PyzHBzCh</t>
        </is>
      </c>
      <c r="H21" s="18" t="n">
        <v>90187801569</v>
      </c>
      <c r="I21" s="18" t="inlineStr">
        <is>
          <t>家居</t>
        </is>
      </c>
      <c r="J21" s="18" t="inlineStr">
        <is>
          <t>KOC</t>
        </is>
      </c>
      <c r="K21" s="18" t="n">
        <v>3.1</v>
      </c>
      <c r="L21" s="18" t="n">
        <v>30000</v>
      </c>
      <c r="M21" s="18">
        <f>Q21*1.05</f>
        <v/>
      </c>
      <c r="N21" s="20">
        <f>Q21/(S21+T21++U21)</f>
        <v/>
      </c>
      <c r="O21" s="18" t="inlineStr">
        <is>
          <t>图文</t>
        </is>
      </c>
      <c r="P21" s="21" t="n">
        <v>0.5</v>
      </c>
      <c r="Q21" s="18" t="n">
        <v>1500</v>
      </c>
      <c r="R21" s="20">
        <f>Q21/L21*1000</f>
        <v/>
      </c>
      <c r="S21" s="18" t="n">
        <v>336</v>
      </c>
      <c r="T21" s="18" t="n">
        <v>35</v>
      </c>
      <c r="U21" s="18" t="n">
        <v>145</v>
      </c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</row>
    <row r="22">
      <c r="A22" s="17" t="n">
        <v>46086</v>
      </c>
      <c r="B22" s="18" t="n"/>
      <c r="C22" s="18" t="n"/>
      <c r="D22" s="18" t="inlineStr">
        <is>
          <t>电商</t>
        </is>
      </c>
      <c r="E22" s="18" t="inlineStr">
        <is>
          <t>你的太阳🏠</t>
        </is>
      </c>
      <c r="F22" s="19" t="inlineStr">
        <is>
          <t>https://www.xingtu.cn/ad/creator/author-homepage/douyin-video/7260295434747248703?market_track_id=Z7PV5NUQBMDDDSGKUC73&amp;search_session_id=7613724875618074633&amp;video_type=130&amp;_route_from=from_page%3DMarket%26search_session_id%3D7613724875618074633%26is_for_order%3D0%26market_track_id%3DZ7PV5NUQBMDDDSGKUC73%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9fd4f19c-b9e4-45bc-9bb8-c1514528eee6</t>
        </is>
      </c>
      <c r="G22" s="19" t="inlineStr">
        <is>
          <t>https://www.douyin.com/user/MS4wLjABAAAAlmJ8NhVfBUMQ5NjA9ETrwQxzmhhYZFzv-Ar8y9d_RfenKGJBjhQ-bAHFziO94ViT</t>
        </is>
      </c>
      <c r="H22" s="18" t="inlineStr">
        <is>
          <t>ycf888r</t>
        </is>
      </c>
      <c r="I22" s="18" t="inlineStr">
        <is>
          <t>家居</t>
        </is>
      </c>
      <c r="J22" s="18" t="inlineStr">
        <is>
          <t>KOC</t>
        </is>
      </c>
      <c r="K22" s="18" t="n">
        <v>1.8</v>
      </c>
      <c r="L22" s="18" t="n">
        <v>26000</v>
      </c>
      <c r="M22" s="18">
        <f>Q22*1.05</f>
        <v/>
      </c>
      <c r="N22" s="20">
        <f>Q22/(S22+T22++U22)</f>
        <v/>
      </c>
      <c r="O22" s="18" t="inlineStr">
        <is>
          <t>图文</t>
        </is>
      </c>
      <c r="P22" s="21" t="n">
        <v>0.7</v>
      </c>
      <c r="Q22" s="18" t="n">
        <v>500</v>
      </c>
      <c r="R22" s="20">
        <f>Q22/L22*1000</f>
        <v/>
      </c>
      <c r="S22" s="18" t="n">
        <v>257</v>
      </c>
      <c r="T22" s="18" t="n">
        <v>16</v>
      </c>
      <c r="U22" s="18" t="n">
        <v>125</v>
      </c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</row>
    <row r="23">
      <c r="A23" s="17" t="n">
        <v>46086</v>
      </c>
      <c r="B23" s="18" t="n"/>
      <c r="C23" s="18" t="n"/>
      <c r="D23" s="18" t="inlineStr">
        <is>
          <t>电商</t>
        </is>
      </c>
      <c r="E23" s="18" t="inlineStr">
        <is>
          <t>两支小羊</t>
        </is>
      </c>
      <c r="F23" s="19" t="inlineStr">
        <is>
          <t>https://www.xingtu.cn/ad/creator/author-homepage/douyin-video/7367007456200753203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3" s="19" t="inlineStr">
        <is>
          <t>https://www.douyin.com/user/MS4wLjABAAAARXeAjWkcuHR-siTNPJCaI-mx7cvgyPCGcDqE9LhUMTU</t>
        </is>
      </c>
      <c r="H23" s="18" t="inlineStr">
        <is>
          <t>gu0100</t>
        </is>
      </c>
      <c r="I23" s="18" t="inlineStr">
        <is>
          <t>家居</t>
        </is>
      </c>
      <c r="J23" s="18" t="inlineStr">
        <is>
          <t>KOC</t>
        </is>
      </c>
      <c r="K23" s="18" t="n">
        <v>1.9</v>
      </c>
      <c r="L23" s="18" t="n">
        <v>17000</v>
      </c>
      <c r="M23" s="18">
        <f>Q23*1.05</f>
        <v/>
      </c>
      <c r="N23" s="20">
        <f>Q23/(S23+T23++U23)</f>
        <v/>
      </c>
      <c r="O23" s="18" t="inlineStr">
        <is>
          <t>图文</t>
        </is>
      </c>
      <c r="P23" s="21" t="n">
        <v>0.6</v>
      </c>
      <c r="Q23" s="18" t="n">
        <v>2000</v>
      </c>
      <c r="R23" s="20">
        <f>Q23/L23*1000</f>
        <v/>
      </c>
      <c r="S23" s="18" t="n">
        <v>111</v>
      </c>
      <c r="T23" s="18" t="n">
        <v>18</v>
      </c>
      <c r="U23" s="18" t="n">
        <v>7</v>
      </c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</row>
    <row r="24">
      <c r="A24" s="17" t="n">
        <v>46086</v>
      </c>
      <c r="B24" s="18" t="n"/>
      <c r="C24" s="18" t="n"/>
      <c r="D24" s="18" t="inlineStr">
        <is>
          <t>电商</t>
        </is>
      </c>
      <c r="E24" s="18" t="inlineStr">
        <is>
          <t>林喜山</t>
        </is>
      </c>
      <c r="F24" s="19" t="inlineStr">
        <is>
          <t>https://www.xingtu.cn/ad/creator/author-homepage/douyin-video/7261184386643525693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4" s="19" t="inlineStr">
        <is>
          <t>https://www.douyin.com/user/MS4wLjABAAAA6xPsOQTYutn-S4u_-7tF_f0V9aOjOi6_4Ph5dCTrtzk</t>
        </is>
      </c>
      <c r="H24" s="18" t="n">
        <v>1842213919</v>
      </c>
      <c r="I24" s="18" t="inlineStr">
        <is>
          <t>家居</t>
        </is>
      </c>
      <c r="J24" s="18" t="inlineStr">
        <is>
          <t>KOC</t>
        </is>
      </c>
      <c r="K24" s="18" t="n">
        <v>3.2</v>
      </c>
      <c r="L24" s="18" t="n">
        <v>17000</v>
      </c>
      <c r="M24" s="18">
        <f>Q24*1.05</f>
        <v/>
      </c>
      <c r="N24" s="20">
        <f>Q24/(S24+T24++U24)</f>
        <v/>
      </c>
      <c r="O24" s="18" t="inlineStr">
        <is>
          <t>图文</t>
        </is>
      </c>
      <c r="P24" s="21" t="n">
        <v>0.5600000000000001</v>
      </c>
      <c r="Q24" s="18" t="n">
        <v>2000</v>
      </c>
      <c r="R24" s="20">
        <f>Q24/L24*1000</f>
        <v/>
      </c>
      <c r="S24" s="18" t="n">
        <v>501</v>
      </c>
      <c r="T24" s="18" t="n">
        <v>29</v>
      </c>
      <c r="U24" s="18" t="n">
        <v>48</v>
      </c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</row>
    <row r="25">
      <c r="A25" s="17" t="n">
        <v>46086</v>
      </c>
      <c r="B25" s="18" t="n"/>
      <c r="C25" s="18" t="n"/>
      <c r="D25" s="18" t="inlineStr">
        <is>
          <t>电商</t>
        </is>
      </c>
      <c r="E25" s="18" t="inlineStr">
        <is>
          <t xml:space="preserve">
搞机圈泥石流</t>
        </is>
      </c>
      <c r="F25" s="19" t="inlineStr">
        <is>
          <t>https://www.xingtu.cn/ad/creator/author-homepage/douyin-video/6805089638051479559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5" s="19" t="inlineStr">
        <is>
          <t>https://www.douyin.com/user/MS4wLjABAAAAgpkcoJJYK_bl6CTXAi98Bu-hEBgWgXSdn2KGbCAZIAI</t>
        </is>
      </c>
      <c r="H25" s="18" t="n">
        <v>390153935</v>
      </c>
      <c r="I25" s="18" t="inlineStr">
        <is>
          <t>家居</t>
        </is>
      </c>
      <c r="J25" s="18" t="inlineStr">
        <is>
          <t>KOC</t>
        </is>
      </c>
      <c r="K25" s="18" t="n">
        <v>10.6</v>
      </c>
      <c r="L25" s="18" t="n">
        <v>21000</v>
      </c>
      <c r="M25" s="18">
        <f>Q25*1.05</f>
        <v/>
      </c>
      <c r="N25" s="20">
        <f>Q25/(S25+T25++U25)</f>
        <v/>
      </c>
      <c r="O25" s="18" t="inlineStr">
        <is>
          <t>图文</t>
        </is>
      </c>
      <c r="P25" s="21" t="n">
        <v>0.26</v>
      </c>
      <c r="Q25" s="18" t="n">
        <v>2000</v>
      </c>
      <c r="R25" s="20">
        <f>Q25/L25*1000</f>
        <v/>
      </c>
      <c r="S25" s="18" t="n">
        <v>281</v>
      </c>
      <c r="T25" s="18" t="n">
        <v>20</v>
      </c>
      <c r="U25" s="18" t="n">
        <v>6</v>
      </c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</row>
    <row r="26">
      <c r="A26" s="17" t="n">
        <v>46086</v>
      </c>
      <c r="B26" s="18" t="n"/>
      <c r="C26" s="18" t="n"/>
      <c r="D26" s="18" t="inlineStr">
        <is>
          <t>电商</t>
        </is>
      </c>
      <c r="E26" s="18" t="inlineStr">
        <is>
          <t>刘饱饱</t>
        </is>
      </c>
      <c r="F26" s="19" t="inlineStr">
        <is>
          <t>https://www.xingtu.cn/ad/creator/author-homepage/douyin-video/6992217327169175588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6" s="19" t="inlineStr">
        <is>
          <t>https://www.douyin.com/user/MS4wLjABAAAACLJQvV56FDo2kvrEJc_A065vOx6zE17kCRzvQwlF2MM</t>
        </is>
      </c>
      <c r="H26" s="18" t="inlineStr">
        <is>
          <t>Liubaobao606</t>
        </is>
      </c>
      <c r="I26" s="18" t="inlineStr">
        <is>
          <t>家居</t>
        </is>
      </c>
      <c r="J26" s="18" t="inlineStr">
        <is>
          <t>KOC</t>
        </is>
      </c>
      <c r="K26" s="18" t="n">
        <v>6.9</v>
      </c>
      <c r="L26" s="18" t="n">
        <v>12000</v>
      </c>
      <c r="M26" s="18">
        <f>Q26*1.05</f>
        <v/>
      </c>
      <c r="N26" s="20">
        <f>Q26/(S26+T26++U26)</f>
        <v/>
      </c>
      <c r="O26" s="18" t="inlineStr">
        <is>
          <t>图文</t>
        </is>
      </c>
      <c r="P26" s="21" t="n">
        <v>0.45</v>
      </c>
      <c r="Q26" s="18" t="n">
        <v>2000</v>
      </c>
      <c r="R26" s="20">
        <f>Q26/L26*1000</f>
        <v/>
      </c>
      <c r="S26" s="18" t="n">
        <v>554</v>
      </c>
      <c r="T26" s="18" t="n">
        <v>44</v>
      </c>
      <c r="U26" s="18" t="n">
        <v>36</v>
      </c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</row>
    <row r="27">
      <c r="A27" s="17" t="n">
        <v>46086</v>
      </c>
      <c r="B27" s="18" t="n"/>
      <c r="C27" s="18" t="n"/>
      <c r="D27" s="18" t="inlineStr">
        <is>
          <t>电商</t>
        </is>
      </c>
      <c r="E27" s="18" t="inlineStr">
        <is>
          <t>QQ的精简生活</t>
        </is>
      </c>
      <c r="F27" s="19" t="inlineStr">
        <is>
          <t>https://www.xingtu.cn/ad/creator/author-homepage/douyin-video/7487126926209843251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7" s="19" t="inlineStr">
        <is>
          <t>https://www.douyin.com/user/MS4wLjABAAAA1FG_gsrln8cNGdANCAneJlqOspg11_zgVkqjUVAwK1I</t>
        </is>
      </c>
      <c r="H27" s="18" t="inlineStr">
        <is>
          <t>QQdjjsh</t>
        </is>
      </c>
      <c r="I27" s="18" t="inlineStr">
        <is>
          <t>家居</t>
        </is>
      </c>
      <c r="J27" s="18" t="inlineStr">
        <is>
          <t>KOC</t>
        </is>
      </c>
      <c r="K27" s="18" t="n">
        <v>4.7</v>
      </c>
      <c r="L27" s="18" t="n">
        <v>59000</v>
      </c>
      <c r="M27" s="18">
        <f>Q27*1.05</f>
        <v/>
      </c>
      <c r="N27" s="20">
        <f>Q27/(S27+T27++U27)</f>
        <v/>
      </c>
      <c r="O27" s="18" t="inlineStr">
        <is>
          <t>图文</t>
        </is>
      </c>
      <c r="P27" s="21" t="n">
        <v>0.7</v>
      </c>
      <c r="Q27" s="18" t="n">
        <v>2000</v>
      </c>
      <c r="R27" s="20">
        <f>Q27/L27*1000</f>
        <v/>
      </c>
      <c r="S27" s="18" t="n">
        <v>959</v>
      </c>
      <c r="T27" s="18" t="n">
        <v>199</v>
      </c>
      <c r="U27" s="18" t="n">
        <v>51</v>
      </c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</row>
    <row r="28">
      <c r="A28" s="17" t="n">
        <v>46086</v>
      </c>
      <c r="B28" s="18" t="n"/>
      <c r="C28" s="18" t="n"/>
      <c r="D28" s="18" t="inlineStr">
        <is>
          <t>电商</t>
        </is>
      </c>
      <c r="E28" s="18" t="inlineStr">
        <is>
          <t xml:space="preserve">
Y7🎃</t>
        </is>
      </c>
      <c r="F28" s="19" t="inlineStr">
        <is>
          <t>https://www.xingtu.cn/ad/creator/author-homepage/douyin-video/7262605435608236069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8" s="19" t="inlineStr">
        <is>
          <t>https://www.douyin.com/user/MS4wLjABAAAAi1Q0Xffb80aamxebhnHZs3hrJZrRf8aYk-xZ7L825sAvfUxwM802KrrsnHk0fgCR</t>
        </is>
      </c>
      <c r="H28" s="18" t="n">
        <v>47929266307</v>
      </c>
      <c r="I28" s="18" t="inlineStr">
        <is>
          <t>家居</t>
        </is>
      </c>
      <c r="J28" s="18" t="inlineStr">
        <is>
          <t>KOC</t>
        </is>
      </c>
      <c r="K28" s="18" t="n">
        <v>1.5</v>
      </c>
      <c r="L28" s="18" t="n">
        <v>15000</v>
      </c>
      <c r="M28" s="18">
        <f>Q28*1.05</f>
        <v/>
      </c>
      <c r="N28" s="20">
        <f>Q28/(S28+T28++U28)</f>
        <v/>
      </c>
      <c r="O28" s="18" t="inlineStr">
        <is>
          <t>图文</t>
        </is>
      </c>
      <c r="P28" s="21" t="n">
        <v>0.65</v>
      </c>
      <c r="Q28" s="18" t="n">
        <v>2000</v>
      </c>
      <c r="R28" s="20">
        <f>Q28/L28*1000</f>
        <v/>
      </c>
      <c r="S28" s="18" t="n">
        <v>140</v>
      </c>
      <c r="T28" s="18" t="n">
        <v>11</v>
      </c>
      <c r="U28" s="18" t="n">
        <v>56</v>
      </c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</row>
    <row r="29">
      <c r="A29" s="17" t="n">
        <v>46086</v>
      </c>
      <c r="B29" s="18" t="n"/>
      <c r="C29" s="18" t="n"/>
      <c r="D29" s="18" t="inlineStr">
        <is>
          <t>电商</t>
        </is>
      </c>
      <c r="E29" s="18" t="inlineStr">
        <is>
          <t>泡芙的窝🏠</t>
        </is>
      </c>
      <c r="F29" s="19" t="inlineStr">
        <is>
          <t>https://www.xingtu.cn/ad/creator/author-homepage/douyin-video/7146601465803440135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29" s="19" t="inlineStr">
        <is>
          <t>https://www.douyin.com/user/MS4wLjABAAAAGfxHn9TbIUxyhx9QlK_ACmYhvj_B_YhVvUazVXWSnPziTNuabNcN_Qds_DQoj7Bl</t>
        </is>
      </c>
      <c r="H29" s="18" t="n">
        <v>75877183531</v>
      </c>
      <c r="I29" s="18" t="inlineStr">
        <is>
          <t>家居</t>
        </is>
      </c>
      <c r="J29" s="18" t="inlineStr">
        <is>
          <t>KOC</t>
        </is>
      </c>
      <c r="K29" s="18" t="n">
        <v>2.5</v>
      </c>
      <c r="L29" s="18" t="n">
        <v>34000</v>
      </c>
      <c r="M29" s="18">
        <f>Q29*1.05</f>
        <v/>
      </c>
      <c r="N29" s="20">
        <f>Q29/(S29+T29++U29)</f>
        <v/>
      </c>
      <c r="O29" s="18" t="inlineStr">
        <is>
          <t>图文</t>
        </is>
      </c>
      <c r="P29" s="21" t="n">
        <v>0.82</v>
      </c>
      <c r="Q29" s="18" t="n">
        <v>2000</v>
      </c>
      <c r="R29" s="20">
        <f>Q29/L29*1000</f>
        <v/>
      </c>
      <c r="S29" s="18" t="n">
        <v>371</v>
      </c>
      <c r="T29" s="18" t="n">
        <v>21</v>
      </c>
      <c r="U29" s="18" t="n">
        <v>53</v>
      </c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</row>
    <row r="30">
      <c r="A30" s="17" t="n">
        <v>46086</v>
      </c>
      <c r="B30" s="18" t="n"/>
      <c r="C30" s="18" t="n"/>
      <c r="D30" s="18" t="inlineStr">
        <is>
          <t>电商</t>
        </is>
      </c>
      <c r="E30" s="18" t="inlineStr">
        <is>
          <t>小z的家</t>
        </is>
      </c>
      <c r="F30" s="19" t="inlineStr">
        <is>
          <t>https://www.xingtu.cn/ad/creator/author-homepage/douyin-video/7367628839939227685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30" s="19" t="inlineStr">
        <is>
          <t>https://www.douyin.com/user/MS4wLjABAAAAl7UkQFaVX2UAw0IVi726y4QPL9bPTUA-2A-yVnCZQ4DG1rBfGGCqyBEXsUHTm5rS</t>
        </is>
      </c>
      <c r="H30" s="18" t="n">
        <v>74510312913</v>
      </c>
      <c r="I30" s="18" t="inlineStr">
        <is>
          <t>家居</t>
        </is>
      </c>
      <c r="J30" s="18" t="inlineStr">
        <is>
          <t>KOC</t>
        </is>
      </c>
      <c r="K30" s="18" t="n">
        <v>13.2</v>
      </c>
      <c r="L30" s="18" t="n">
        <v>42000</v>
      </c>
      <c r="M30" s="18">
        <f>Q30*1.05</f>
        <v/>
      </c>
      <c r="N30" s="20">
        <f>Q30/(S30+T30++U30)</f>
        <v/>
      </c>
      <c r="O30" s="18" t="inlineStr">
        <is>
          <t>图文</t>
        </is>
      </c>
      <c r="P30" s="21" t="n">
        <v>0.6</v>
      </c>
      <c r="Q30" s="18" t="n">
        <v>2150</v>
      </c>
      <c r="R30" s="20">
        <f>Q30/L30*1000</f>
        <v/>
      </c>
      <c r="S30" s="18" t="n">
        <v>616</v>
      </c>
      <c r="T30" s="18" t="n">
        <v>34</v>
      </c>
      <c r="U30" s="18" t="n">
        <v>22</v>
      </c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</row>
    <row r="31">
      <c r="A31" s="17" t="n">
        <v>46086</v>
      </c>
      <c r="B31" s="18" t="n"/>
      <c r="C31" s="18" t="n"/>
      <c r="D31" s="18" t="inlineStr">
        <is>
          <t>电商</t>
        </is>
      </c>
      <c r="E31" s="18" t="inlineStr">
        <is>
          <t>耀耀耀耀哥</t>
        </is>
      </c>
      <c r="F31" s="19" t="inlineStr">
        <is>
          <t>https://www.xingtu.cn/ad/creator/author-homepage/douyin-video/7270431170049867831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31" s="19" t="inlineStr">
        <is>
          <t>https://www.douyin.com/user/MS4wLjABAAAAU7AGjmry2jmCJ70F_eWm2CYf7Nxn7FR00a2C1NKaWhnAsvxnnTd_ZHwWRKZfnDeW</t>
        </is>
      </c>
      <c r="H31" s="18" t="n">
        <v>2223724983</v>
      </c>
      <c r="I31" s="18" t="inlineStr">
        <is>
          <t>家居</t>
        </is>
      </c>
      <c r="J31" s="18" t="inlineStr">
        <is>
          <t>KOC</t>
        </is>
      </c>
      <c r="K31" s="18" t="n">
        <v>1.3</v>
      </c>
      <c r="L31" s="18" t="n">
        <v>16561</v>
      </c>
      <c r="M31" s="18">
        <f>Q31*1.05</f>
        <v/>
      </c>
      <c r="N31" s="20">
        <f>Q31/(S31+T31++U31)</f>
        <v/>
      </c>
      <c r="O31" s="18" t="inlineStr">
        <is>
          <t>图文</t>
        </is>
      </c>
      <c r="P31" s="21" t="n">
        <v>0.5</v>
      </c>
      <c r="Q31" s="18" t="n">
        <v>2250</v>
      </c>
      <c r="R31" s="20">
        <f>Q31/L31*1000</f>
        <v/>
      </c>
      <c r="S31" s="18" t="n">
        <v>139</v>
      </c>
      <c r="T31" s="18" t="n">
        <v>8</v>
      </c>
      <c r="U31" s="18" t="n">
        <v>6</v>
      </c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</row>
    <row r="32">
      <c r="A32" s="17" t="n">
        <v>46086</v>
      </c>
      <c r="B32" s="18" t="n"/>
      <c r="C32" s="18" t="n"/>
      <c r="D32" s="18" t="inlineStr">
        <is>
          <t>电商</t>
        </is>
      </c>
      <c r="E32" s="18" t="inlineStr">
        <is>
          <t>曼瑾的家🏠</t>
        </is>
      </c>
      <c r="F32" s="19" t="inlineStr">
        <is>
          <t>https://www.xingtu.cn/ad/creator/author-homepage/douyin-video/7198850506033201208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32" s="19" t="inlineStr">
        <is>
          <t>https://www.douyin.com/user/MS4wLjABAAAAG5EpbXYlHIs3Ny6B1i0S0DaBtSaHQ5-N-PzdQE4ELDbRO_CzVULEd8O4FLNnOyCl</t>
        </is>
      </c>
      <c r="H32" s="18" t="n">
        <v>80466346132</v>
      </c>
      <c r="I32" s="18" t="inlineStr">
        <is>
          <t>家居</t>
        </is>
      </c>
      <c r="J32" s="18" t="inlineStr">
        <is>
          <t>KOC</t>
        </is>
      </c>
      <c r="K32" s="18" t="n">
        <v>10</v>
      </c>
      <c r="L32" s="18" t="n">
        <v>16115</v>
      </c>
      <c r="M32" s="18">
        <f>Q32*1.05</f>
        <v/>
      </c>
      <c r="N32" s="20">
        <f>Q32/(S32+T32++U32)</f>
        <v/>
      </c>
      <c r="O32" s="18" t="inlineStr">
        <is>
          <t>图文</t>
        </is>
      </c>
      <c r="P32" s="21" t="n">
        <v>0.76</v>
      </c>
      <c r="Q32" s="18" t="n">
        <v>2425</v>
      </c>
      <c r="R32" s="20">
        <f>Q32/L32*1000</f>
        <v/>
      </c>
      <c r="S32" s="18" t="n">
        <v>417</v>
      </c>
      <c r="T32" s="18" t="n">
        <v>22</v>
      </c>
      <c r="U32" s="18" t="n">
        <v>14</v>
      </c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</row>
    <row r="33">
      <c r="A33" s="17" t="n">
        <v>46086</v>
      </c>
      <c r="B33" s="18" t="n"/>
      <c r="C33" s="18" t="n"/>
      <c r="D33" s="18" t="inlineStr">
        <is>
          <t>电商</t>
        </is>
      </c>
      <c r="E33" s="18" t="inlineStr">
        <is>
          <t>陈七七宅在家</t>
        </is>
      </c>
      <c r="F33" s="19" t="inlineStr">
        <is>
          <t>https://www.xingtu.cn/ad/creator/author-homepage/douyin-video/7199128878953005114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33" s="19" t="inlineStr">
        <is>
          <t>https://www.douyin.com/user/MS4wLjABAAAAoEipyA_xCtJ-MEGIbJKpS4EGN6np1buHR11xlocgxH4PLpkESEzzx7n6y9yil7tX</t>
        </is>
      </c>
      <c r="H33" s="18" t="n">
        <v>56182121235</v>
      </c>
      <c r="I33" s="18" t="inlineStr">
        <is>
          <t>家居</t>
        </is>
      </c>
      <c r="J33" s="18" t="inlineStr">
        <is>
          <t>KOC</t>
        </is>
      </c>
      <c r="K33" s="18" t="n">
        <v>1.7</v>
      </c>
      <c r="L33" s="18" t="n">
        <v>27000</v>
      </c>
      <c r="M33" s="18">
        <f>Q33*1.05</f>
        <v/>
      </c>
      <c r="N33" s="20">
        <f>Q33/(S33+T33++U33)</f>
        <v/>
      </c>
      <c r="O33" s="18" t="inlineStr">
        <is>
          <t>图文</t>
        </is>
      </c>
      <c r="P33" s="21" t="n">
        <v>0.62</v>
      </c>
      <c r="Q33" s="18" t="n">
        <v>2500</v>
      </c>
      <c r="R33" s="20">
        <f>Q33/L33*1000</f>
        <v/>
      </c>
      <c r="S33" s="18" t="n">
        <v>219</v>
      </c>
      <c r="T33" s="18" t="n">
        <v>22</v>
      </c>
      <c r="U33" s="18" t="n">
        <v>19</v>
      </c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</row>
    <row r="34">
      <c r="A34" s="17" t="n">
        <v>46086</v>
      </c>
      <c r="B34" s="18" t="n"/>
      <c r="C34" s="18" t="n"/>
      <c r="D34" s="18" t="inlineStr">
        <is>
          <t>电商</t>
        </is>
      </c>
      <c r="E34" s="18" t="inlineStr">
        <is>
          <t>小杨姐的家</t>
        </is>
      </c>
      <c r="F34" s="19" t="inlineStr">
        <is>
          <t>https://www.xingtu.cn/ad/creator/author-homepage/douyin-video/7494154840306614310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34" s="19" t="inlineStr">
        <is>
          <t>https://www.douyin.com/user/MS4wLjABAAAA7J3nMyz5gNlq0lQZ-lDQ1kP-yMHpcQw_rOSM9QlfqLTJVXYIECwvCKKI2CuZbHzN</t>
        </is>
      </c>
      <c r="H34" s="18" t="n">
        <v>38167138037</v>
      </c>
      <c r="I34" s="18" t="inlineStr">
        <is>
          <t>家居</t>
        </is>
      </c>
      <c r="J34" s="18" t="inlineStr">
        <is>
          <t>KOC</t>
        </is>
      </c>
      <c r="K34" s="18" t="n">
        <v>4.7</v>
      </c>
      <c r="L34" s="18" t="n">
        <v>30000</v>
      </c>
      <c r="M34" s="18">
        <f>Q34*1.05</f>
        <v/>
      </c>
      <c r="N34" s="20">
        <f>Q34/(S34+T34++U34)</f>
        <v/>
      </c>
      <c r="O34" s="18" t="inlineStr">
        <is>
          <t>图文</t>
        </is>
      </c>
      <c r="P34" s="21" t="n">
        <v>0.78</v>
      </c>
      <c r="Q34" s="18" t="n">
        <v>2500</v>
      </c>
      <c r="R34" s="20">
        <f>Q34/L34*1000</f>
        <v/>
      </c>
      <c r="S34" s="18" t="n">
        <v>418</v>
      </c>
      <c r="T34" s="18" t="n">
        <v>32</v>
      </c>
      <c r="U34" s="18" t="n">
        <v>52</v>
      </c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</row>
    <row r="35">
      <c r="A35" s="17" t="n">
        <v>46086</v>
      </c>
      <c r="B35" s="18" t="n"/>
      <c r="C35" s="18" t="n"/>
      <c r="D35" s="18" t="inlineStr">
        <is>
          <t>电商</t>
        </is>
      </c>
      <c r="E35" s="18" t="inlineStr">
        <is>
          <t>爱家的小雪</t>
        </is>
      </c>
      <c r="F35" s="19" t="inlineStr">
        <is>
          <t>https://www.xingtu.cn/ad/creator/author-homepage/douyin-video/7041163112036171815?market_track_id=MPQP857CO4TY5ZCGOOLM&amp;search_session_id=7613722035335823369&amp;video_type=130&amp;_route_from=from_page%3DMarket%26search_session_id%3D7613722035335823369%26is_for_order%3D0%26market_track_id%3DMPQP857CO4TY5ZCGOOLM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    </is>
      </c>
      <c r="G35" s="19" t="inlineStr">
        <is>
          <t>https://www.douyin.com/user/MS4wLjABAAAAzV9Fnm7kgZEA_mZOsdyjyp1VRAdgr8aubfj8xDgm64y6mLUdB3IlMeNEm9ie2Ikg</t>
        </is>
      </c>
      <c r="H35" s="18" t="inlineStr">
        <is>
          <t>ZXJ9992888</t>
        </is>
      </c>
      <c r="I35" s="18" t="inlineStr">
        <is>
          <t>家居</t>
        </is>
      </c>
      <c r="J35" s="18" t="inlineStr">
        <is>
          <t>KOC</t>
        </is>
      </c>
      <c r="K35" s="18" t="n">
        <v>13.2</v>
      </c>
      <c r="L35" s="18" t="n">
        <v>53000</v>
      </c>
      <c r="M35" s="18">
        <f>Q35*1.05</f>
        <v/>
      </c>
      <c r="N35" s="20">
        <f>Q35/(S35+T35++U35)</f>
        <v/>
      </c>
      <c r="O35" s="18" t="inlineStr">
        <is>
          <t>图文</t>
        </is>
      </c>
      <c r="P35" s="21" t="n">
        <v>0.75</v>
      </c>
      <c r="Q35" s="18" t="n">
        <v>800</v>
      </c>
      <c r="R35" s="20">
        <f>Q35/L35*1000</f>
        <v/>
      </c>
      <c r="S35" s="18" t="n">
        <v>190</v>
      </c>
      <c r="T35" s="18" t="n">
        <v>65</v>
      </c>
      <c r="U35" s="18" t="n">
        <v>18</v>
      </c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</row>
    <row r="36">
      <c r="A36" s="17" t="n">
        <v>46087</v>
      </c>
      <c r="B36" s="18" t="n"/>
      <c r="C36" s="18" t="n"/>
      <c r="D36" s="18" t="inlineStr">
        <is>
          <t>品牌</t>
        </is>
      </c>
      <c r="E36" s="18" t="inlineStr">
        <is>
          <t xml:space="preserve">
大宝子</t>
        </is>
      </c>
      <c r="F36" s="19" t="inlineStr">
        <is>
          <t>https://www.xingtu.cn/ad/creator/author-homepage/douyin-video/6792948768854507534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36" s="19" t="inlineStr">
        <is>
          <t>https://www.douyin.com/user/MS4wLjABAAAAym5a_ODYZSjM5jzqm5UwJQ5iHeH0pyYGKcXaex0c_tA</t>
        </is>
      </c>
      <c r="H36" s="18" t="inlineStr">
        <is>
          <t>shenxiaolei06</t>
        </is>
      </c>
      <c r="I36" s="18" t="inlineStr">
        <is>
          <t>家居</t>
        </is>
      </c>
      <c r="J36" s="18" t="inlineStr">
        <is>
          <t>KOC</t>
        </is>
      </c>
      <c r="K36" s="18" t="n">
        <v>30</v>
      </c>
      <c r="L36" s="18" t="n">
        <v>57000</v>
      </c>
      <c r="M36" s="18">
        <f>Q36*1.05</f>
        <v/>
      </c>
      <c r="N36" s="20">
        <f>Q36/(S36+T36++U36)</f>
        <v/>
      </c>
      <c r="O36" s="18" t="inlineStr">
        <is>
          <t>图文</t>
        </is>
      </c>
      <c r="P36" s="21" t="n">
        <v>0.73</v>
      </c>
      <c r="Q36" s="18" t="n">
        <v>2800</v>
      </c>
      <c r="R36" s="20">
        <f>Q36/L36*1000</f>
        <v/>
      </c>
      <c r="S36" s="18" t="n">
        <v>566</v>
      </c>
      <c r="T36" s="18" t="n">
        <v>30</v>
      </c>
      <c r="U36" s="18" t="n">
        <v>18</v>
      </c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</row>
    <row r="37">
      <c r="A37" s="17" t="n">
        <v>46087</v>
      </c>
      <c r="B37" s="18" t="n"/>
      <c r="C37" s="18" t="n"/>
      <c r="D37" s="18" t="inlineStr">
        <is>
          <t>品牌</t>
        </is>
      </c>
      <c r="E37" s="18" t="inlineStr">
        <is>
          <t>诗和远方呀</t>
        </is>
      </c>
      <c r="F37" s="19" t="inlineStr">
        <is>
          <t>https://www.xingtu.cn/ad/creator/author-homepage/douyin-video/7119839178140942349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37" s="19" t="inlineStr">
        <is>
          <t>https://www.douyin.com/user/MS4wLjABAAAAuahGvmQQq-pl2hTbNzGdvsRf3-_5KEGwJCiqagoPGOA</t>
        </is>
      </c>
      <c r="H37" s="18" t="n">
        <v>47365561042</v>
      </c>
      <c r="I37" s="18" t="inlineStr">
        <is>
          <t>家居</t>
        </is>
      </c>
      <c r="J37" s="18" t="inlineStr">
        <is>
          <t>KOC</t>
        </is>
      </c>
      <c r="K37" s="18" t="n">
        <v>19</v>
      </c>
      <c r="L37" s="18" t="n">
        <v>72000</v>
      </c>
      <c r="M37" s="18">
        <f>Q37*1.05</f>
        <v/>
      </c>
      <c r="N37" s="20">
        <f>Q37/(S37+T37++U37)</f>
        <v/>
      </c>
      <c r="O37" s="18" t="inlineStr">
        <is>
          <t>图文</t>
        </is>
      </c>
      <c r="P37" s="21" t="n">
        <v>0.64</v>
      </c>
      <c r="Q37" s="18" t="n">
        <v>3000</v>
      </c>
      <c r="R37" s="20">
        <f>Q37/L37*1000</f>
        <v/>
      </c>
      <c r="S37" s="18" t="n">
        <v>805</v>
      </c>
      <c r="T37" s="18" t="n">
        <v>36</v>
      </c>
      <c r="U37" s="18" t="n">
        <v>178</v>
      </c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</row>
    <row r="38">
      <c r="A38" s="17" t="n">
        <v>46087</v>
      </c>
      <c r="B38" s="18" t="n"/>
      <c r="C38" s="18" t="n"/>
      <c r="D38" s="18" t="inlineStr">
        <is>
          <t>品牌</t>
        </is>
      </c>
      <c r="E38" s="18" t="inlineStr">
        <is>
          <t>小可麻麻的家</t>
        </is>
      </c>
      <c r="F38" s="19" t="inlineStr">
        <is>
          <t>https://www.xingtu.cn/ad/creator/author-homepage/douyin-video/7064080064769425438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38" s="19" t="inlineStr">
        <is>
          <t>https://www.douyin.com/user/MS4wLjABAAAAYyaYyUkXH48VthwrlhTc-UXjEejPL3IwQYRh2O9VlLRyz-8h3G2k0ppUi1p3dvrI</t>
        </is>
      </c>
      <c r="H38" s="18" t="inlineStr">
        <is>
          <t>yiwei6153521</t>
        </is>
      </c>
      <c r="I38" s="18" t="inlineStr">
        <is>
          <t>家居</t>
        </is>
      </c>
      <c r="J38" s="18" t="inlineStr">
        <is>
          <t>KOC</t>
        </is>
      </c>
      <c r="K38" s="18" t="n">
        <v>11</v>
      </c>
      <c r="L38" s="18" t="n">
        <v>74000</v>
      </c>
      <c r="M38" s="18">
        <f>Q38*1.05</f>
        <v/>
      </c>
      <c r="N38" s="20">
        <f>Q38/(S38+T38++U38)</f>
        <v/>
      </c>
      <c r="O38" s="18" t="inlineStr">
        <is>
          <t>图文</t>
        </is>
      </c>
      <c r="P38" s="21" t="n">
        <v>0.83</v>
      </c>
      <c r="Q38" s="18" t="n">
        <v>3000</v>
      </c>
      <c r="R38" s="20">
        <f>Q38/L38*1000</f>
        <v/>
      </c>
      <c r="S38" s="18" t="n">
        <v>1442</v>
      </c>
      <c r="T38" s="18" t="n">
        <v>64</v>
      </c>
      <c r="U38" s="18" t="n">
        <v>157</v>
      </c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</row>
    <row r="39">
      <c r="A39" s="17" t="n">
        <v>46087</v>
      </c>
      <c r="B39" s="18" t="n"/>
      <c r="C39" s="18" t="n"/>
      <c r="D39" s="18" t="inlineStr">
        <is>
          <t>品牌</t>
        </is>
      </c>
      <c r="E39" s="18" t="inlineStr">
        <is>
          <t>优优的家🏠</t>
        </is>
      </c>
      <c r="F39" s="19" t="inlineStr">
        <is>
          <t>https://www.xingtu.cn/ad/creator/author-homepage/douyin-video/7176815317283405828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39" s="19" t="inlineStr">
        <is>
          <t>https://www.douyin.com/user/MS4wLjABAAAAQI8SH9BFldQboSJTYwrf4PjtfS48MxKEhj0GJeYbIYglcowIQ6mHSJkRnjW-ZeaL</t>
        </is>
      </c>
      <c r="H39" s="18" t="inlineStr">
        <is>
          <t>YO3729302020</t>
        </is>
      </c>
      <c r="I39" s="18" t="inlineStr">
        <is>
          <t>家居</t>
        </is>
      </c>
      <c r="J39" s="18" t="inlineStr">
        <is>
          <t>KOC</t>
        </is>
      </c>
      <c r="K39" s="18" t="n">
        <v>15</v>
      </c>
      <c r="L39" s="18" t="n">
        <v>141000</v>
      </c>
      <c r="M39" s="18">
        <f>Q39*1.05</f>
        <v/>
      </c>
      <c r="N39" s="20">
        <f>Q39/(S39+T39++U39)</f>
        <v/>
      </c>
      <c r="O39" s="18" t="inlineStr">
        <is>
          <t>图文</t>
        </is>
      </c>
      <c r="P39" s="21" t="n">
        <v>0.86</v>
      </c>
      <c r="Q39" s="18" t="n">
        <v>2500</v>
      </c>
      <c r="R39" s="20">
        <f>Q39/L39*1000</f>
        <v/>
      </c>
      <c r="S39" s="18" t="n">
        <v>2164</v>
      </c>
      <c r="T39" s="18" t="n">
        <v>94</v>
      </c>
      <c r="U39" s="18" t="n">
        <v>205</v>
      </c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</row>
    <row r="40">
      <c r="A40" s="17" t="n">
        <v>46087</v>
      </c>
      <c r="B40" s="18" t="n"/>
      <c r="C40" s="18" t="n"/>
      <c r="D40" s="18" t="inlineStr">
        <is>
          <t>品牌</t>
        </is>
      </c>
      <c r="E40" s="18" t="inlineStr">
        <is>
          <t>艾缇娜</t>
        </is>
      </c>
      <c r="F40" s="19" t="inlineStr">
        <is>
          <t>https://www.xingtu.cn/ad/creator/author-homepage/douyin-video/6972838728507064333?market_track_id=CJBSIDE3YAPLX30BT8R9&amp;search_session_id=7614077390314864690&amp;video_type=130&amp;_route_from=from_page%3DMarket%26search_session_id%3D7614077390314864690%26is_for_order%3D0%26market_track_id%3DCJBSIDE3YAPLX30BT8R9%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40" s="19" t="inlineStr">
        <is>
          <t>https://www.douyin.com/user/MS4wLjABAAAAMGEzn4fk4KZ0f05U3k4x_L364rk3IWdiUCHsNAU_X6c</t>
        </is>
      </c>
      <c r="H40" s="18" t="inlineStr">
        <is>
          <t>at29539</t>
        </is>
      </c>
      <c r="I40" s="18" t="inlineStr">
        <is>
          <t>家居</t>
        </is>
      </c>
      <c r="J40" s="18" t="inlineStr">
        <is>
          <t>KOC</t>
        </is>
      </c>
      <c r="K40" s="18" t="n">
        <v>18</v>
      </c>
      <c r="L40" s="18" t="n">
        <v>112000</v>
      </c>
      <c r="M40" s="18">
        <f>Q40*1.05</f>
        <v/>
      </c>
      <c r="N40" s="20">
        <f>Q40/(S40+T40++U40)</f>
        <v/>
      </c>
      <c r="O40" s="18" t="inlineStr">
        <is>
          <t>图文</t>
        </is>
      </c>
      <c r="P40" s="21" t="n">
        <v>0.41</v>
      </c>
      <c r="Q40" s="18" t="n">
        <v>1000</v>
      </c>
      <c r="R40" s="20">
        <f>Q40/L40*1000</f>
        <v/>
      </c>
      <c r="S40" s="18" t="n">
        <v>1267</v>
      </c>
      <c r="T40" s="18" t="n">
        <v>110</v>
      </c>
      <c r="U40" s="18" t="n">
        <v>38</v>
      </c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</row>
    <row r="41">
      <c r="A41" s="17" t="n">
        <v>46087</v>
      </c>
      <c r="B41" s="18" t="n"/>
      <c r="C41" s="18" t="n"/>
      <c r="D41" s="18" t="inlineStr">
        <is>
          <t>品牌</t>
        </is>
      </c>
      <c r="E41" s="18" t="inlineStr">
        <is>
          <t xml:space="preserve">
晏子Yanzi</t>
        </is>
      </c>
      <c r="F41" s="19" t="inlineStr">
        <is>
          <t>https://www.xingtu.cn/ad/creator/author-homepage/douyin-video/6722095903483625484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41" s="19" t="inlineStr">
        <is>
          <t>https://www.douyin.com/user/MS4wLjABAAAAY9pZpyJecntklxAvbmnIvMpS1kIVI1XmQ5_Ry8xXZNE</t>
        </is>
      </c>
      <c r="H41" s="18" t="inlineStr">
        <is>
          <t>iamYanzi</t>
        </is>
      </c>
      <c r="I41" s="18" t="inlineStr">
        <is>
          <t>家居</t>
        </is>
      </c>
      <c r="J41" s="18" t="inlineStr">
        <is>
          <t>KOC</t>
        </is>
      </c>
      <c r="K41" s="18" t="n">
        <v>66</v>
      </c>
      <c r="L41" s="18" t="n">
        <v>19000</v>
      </c>
      <c r="M41" s="18">
        <f>Q41*1.05</f>
        <v/>
      </c>
      <c r="N41" s="20">
        <f>Q41/(S41+T41++U41)</f>
        <v/>
      </c>
      <c r="O41" s="18" t="inlineStr">
        <is>
          <t>图文</t>
        </is>
      </c>
      <c r="P41" s="21" t="n">
        <v>0.87</v>
      </c>
      <c r="Q41" s="18" t="n">
        <v>2600</v>
      </c>
      <c r="R41" s="20">
        <f>Q41/L41*1000</f>
        <v/>
      </c>
      <c r="S41" s="18" t="n">
        <v>654</v>
      </c>
      <c r="T41" s="18" t="n">
        <v>42</v>
      </c>
      <c r="U41" s="18" t="n">
        <v>47</v>
      </c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</row>
    <row r="42">
      <c r="A42" s="17" t="n">
        <v>46087</v>
      </c>
      <c r="B42" s="18" t="n"/>
      <c r="C42" s="18" t="n"/>
      <c r="D42" s="18" t="inlineStr">
        <is>
          <t>品牌</t>
        </is>
      </c>
      <c r="E42" s="18" t="inlineStr">
        <is>
          <t>我有五只猫🐱</t>
        </is>
      </c>
      <c r="F42" s="19" t="inlineStr">
        <is>
          <t>https://www.xingtu.cn/ad/creator/author-homepage/douyin-video/7048439304124629005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42" s="19" t="inlineStr">
        <is>
          <t>https://www.douyin.com/user/MS4wLjABAAAA98sxALX02ZsUPitEB9FL98VCNrNZHsgFp2-kLXkyOGI</t>
        </is>
      </c>
      <c r="H42" s="18" t="inlineStr">
        <is>
          <t>Wangseven.</t>
        </is>
      </c>
      <c r="I42" s="18" t="inlineStr">
        <is>
          <t>家居</t>
        </is>
      </c>
      <c r="J42" s="18" t="inlineStr">
        <is>
          <t>KOC</t>
        </is>
      </c>
      <c r="K42" s="18" t="n">
        <v>10</v>
      </c>
      <c r="L42" s="18" t="n">
        <v>119000</v>
      </c>
      <c r="M42" s="18">
        <f>Q42*1.05</f>
        <v/>
      </c>
      <c r="N42" s="20">
        <f>Q42/(S42+T42++U42)</f>
        <v/>
      </c>
      <c r="O42" s="18" t="inlineStr">
        <is>
          <t>图文</t>
        </is>
      </c>
      <c r="P42" s="21" t="n">
        <v>0.73</v>
      </c>
      <c r="Q42" s="18" t="n">
        <v>3500</v>
      </c>
      <c r="R42" s="20">
        <f>Q42/L42*1000</f>
        <v/>
      </c>
      <c r="S42" s="18" t="n">
        <v>526</v>
      </c>
      <c r="T42" s="18" t="n">
        <v>43</v>
      </c>
      <c r="U42" s="18" t="n">
        <v>126</v>
      </c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</row>
    <row r="43">
      <c r="A43" s="17" t="n">
        <v>46087</v>
      </c>
      <c r="B43" s="18" t="n"/>
      <c r="C43" s="18" t="n"/>
      <c r="D43" s="18" t="inlineStr">
        <is>
          <t>品牌</t>
        </is>
      </c>
      <c r="E43" s="18" t="inlineStr">
        <is>
          <t>一颗小树</t>
        </is>
      </c>
      <c r="F43" s="19" t="inlineStr">
        <is>
          <t>https://www.xingtu.cn/ad/creator/author-homepage/douyin-video/7437860825424986122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43" s="19" t="inlineStr">
        <is>
          <t>https://www.douyin.com/user/MS4wLjABAAAAGkXEtU6XYFHA1ArzPaSlLMdUzKeLl2ueCNSJKcdvhXQh-fITDoNeg9gx8nLivxXG</t>
        </is>
      </c>
      <c r="H43" s="18" t="n">
        <v>85246091829</v>
      </c>
      <c r="I43" s="18" t="inlineStr">
        <is>
          <t>家居</t>
        </is>
      </c>
      <c r="J43" s="18" t="inlineStr">
        <is>
          <t>KOC</t>
        </is>
      </c>
      <c r="K43" s="18" t="n">
        <v>9.5</v>
      </c>
      <c r="L43" s="18" t="n">
        <v>32000</v>
      </c>
      <c r="M43" s="18">
        <f>Q43*1.05</f>
        <v/>
      </c>
      <c r="N43" s="20">
        <f>Q43/(S43+T43++U43)</f>
        <v/>
      </c>
      <c r="O43" s="18" t="inlineStr">
        <is>
          <t>图文</t>
        </is>
      </c>
      <c r="P43" s="21" t="n">
        <v>0.79</v>
      </c>
      <c r="Q43" s="18" t="n">
        <v>4000</v>
      </c>
      <c r="R43" s="20">
        <f>Q43/L43*1000</f>
        <v/>
      </c>
      <c r="S43" s="22" t="n">
        <v>1757</v>
      </c>
      <c r="T43" s="18" t="n">
        <v>109</v>
      </c>
      <c r="U43" s="18" t="n">
        <v>69</v>
      </c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</row>
    <row r="44">
      <c r="A44" s="17" t="n">
        <v>46087</v>
      </c>
      <c r="B44" s="18" t="n"/>
      <c r="C44" s="18" t="n"/>
      <c r="D44" s="18" t="inlineStr">
        <is>
          <t>品牌</t>
        </is>
      </c>
      <c r="E44" s="18" t="inlineStr">
        <is>
          <t>好小大</t>
        </is>
      </c>
      <c r="F44" s="19" t="inlineStr">
        <is>
          <t>https://www.xingtu.cn/ad/creator/author-homepage/douyin-video/7234072113110335521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    </is>
      </c>
      <c r="G44" s="19" t="inlineStr">
        <is>
          <t>https://www.douyin.com/user/MS4wLjABAAAAWT9MPoviyafXJEAvZb9S2xC1oRATVcAbf_1v6fQecfg</t>
        </is>
      </c>
      <c r="H44" s="18" t="n">
        <v>631359396</v>
      </c>
      <c r="I44" s="18" t="inlineStr">
        <is>
          <t>家居</t>
        </is>
      </c>
      <c r="J44" s="18" t="inlineStr">
        <is>
          <t>KOC</t>
        </is>
      </c>
      <c r="K44" s="18" t="n">
        <v>8.300000000000001</v>
      </c>
      <c r="L44" s="18" t="n">
        <v>127000</v>
      </c>
      <c r="M44" s="18">
        <f>Q44*1.05</f>
        <v/>
      </c>
      <c r="N44" s="20">
        <f>Q44/(S44+T44++U44)</f>
        <v/>
      </c>
      <c r="O44" s="18" t="inlineStr">
        <is>
          <t>图文</t>
        </is>
      </c>
      <c r="P44" s="21" t="n">
        <v>0.62</v>
      </c>
      <c r="Q44" s="18" t="n">
        <v>2500</v>
      </c>
      <c r="R44" s="20">
        <f>Q44/L44*1000</f>
        <v/>
      </c>
      <c r="S44" s="18" t="n">
        <v>661</v>
      </c>
      <c r="T44" s="18" t="n">
        <v>52</v>
      </c>
      <c r="U44" s="18" t="n">
        <v>20</v>
      </c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</row>
    <row r="45">
      <c r="A45" s="17" t="n">
        <v>46090</v>
      </c>
      <c r="B45" s="18" t="n"/>
      <c r="C45" s="18" t="n"/>
      <c r="D45" s="18" t="inlineStr">
        <is>
          <t>品牌</t>
        </is>
      </c>
      <c r="E45" s="18" t="inlineStr">
        <is>
          <t>Mimiの小家</t>
        </is>
      </c>
      <c r="F45" s="19" t="inlineStr">
        <is>
          <t>https://www.xingtu.cn/ad/creator/author-homepage/douyin-video/7359200063073026099?market_track_id=5S67YGBQAASZDVZE6MEB&amp;search_session_id=7615186969332645926&amp;video_type=130&amp;_route_from=from_page%3DMarket%26search_session_id%3D7615186969332645926%26is_for_order%3D0%26market_track_id%3D5S67YGBQAASZDVZE6MEB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45" s="19" t="inlineStr">
        <is>
          <t>https://www.douyin.com/user/MS4wLjABAAAAeWwG6a5r1EQShQmc7hJTznKw1MbUegmo-dNMaP9YM4M</t>
        </is>
      </c>
      <c r="H45" s="18" t="n">
        <v>691015509</v>
      </c>
      <c r="I45" s="18" t="inlineStr">
        <is>
          <t>家居</t>
        </is>
      </c>
      <c r="J45" s="18" t="inlineStr">
        <is>
          <t>KOC</t>
        </is>
      </c>
      <c r="K45" s="18" t="n">
        <v>1.8</v>
      </c>
      <c r="L45" s="18" t="n">
        <v>24000</v>
      </c>
      <c r="M45" s="18">
        <f>Q45*1.05</f>
        <v/>
      </c>
      <c r="N45" s="20">
        <f>Q45/(S45+T45++U45)</f>
        <v/>
      </c>
      <c r="O45" s="18" t="inlineStr">
        <is>
          <t>图文</t>
        </is>
      </c>
      <c r="P45" s="21" t="n">
        <v>0.75</v>
      </c>
      <c r="Q45" s="18" t="n">
        <v>1200</v>
      </c>
      <c r="R45" s="20">
        <f>Q45/L45*1000</f>
        <v/>
      </c>
      <c r="S45" s="18" t="n">
        <v>126</v>
      </c>
      <c r="T45" s="18" t="n">
        <v>8</v>
      </c>
      <c r="U45" s="18" t="n">
        <v>16</v>
      </c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</row>
    <row r="46">
      <c r="A46" s="17" t="n">
        <v>46090</v>
      </c>
      <c r="B46" s="18" t="n"/>
      <c r="C46" s="18" t="n"/>
      <c r="D46" s="18" t="inlineStr">
        <is>
          <t>品牌</t>
        </is>
      </c>
      <c r="E46" s="18" t="inlineStr">
        <is>
          <t>是大青子</t>
        </is>
      </c>
      <c r="F46" s="19" t="inlineStr">
        <is>
          <t>https://www.xingtu.cn/ad/creator/author-homepage/douyin-video/7000637975151247367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46" s="19" t="inlineStr">
        <is>
          <t>https://www.douyin.com/user/MS4wLjABAAAAZdKceqCx2iNqLz49e03sIFtWpHIBMXSrhXvbLzqAbA4</t>
        </is>
      </c>
      <c r="H46" s="18" t="inlineStr">
        <is>
          <t>daqingzi07</t>
        </is>
      </c>
      <c r="I46" s="18" t="inlineStr">
        <is>
          <t>家居</t>
        </is>
      </c>
      <c r="J46" s="18" t="inlineStr">
        <is>
          <t>KOC</t>
        </is>
      </c>
      <c r="K46" s="18" t="n">
        <v>5.4</v>
      </c>
      <c r="L46" s="18" t="n">
        <v>16000</v>
      </c>
      <c r="M46" s="18">
        <f>Q46*1.05</f>
        <v/>
      </c>
      <c r="N46" s="20">
        <f>Q46/(S46+T46++U46)</f>
        <v/>
      </c>
      <c r="O46" s="18" t="inlineStr">
        <is>
          <t>图文</t>
        </is>
      </c>
      <c r="P46" s="21" t="n">
        <v>0.85</v>
      </c>
      <c r="Q46" s="18" t="n">
        <v>3000</v>
      </c>
      <c r="R46" s="20">
        <f>Q46/L46*1000</f>
        <v/>
      </c>
      <c r="S46" s="18" t="n">
        <v>163</v>
      </c>
      <c r="T46" s="18" t="n">
        <v>4</v>
      </c>
      <c r="U46" s="18" t="n">
        <v>8</v>
      </c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</row>
    <row r="47">
      <c r="A47" s="17" t="n">
        <v>46090</v>
      </c>
      <c r="B47" s="18" t="n"/>
      <c r="C47" s="18" t="n"/>
      <c r="D47" s="18" t="inlineStr">
        <is>
          <t>品牌</t>
        </is>
      </c>
      <c r="E47" s="18" t="inlineStr">
        <is>
          <t>小柯蒂斯</t>
        </is>
      </c>
      <c r="F47" s="19" t="inlineStr">
        <is>
          <t>https://www.xingtu.cn/ad/creator/author-homepage/douyin-video/7483571540617854986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47" s="19" t="inlineStr">
        <is>
          <t>https://www.douyin.com/user/MS4wLjABAAAARuBnEo10NjFTBALMb5biOPZcMwQe4atKFMpsbSP-SLNj1YP-qpa5w3S5cgLiJM5G</t>
        </is>
      </c>
      <c r="H47" s="18" t="n">
        <v>86859298808</v>
      </c>
      <c r="I47" s="18" t="inlineStr">
        <is>
          <t>家居</t>
        </is>
      </c>
      <c r="J47" s="18" t="inlineStr">
        <is>
          <t>KOC</t>
        </is>
      </c>
      <c r="K47" s="18" t="n">
        <v>2.4</v>
      </c>
      <c r="L47" s="18" t="n">
        <v>19000</v>
      </c>
      <c r="M47" s="18">
        <f>Q47*1.05</f>
        <v/>
      </c>
      <c r="N47" s="20">
        <f>Q47/(S47+T47++U47)</f>
        <v/>
      </c>
      <c r="O47" s="18" t="inlineStr">
        <is>
          <t>图文</t>
        </is>
      </c>
      <c r="P47" s="21" t="n">
        <v>0.42</v>
      </c>
      <c r="Q47" s="18" t="n">
        <v>2000</v>
      </c>
      <c r="R47" s="20">
        <f>Q47/L47*1000</f>
        <v/>
      </c>
      <c r="S47" s="18" t="n">
        <v>440</v>
      </c>
      <c r="T47" s="18" t="n">
        <v>19</v>
      </c>
      <c r="U47" s="18" t="n">
        <v>123</v>
      </c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</row>
    <row r="48">
      <c r="A48" s="17" t="n">
        <v>46090</v>
      </c>
      <c r="B48" s="18" t="n"/>
      <c r="C48" s="18" t="n"/>
      <c r="D48" s="18" t="inlineStr">
        <is>
          <t>品牌</t>
        </is>
      </c>
      <c r="E48" s="18" t="inlineStr">
        <is>
          <t>雪的生活屋</t>
        </is>
      </c>
      <c r="F48" s="19" t="inlineStr">
        <is>
          <t>https://www.xingtu.cn/ad/creator/author-homepage/douyin-video/7365147220552712229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48" s="19" t="inlineStr">
        <is>
          <t>https://www.douyin.com/user/MS4wLjABAAAAnpHYRswEzWsoPs8UunQOr7bVPGTFrGGLgjsYMf3gGl4</t>
        </is>
      </c>
      <c r="H48" s="18" t="n">
        <v>272077880</v>
      </c>
      <c r="I48" s="18" t="inlineStr">
        <is>
          <t>家居</t>
        </is>
      </c>
      <c r="J48" s="18" t="inlineStr">
        <is>
          <t>KOC</t>
        </is>
      </c>
      <c r="K48" s="18" t="n">
        <v>12.1</v>
      </c>
      <c r="L48" s="18" t="n">
        <v>44000</v>
      </c>
      <c r="M48" s="18">
        <f>Q48*1.05</f>
        <v/>
      </c>
      <c r="N48" s="20">
        <f>Q48/(S48+T48++U48)</f>
        <v/>
      </c>
      <c r="O48" s="18" t="inlineStr">
        <is>
          <t>图文</t>
        </is>
      </c>
      <c r="P48" s="21" t="n">
        <v>0.71</v>
      </c>
      <c r="Q48" s="18" t="n">
        <v>3000</v>
      </c>
      <c r="R48" s="20">
        <f>Q48/L48*1000</f>
        <v/>
      </c>
      <c r="S48" s="18" t="n">
        <v>1539</v>
      </c>
      <c r="T48" s="18" t="n">
        <v>58</v>
      </c>
      <c r="U48" s="18" t="n">
        <v>267</v>
      </c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</row>
    <row r="49">
      <c r="A49" s="17" t="n">
        <v>46090</v>
      </c>
      <c r="B49" s="18" t="n"/>
      <c r="C49" s="18" t="n"/>
      <c r="D49" s="18" t="inlineStr">
        <is>
          <t>品牌</t>
        </is>
      </c>
      <c r="E49" s="18" t="inlineStr">
        <is>
          <t>Hi大卫</t>
        </is>
      </c>
      <c r="F49" s="19" t="inlineStr">
        <is>
          <t>https://www.xingtu.cn/ad/creator/author-homepage/douyin-video/7172189434907983879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49" s="19" t="inlineStr">
        <is>
          <t>https://www.douyin.com/user/MS4wLjABAAAAUsZrhyz7GGaNhQz_UJpjEWHiOrVxfg9rXWTzgAU-8vE</t>
        </is>
      </c>
      <c r="H49" s="18" t="n">
        <v>33657330161</v>
      </c>
      <c r="I49" s="18" t="inlineStr">
        <is>
          <t>家居</t>
        </is>
      </c>
      <c r="J49" s="18" t="inlineStr">
        <is>
          <t>KOC</t>
        </is>
      </c>
      <c r="K49" s="18" t="n">
        <v>11</v>
      </c>
      <c r="L49" s="18" t="n">
        <v>14000</v>
      </c>
      <c r="M49" s="18">
        <f>Q49*1.05</f>
        <v/>
      </c>
      <c r="N49" s="20">
        <f>Q49/(S49+T49++U49)</f>
        <v/>
      </c>
      <c r="O49" s="18" t="inlineStr">
        <is>
          <t>图文</t>
        </is>
      </c>
      <c r="P49" s="21" t="n">
        <v>0.6899999999999999</v>
      </c>
      <c r="Q49" s="18" t="n">
        <v>3000</v>
      </c>
      <c r="R49" s="20">
        <f>Q49/L49*1000</f>
        <v/>
      </c>
      <c r="S49" s="18" t="n">
        <v>176</v>
      </c>
      <c r="T49" s="18" t="n">
        <v>16</v>
      </c>
      <c r="U49" s="18" t="n">
        <v>90</v>
      </c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</row>
    <row r="50">
      <c r="A50" s="17" t="n">
        <v>46090</v>
      </c>
      <c r="B50" s="18" t="n"/>
      <c r="C50" s="18" t="n"/>
      <c r="D50" s="18" t="inlineStr">
        <is>
          <t>品牌</t>
        </is>
      </c>
      <c r="E50" s="18" t="inlineStr">
        <is>
          <t>小云波波</t>
        </is>
      </c>
      <c r="F50" s="19" t="inlineStr">
        <is>
          <t>https://www.xingtu.cn/ad/creator/author-homepage/douyin-video/6870162896316268552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50" s="19" t="inlineStr">
        <is>
          <t>https://www.douyin.com/user/MS4wLjABAAAAZinCXaKbegvY74sOeuSI3Ih1l7jutj0EHmsoJfb0Fg0</t>
        </is>
      </c>
      <c r="H50" s="18" t="inlineStr">
        <is>
          <t>HX25251314</t>
        </is>
      </c>
      <c r="I50" s="18" t="inlineStr">
        <is>
          <t>家居</t>
        </is>
      </c>
      <c r="J50" s="18" t="inlineStr">
        <is>
          <t>KOC</t>
        </is>
      </c>
      <c r="K50" s="18" t="n">
        <v>8.300000000000001</v>
      </c>
      <c r="L50" s="18" t="n">
        <v>28000</v>
      </c>
      <c r="M50" s="18">
        <f>Q50*1.05</f>
        <v/>
      </c>
      <c r="N50" s="20">
        <f>Q50/(S50+T50++U50)</f>
        <v/>
      </c>
      <c r="O50" s="18" t="inlineStr">
        <is>
          <t>图文</t>
        </is>
      </c>
      <c r="P50" s="21" t="n">
        <v>0.76</v>
      </c>
      <c r="Q50" s="18" t="n">
        <v>563</v>
      </c>
      <c r="R50" s="20">
        <f>Q50/L50*1000</f>
        <v/>
      </c>
      <c r="S50" s="18" t="n">
        <v>163</v>
      </c>
      <c r="T50" s="18" t="n">
        <v>9</v>
      </c>
      <c r="U50" s="18" t="n">
        <v>16</v>
      </c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</row>
    <row r="51">
      <c r="A51" s="17" t="n">
        <v>46090</v>
      </c>
      <c r="B51" s="18" t="n"/>
      <c r="C51" s="18" t="n"/>
      <c r="D51" s="18" t="inlineStr">
        <is>
          <t>品牌</t>
        </is>
      </c>
      <c r="E51" s="18" t="inlineStr">
        <is>
          <t>林先生的院子</t>
        </is>
      </c>
      <c r="F51" s="19" t="inlineStr">
        <is>
          <t>https://www.xingtu.cn/ad/creator/author-homepage/douyin-video/7349922835336429578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51" s="19" t="inlineStr">
        <is>
          <t>https://www.douyin.com/user/MS4wLjABAAAAYIoFcQAoFQemyTlRXSTgilt9Epl2vsWj7SuMahQj_u-Hw50fROrkZNVOR_ORj_OQ</t>
        </is>
      </c>
      <c r="H51" s="18" t="inlineStr">
        <is>
          <t>91428066750IP</t>
        </is>
      </c>
      <c r="I51" s="18" t="inlineStr">
        <is>
          <t>家居</t>
        </is>
      </c>
      <c r="J51" s="18" t="inlineStr">
        <is>
          <t>KOC</t>
        </is>
      </c>
      <c r="K51" s="18" t="n">
        <v>8.1</v>
      </c>
      <c r="L51" s="18" t="n">
        <v>56000</v>
      </c>
      <c r="M51" s="18">
        <f>Q51*1.05</f>
        <v/>
      </c>
      <c r="N51" s="20">
        <f>Q51/(S51+T51++U51)</f>
        <v/>
      </c>
      <c r="O51" s="18" t="inlineStr">
        <is>
          <t>图文</t>
        </is>
      </c>
      <c r="P51" s="21" t="n">
        <v>0.57</v>
      </c>
      <c r="Q51" s="18" t="n">
        <v>1500</v>
      </c>
      <c r="R51" s="20">
        <f>Q51/L51*1000</f>
        <v/>
      </c>
      <c r="S51" s="18" t="n">
        <v>533</v>
      </c>
      <c r="T51" s="18" t="n">
        <v>77</v>
      </c>
      <c r="U51" s="18" t="n">
        <v>91</v>
      </c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</row>
    <row r="52">
      <c r="A52" s="17" t="n">
        <v>46090</v>
      </c>
      <c r="B52" s="18" t="n"/>
      <c r="C52" s="18" t="n"/>
      <c r="D52" s="18" t="inlineStr">
        <is>
          <t>品牌</t>
        </is>
      </c>
      <c r="E52" s="18" t="inlineStr">
        <is>
          <t>小呆夫妇的家</t>
        </is>
      </c>
      <c r="F52" s="19" t="inlineStr">
        <is>
          <t>https://www.xingtu.cn/ad/creator/author-homepage/douyin-video/7487814010297909285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52" s="19" t="inlineStr">
        <is>
          <t>https://www.douyin.com/user/MS4wLjABAAAA305tts7fJjhv70AL8PLH9xVIH_IjdNKW-7lMhw1nVuM</t>
        </is>
      </c>
      <c r="H52" s="18" t="inlineStr">
        <is>
          <t>Ms.Xiaodai</t>
        </is>
      </c>
      <c r="I52" s="18" t="inlineStr">
        <is>
          <t>家居</t>
        </is>
      </c>
      <c r="J52" s="18" t="inlineStr">
        <is>
          <t>KOC</t>
        </is>
      </c>
      <c r="K52" s="18" t="n">
        <v>2.1</v>
      </c>
      <c r="L52" s="18" t="n">
        <v>12000</v>
      </c>
      <c r="M52" s="18">
        <f>Q52*1.05</f>
        <v/>
      </c>
      <c r="N52" s="20">
        <f>Q52/(S52+T52++U52)</f>
        <v/>
      </c>
      <c r="O52" s="18" t="inlineStr">
        <is>
          <t>图文</t>
        </is>
      </c>
      <c r="P52" s="21" t="n">
        <v>0.75</v>
      </c>
      <c r="Q52" s="18" t="n">
        <v>1500</v>
      </c>
      <c r="R52" s="20">
        <f>Q52/L52*1000</f>
        <v/>
      </c>
      <c r="S52" s="18" t="n">
        <v>206</v>
      </c>
      <c r="T52" s="18" t="n">
        <v>24</v>
      </c>
      <c r="U52" s="18" t="n">
        <v>12</v>
      </c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</row>
    <row r="53">
      <c r="A53" s="17" t="n">
        <v>46090</v>
      </c>
      <c r="B53" s="18" t="n"/>
      <c r="C53" s="18" t="n"/>
      <c r="D53" s="18" t="inlineStr">
        <is>
          <t>品牌</t>
        </is>
      </c>
      <c r="E53" s="18" t="inlineStr">
        <is>
          <t>贝熙</t>
        </is>
      </c>
      <c r="F53" s="19" t="inlineStr">
        <is>
          <t>https://www.xingtu.cn/ad/creator/author-homepage/douyin-video/7212117538119876663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    </is>
      </c>
      <c r="G53" s="19" t="inlineStr">
        <is>
          <t>https://www.douyin.com/user/MS4wLjABAAAA4Q_XiOXh5Y9gkPVd518479FTq438XHZZj56iFMYDO9qDwg2PiTfiyGkC0khoytlM</t>
        </is>
      </c>
      <c r="H53" s="18" t="inlineStr">
        <is>
          <t>yyyyyjx24498</t>
        </is>
      </c>
      <c r="I53" s="18" t="inlineStr">
        <is>
          <t>家居</t>
        </is>
      </c>
      <c r="J53" s="18" t="inlineStr">
        <is>
          <t>KOC</t>
        </is>
      </c>
      <c r="K53" s="18" t="n">
        <v>6.8</v>
      </c>
      <c r="L53" s="18" t="n">
        <v>31000</v>
      </c>
      <c r="M53" s="18">
        <f>Q53*1.05</f>
        <v/>
      </c>
      <c r="N53" s="20">
        <f>Q53/(S53+T53++U53)</f>
        <v/>
      </c>
      <c r="O53" s="18" t="inlineStr">
        <is>
          <t>图文</t>
        </is>
      </c>
      <c r="P53" s="21" t="n">
        <v>0.52</v>
      </c>
      <c r="Q53" s="18" t="n">
        <v>1000</v>
      </c>
      <c r="R53" s="20">
        <f>Q53/L53*1000</f>
        <v/>
      </c>
      <c r="S53" s="18" t="n">
        <v>858</v>
      </c>
      <c r="T53" s="18" t="n">
        <v>68</v>
      </c>
      <c r="U53" s="18" t="n">
        <v>17</v>
      </c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</row>
    <row r="54">
      <c r="A54" s="17" t="n">
        <v>46091</v>
      </c>
      <c r="B54" s="18" t="n"/>
      <c r="C54" s="18" t="n"/>
      <c r="D54" s="18" t="inlineStr">
        <is>
          <t>品牌</t>
        </is>
      </c>
      <c r="E54" s="18" t="inlineStr">
        <is>
          <t>天天爸爸的日记🏠（软装中）</t>
        </is>
      </c>
      <c r="F54" s="19" t="inlineStr">
        <is>
          <t>https://www.xingtu.cn/ad/creator/author-homepage/douyin-video/7198564686625767482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54" s="19" t="inlineStr">
        <is>
          <t>https://www.douyin.com/user/MS4wLjABAAAAppEVGFTl7ravIdyxrHkXZYkASzyOgxT6fGSZ7ru5-AM</t>
        </is>
      </c>
      <c r="H54" s="18" t="n">
        <v>69957680</v>
      </c>
      <c r="I54" s="18" t="inlineStr">
        <is>
          <t>家居</t>
        </is>
      </c>
      <c r="J54" s="18" t="inlineStr">
        <is>
          <t>KOC</t>
        </is>
      </c>
      <c r="K54" s="18" t="n">
        <v>7.6</v>
      </c>
      <c r="L54" s="18" t="n">
        <v>130000</v>
      </c>
      <c r="M54" s="18">
        <f>Q54*1.05</f>
        <v/>
      </c>
      <c r="N54" s="20">
        <f>Q54/(S54+T54++U54)</f>
        <v/>
      </c>
      <c r="O54" s="18" t="inlineStr">
        <is>
          <t>图文</t>
        </is>
      </c>
      <c r="P54" s="21" t="n">
        <v>0.46</v>
      </c>
      <c r="Q54" s="18" t="n">
        <v>5000</v>
      </c>
      <c r="R54" s="20">
        <f>Q54/L54*1000</f>
        <v/>
      </c>
      <c r="S54" s="18" t="n">
        <v>841</v>
      </c>
      <c r="T54" s="18" t="n">
        <v>69</v>
      </c>
      <c r="U54" s="18" t="n">
        <v>196</v>
      </c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</row>
    <row r="55">
      <c r="A55" s="17" t="n">
        <v>46091</v>
      </c>
      <c r="B55" s="18" t="n"/>
      <c r="C55" s="18" t="n"/>
      <c r="D55" s="18" t="inlineStr">
        <is>
          <t>品牌</t>
        </is>
      </c>
      <c r="E55" s="18" t="inlineStr">
        <is>
          <t>雅雅的装修日记</t>
        </is>
      </c>
      <c r="F55" s="19" t="inlineStr">
        <is>
          <t>https://www.xingtu.cn/ad/creator/author-homepage/douyin-video/7459050928901980211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55" s="19" t="inlineStr">
        <is>
          <t>https://www.douyin.com/user/MS4wLjABAAAAQ0ltyNu6U111yuc4jgB0zpx9NvxCgRepksOgxjxhFu7UlTAnYK7CT4Ja3SgsmNeZ</t>
        </is>
      </c>
      <c r="H55" s="18" t="n">
        <v>53711285104</v>
      </c>
      <c r="I55" s="18" t="inlineStr">
        <is>
          <t>家居</t>
        </is>
      </c>
      <c r="J55" s="18" t="inlineStr">
        <is>
          <t>KOC</t>
        </is>
      </c>
      <c r="K55" s="18" t="n">
        <v>5.3</v>
      </c>
      <c r="L55" s="18" t="n">
        <v>14000</v>
      </c>
      <c r="M55" s="18">
        <f>Q55*1.05</f>
        <v/>
      </c>
      <c r="N55" s="20">
        <f>Q55/(S55+T55++U55)</f>
        <v/>
      </c>
      <c r="O55" s="18" t="inlineStr">
        <is>
          <t>图文</t>
        </is>
      </c>
      <c r="P55" s="21" t="n">
        <v>0.52</v>
      </c>
      <c r="Q55" s="18" t="n">
        <v>5000</v>
      </c>
      <c r="R55" s="20">
        <f>Q55/L55*1000</f>
        <v/>
      </c>
      <c r="S55" s="18" t="n">
        <v>46</v>
      </c>
      <c r="T55" s="18" t="n">
        <v>6</v>
      </c>
      <c r="U55" s="18" t="n">
        <v>22</v>
      </c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</row>
    <row r="56">
      <c r="A56" s="17" t="n">
        <v>46091</v>
      </c>
      <c r="B56" s="18" t="n"/>
      <c r="C56" s="18" t="n"/>
      <c r="D56" s="18" t="inlineStr">
        <is>
          <t>品牌</t>
        </is>
      </c>
      <c r="E56" s="18" t="inlineStr">
        <is>
          <t>港湾</t>
        </is>
      </c>
      <c r="F56" s="19" t="inlineStr">
        <is>
          <t>https://www.xingtu.cn/ad/creator/author-homepage/douyin-video/7277383115440390181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56" s="19" t="inlineStr">
        <is>
          <t>https://www.douyin.com/user/MS4wLjABAAAAmVXUU6btEFSFL2-DyqEJC8aUb3GyP7VetkT_P4S8E-urZ5IZGIxNd3Fxm2ORWT9v</t>
        </is>
      </c>
      <c r="H56" s="18" t="n">
        <v>44976664444</v>
      </c>
      <c r="I56" s="18" t="inlineStr">
        <is>
          <t>家居</t>
        </is>
      </c>
      <c r="J56" s="18" t="inlineStr">
        <is>
          <t>KOC</t>
        </is>
      </c>
      <c r="K56" s="18" t="n">
        <v>4</v>
      </c>
      <c r="L56" s="18" t="n">
        <v>16000</v>
      </c>
      <c r="M56" s="18">
        <f>Q56*1.05</f>
        <v/>
      </c>
      <c r="N56" s="20">
        <f>Q56/(S56+T56++U56)</f>
        <v/>
      </c>
      <c r="O56" s="18" t="inlineStr">
        <is>
          <t>图文</t>
        </is>
      </c>
      <c r="P56" s="21" t="n">
        <v>0.66</v>
      </c>
      <c r="Q56" s="18" t="n">
        <v>2000</v>
      </c>
      <c r="R56" s="20">
        <f>Q56/L56*1000</f>
        <v/>
      </c>
      <c r="S56" s="18" t="n">
        <v>425</v>
      </c>
      <c r="T56" s="18" t="n">
        <v>22</v>
      </c>
      <c r="U56" s="18" t="n">
        <v>33</v>
      </c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</row>
    <row r="57">
      <c r="A57" s="17" t="n">
        <v>46091</v>
      </c>
      <c r="B57" s="18" t="n"/>
      <c r="C57" s="18" t="n"/>
      <c r="D57" s="18" t="inlineStr">
        <is>
          <t>品牌</t>
        </is>
      </c>
      <c r="E57" s="18" t="inlineStr">
        <is>
          <t>一颗小豆丁🌱</t>
        </is>
      </c>
      <c r="F57" s="19" t="inlineStr">
        <is>
          <t>https://www.xingtu.cn/ad/creator/author-homepage/douyin-video/7260081950478565437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57" s="19" t="inlineStr">
        <is>
          <t>https://www.douyin.com/user/MS4wLjABAAAA-53qPEtpg8AMXV6Nym_-trwBEG4jfXPbnpudMnfJ7no</t>
        </is>
      </c>
      <c r="H57" s="18" t="n">
        <v>95122754332</v>
      </c>
      <c r="I57" s="18" t="inlineStr">
        <is>
          <t>家居</t>
        </is>
      </c>
      <c r="J57" s="18" t="inlineStr">
        <is>
          <t>KOC</t>
        </is>
      </c>
      <c r="K57" s="18" t="n">
        <v>5.7</v>
      </c>
      <c r="L57" s="18" t="n">
        <v>87000</v>
      </c>
      <c r="M57" s="18">
        <f>Q57*1.05</f>
        <v/>
      </c>
      <c r="N57" s="20">
        <f>Q57/(S57+T57++U57)</f>
        <v/>
      </c>
      <c r="O57" s="18" t="inlineStr">
        <is>
          <t>图文</t>
        </is>
      </c>
      <c r="P57" s="21" t="n">
        <v>0.64</v>
      </c>
      <c r="Q57" s="18" t="n">
        <v>5000</v>
      </c>
      <c r="R57" s="20">
        <f>Q57/L57*1000</f>
        <v/>
      </c>
      <c r="S57" s="18" t="n">
        <v>396</v>
      </c>
      <c r="T57" s="18" t="n">
        <v>37</v>
      </c>
      <c r="U57" s="18" t="n">
        <v>71</v>
      </c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</row>
    <row r="58">
      <c r="A58" s="17" t="n">
        <v>46091</v>
      </c>
      <c r="B58" s="18" t="n"/>
      <c r="C58" s="18" t="n"/>
      <c r="D58" s="18" t="inlineStr">
        <is>
          <t>品牌</t>
        </is>
      </c>
      <c r="E58" s="18" t="inlineStr">
        <is>
          <t>小米粒Nora</t>
        </is>
      </c>
      <c r="F58" s="19" t="inlineStr">
        <is>
          <t>https://www.xingtu.cn/ad/creator/author-homepage/douyin-video/7430715299097214985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58" s="19" t="inlineStr">
        <is>
          <t>https://www.douyin.com/user/MS4wLjABAAAAe3So42ExQ0sibG6c7QpDfK7X7Mv-97aUelPBHiyNQLL-FEmVp4ESaSPT_PA8mNPR</t>
        </is>
      </c>
      <c r="H58" s="18" t="inlineStr">
        <is>
          <t>xiaomili_nora</t>
        </is>
      </c>
      <c r="I58" s="18" t="inlineStr">
        <is>
          <t>家居</t>
        </is>
      </c>
      <c r="J58" s="18" t="inlineStr">
        <is>
          <t>KOC</t>
        </is>
      </c>
      <c r="K58" s="18" t="n">
        <v>18</v>
      </c>
      <c r="L58" s="18" t="n">
        <v>27000</v>
      </c>
      <c r="M58" s="18">
        <f>Q58*1.05</f>
        <v/>
      </c>
      <c r="N58" s="20">
        <f>Q58/(S58+T58++U58)</f>
        <v/>
      </c>
      <c r="O58" s="18" t="inlineStr">
        <is>
          <t>图文</t>
        </is>
      </c>
      <c r="P58" s="21" t="n">
        <v>0.7</v>
      </c>
      <c r="Q58" s="18" t="n">
        <v>2600</v>
      </c>
      <c r="R58" s="20">
        <f>Q58/L58*1000</f>
        <v/>
      </c>
      <c r="S58" s="18" t="n">
        <v>992</v>
      </c>
      <c r="T58" s="18" t="n">
        <v>24</v>
      </c>
      <c r="U58" s="18" t="n">
        <v>58</v>
      </c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</row>
    <row r="59">
      <c r="A59" s="17" t="n">
        <v>46091</v>
      </c>
      <c r="B59" s="18" t="n"/>
      <c r="C59" s="18" t="n"/>
      <c r="D59" s="18" t="inlineStr">
        <is>
          <t>品牌</t>
        </is>
      </c>
      <c r="E59" s="18" t="inlineStr">
        <is>
          <t>祝你暴富</t>
        </is>
      </c>
      <c r="F59" s="19" t="inlineStr">
        <is>
          <t>https://www.xingtu.cn/ad/creator/author-homepage/douyin-video/7036987921882152974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59" s="19" t="inlineStr">
        <is>
          <t>https://www.douyin.com/user/MS4wLjABAAAA3MFVYK4C33aSrCUWH2rVCTOQ7oYCRr3a7yjnixuTyikLTa2w3wnVNQq6tx4Akv7v</t>
        </is>
      </c>
      <c r="H59" s="18" t="inlineStr">
        <is>
          <t>nuonuocci__</t>
        </is>
      </c>
      <c r="I59" s="18" t="inlineStr">
        <is>
          <t>家居</t>
        </is>
      </c>
      <c r="J59" s="18" t="inlineStr">
        <is>
          <t>KOC</t>
        </is>
      </c>
      <c r="K59" s="18" t="n">
        <v>20</v>
      </c>
      <c r="L59" s="18" t="n">
        <v>115000</v>
      </c>
      <c r="M59" s="18">
        <f>Q59*1.05</f>
        <v/>
      </c>
      <c r="N59" s="20">
        <f>Q59/(S59+T59++U59)</f>
        <v/>
      </c>
      <c r="O59" s="18" t="inlineStr">
        <is>
          <t>图文</t>
        </is>
      </c>
      <c r="P59" s="21" t="n">
        <v>0.9</v>
      </c>
      <c r="Q59" s="18" t="n">
        <v>3200</v>
      </c>
      <c r="R59" s="20">
        <f>Q59/L59*1000</f>
        <v/>
      </c>
      <c r="S59" s="22" t="n">
        <v>1181</v>
      </c>
      <c r="T59" s="18" t="n">
        <v>32</v>
      </c>
      <c r="U59" s="18" t="n">
        <v>31</v>
      </c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</row>
    <row r="60">
      <c r="A60" s="17" t="n">
        <v>46091</v>
      </c>
      <c r="B60" s="18" t="n"/>
      <c r="C60" s="18" t="n"/>
      <c r="D60" s="18" t="inlineStr">
        <is>
          <t>品牌</t>
        </is>
      </c>
      <c r="E60" s="18" t="inlineStr">
        <is>
          <t xml:space="preserve">
呃呃</t>
        </is>
      </c>
      <c r="F60" s="19" t="inlineStr">
        <is>
          <t>https://www.xingtu.cn/ad/creator/author-homepage/douyin-video/7169122654257938443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60" s="19" t="inlineStr">
        <is>
          <t>https://www.douyin.com/user/MS4wLjABAAAAhPjSiDu1UrW6CK1nU94sTmvdZO5uwBPWBPphdB4ggrqPutoK0_sUoYywA4UTE1dr</t>
        </is>
      </c>
      <c r="H60" s="18" t="n">
        <v>36200279546</v>
      </c>
      <c r="I60" s="18" t="inlineStr">
        <is>
          <t>家居</t>
        </is>
      </c>
      <c r="J60" s="18" t="inlineStr">
        <is>
          <t>KOC</t>
        </is>
      </c>
      <c r="K60" s="18" t="n">
        <v>12.6</v>
      </c>
      <c r="L60" s="18" t="n">
        <v>84000</v>
      </c>
      <c r="M60" s="18">
        <f>Q60*1.05</f>
        <v/>
      </c>
      <c r="N60" s="20">
        <f>Q60/(S60+T60++U60)</f>
        <v/>
      </c>
      <c r="O60" s="18" t="inlineStr">
        <is>
          <t>图文</t>
        </is>
      </c>
      <c r="P60" s="21" t="n">
        <v>0.43</v>
      </c>
      <c r="Q60" s="18" t="n">
        <v>5000</v>
      </c>
      <c r="R60" s="20">
        <f>Q60/L60*1000</f>
        <v/>
      </c>
      <c r="S60" s="18" t="n">
        <v>3458</v>
      </c>
      <c r="T60" s="18" t="n">
        <v>137</v>
      </c>
      <c r="U60" s="18" t="n">
        <v>498</v>
      </c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</row>
    <row r="61">
      <c r="A61" s="17" t="n">
        <v>46091</v>
      </c>
      <c r="B61" s="18" t="n"/>
      <c r="C61" s="18" t="n"/>
      <c r="D61" s="18" t="inlineStr">
        <is>
          <t>品牌</t>
        </is>
      </c>
      <c r="E61" s="18" t="inlineStr">
        <is>
          <t>沐汐</t>
        </is>
      </c>
      <c r="F61" s="19" t="inlineStr">
        <is>
          <t>https://www.xingtu.cn/ad/creator/author-homepage/douyin-video/7041088242673778725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61" s="19" t="inlineStr">
        <is>
          <t>https://www.douyin.com/user/MS4wLjABAAAAl0BD9cKsBgeqOi7X4MU_oYARK_4zimnEBz7jajrrQuQ</t>
        </is>
      </c>
      <c r="H61" s="18" t="inlineStr">
        <is>
          <t>mx526297896</t>
        </is>
      </c>
      <c r="I61" s="18" t="inlineStr">
        <is>
          <t>家居</t>
        </is>
      </c>
      <c r="J61" s="18" t="inlineStr">
        <is>
          <t>KOC</t>
        </is>
      </c>
      <c r="K61" s="18" t="n">
        <v>15</v>
      </c>
      <c r="L61" s="18" t="n">
        <v>28000</v>
      </c>
      <c r="M61" s="18">
        <f>Q61*1.05</f>
        <v/>
      </c>
      <c r="N61" s="20">
        <f>Q61/(S61+T61++U61)</f>
        <v/>
      </c>
      <c r="O61" s="18" t="inlineStr">
        <is>
          <t>图文</t>
        </is>
      </c>
      <c r="P61" s="21" t="n">
        <v>0.8</v>
      </c>
      <c r="Q61" s="18" t="n">
        <v>5000</v>
      </c>
      <c r="R61" s="20">
        <f>Q61/L61*1000</f>
        <v/>
      </c>
      <c r="S61" s="18" t="n">
        <v>540</v>
      </c>
      <c r="T61" s="18" t="n">
        <v>40</v>
      </c>
      <c r="U61" s="18" t="n">
        <v>43</v>
      </c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</row>
    <row r="62">
      <c r="A62" s="17" t="n">
        <v>46091</v>
      </c>
      <c r="B62" s="18" t="n"/>
      <c r="C62" s="18" t="n"/>
      <c r="D62" s="18" t="inlineStr">
        <is>
          <t>品牌</t>
        </is>
      </c>
      <c r="E62" s="18" t="inlineStr">
        <is>
          <t>Y7🎃</t>
        </is>
      </c>
      <c r="F62" s="19" t="inlineStr">
        <is>
          <t>https://www.xingtu.cn/ad/creator/author-homepage/douyin-video/7262605435608236069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62" s="19" t="inlineStr">
        <is>
          <t>https://www.douyin.com/user/MS4wLjABAAAAi1Q0Xffb80aamxebhnHZs3hrJZrRf8aYk-xZ7L825sAvfUxwM802KrrsnHk0fgCR</t>
        </is>
      </c>
      <c r="H62" s="18" t="n">
        <v>47929266307</v>
      </c>
      <c r="I62" s="18" t="inlineStr">
        <is>
          <t>家居</t>
        </is>
      </c>
      <c r="J62" s="18" t="inlineStr">
        <is>
          <t>KOC</t>
        </is>
      </c>
      <c r="K62" s="18" t="n">
        <v>1.5</v>
      </c>
      <c r="L62" s="18" t="n">
        <v>15000</v>
      </c>
      <c r="M62" s="18">
        <f>Q62*1.05</f>
        <v/>
      </c>
      <c r="N62" s="20">
        <f>Q62/(S62+T62++U62)</f>
        <v/>
      </c>
      <c r="O62" s="18" t="inlineStr">
        <is>
          <t>图文</t>
        </is>
      </c>
      <c r="P62" s="21" t="n">
        <v>0.65</v>
      </c>
      <c r="Q62" s="18" t="n">
        <v>2000</v>
      </c>
      <c r="R62" s="20">
        <f>Q62/L62*1000</f>
        <v/>
      </c>
      <c r="S62" s="18" t="n">
        <v>140</v>
      </c>
      <c r="T62" s="18" t="n">
        <v>11</v>
      </c>
      <c r="U62" s="18" t="n">
        <v>56</v>
      </c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</row>
    <row r="63">
      <c r="A63" s="17" t="n">
        <v>46091</v>
      </c>
      <c r="B63" s="18" t="n"/>
      <c r="C63" s="18" t="n"/>
      <c r="D63" s="18" t="inlineStr">
        <is>
          <t>品牌</t>
        </is>
      </c>
      <c r="E63" s="18" t="inlineStr">
        <is>
          <t>Gab</t>
        </is>
      </c>
      <c r="F63" s="19" t="inlineStr">
        <is>
          <t>https://www.xingtu.cn/ad/creator/author-homepage/douyin-video/7244099122708365371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63" s="19" t="inlineStr">
        <is>
          <t>https://www.douyin.com/user/MS4wLjABAAAANL75_uHWewlRpKVPyt_rtMbYjOgdURbA9FosMhv7hfs</t>
        </is>
      </c>
      <c r="H63" s="18" t="n">
        <v>871026255</v>
      </c>
      <c r="I63" s="18" t="inlineStr">
        <is>
          <t>家居</t>
        </is>
      </c>
      <c r="J63" s="18" t="inlineStr">
        <is>
          <t>KOC</t>
        </is>
      </c>
      <c r="K63" s="18" t="n">
        <v>1.4</v>
      </c>
      <c r="L63" s="18" t="n">
        <v>29000</v>
      </c>
      <c r="M63" s="18">
        <f>Q63*1.05</f>
        <v/>
      </c>
      <c r="N63" s="20">
        <f>Q63/(S63+T63++U63)</f>
        <v/>
      </c>
      <c r="O63" s="18" t="inlineStr">
        <is>
          <t>图文</t>
        </is>
      </c>
      <c r="P63" s="21" t="n">
        <v>0.35</v>
      </c>
      <c r="Q63" s="18" t="n">
        <v>3000</v>
      </c>
      <c r="R63" s="20">
        <f>Q63/L63*1000</f>
        <v/>
      </c>
      <c r="S63" s="18" t="n">
        <v>479</v>
      </c>
      <c r="T63" s="18" t="n">
        <v>23</v>
      </c>
      <c r="U63" s="18" t="n">
        <v>184</v>
      </c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</row>
    <row r="64">
      <c r="A64" s="17" t="n">
        <v>46091</v>
      </c>
      <c r="B64" s="18" t="n"/>
      <c r="C64" s="18" t="n"/>
      <c r="D64" s="18" t="inlineStr">
        <is>
          <t>品牌</t>
        </is>
      </c>
      <c r="E64" s="18" t="inlineStr">
        <is>
          <t>李大木爱美学</t>
        </is>
      </c>
      <c r="F64" s="19" t="inlineStr">
        <is>
          <t>https://www.xingtu.cn/ad/creator/author-homepage/douyin-video/7382758450746359835?market_track_id=475HW1GG0T5T6MS7W2K9&amp;search_session_id=7615559339038507054&amp;video_type=130&amp;_route_from=from_page%3DMarket%26search_session_id%3D7615559339038507054%26is_for_order%3D0%26market_track_id%3D475HW1GG0T5T6MS7W2K9%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    </is>
      </c>
      <c r="G64" s="19" t="inlineStr">
        <is>
          <t>https://www.douyin.com/user/MS4wLjABAAAAZZF_Are2iuUt1L_CYs1s3IuhzpMWZdZ11-Hu9BMUDwGLoVrKGSBkrwNlDS7Fn8K4</t>
        </is>
      </c>
      <c r="H64" s="18" t="n">
        <v>47214059766</v>
      </c>
      <c r="I64" s="18" t="inlineStr">
        <is>
          <t>家居</t>
        </is>
      </c>
      <c r="J64" s="18" t="inlineStr">
        <is>
          <t>KOC</t>
        </is>
      </c>
      <c r="K64" s="18" t="n">
        <v>1.9</v>
      </c>
      <c r="L64" s="18" t="n">
        <v>27000</v>
      </c>
      <c r="M64" s="18">
        <f>Q64*1.05</f>
        <v/>
      </c>
      <c r="N64" s="20">
        <f>Q64/(S64+T64++U64)</f>
        <v/>
      </c>
      <c r="O64" s="18" t="inlineStr">
        <is>
          <t>图文</t>
        </is>
      </c>
      <c r="P64" s="21" t="n">
        <v>0.88</v>
      </c>
      <c r="Q64" s="18" t="n">
        <v>2100</v>
      </c>
      <c r="R64" s="20">
        <f>Q64/L64*1000</f>
        <v/>
      </c>
      <c r="S64" s="18" t="n">
        <v>430</v>
      </c>
      <c r="T64" s="18" t="n">
        <v>32</v>
      </c>
      <c r="U64" s="18" t="n">
        <v>11</v>
      </c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</row>
    <row r="65">
      <c r="A65" s="17" t="n">
        <v>46092</v>
      </c>
      <c r="B65" s="18" t="n"/>
      <c r="C65" s="18" t="n"/>
      <c r="D65" s="18" t="inlineStr">
        <is>
          <t>电商</t>
        </is>
      </c>
      <c r="E65" s="18" t="inlineStr">
        <is>
          <t>柒一家</t>
        </is>
      </c>
      <c r="F65" s="19" t="inlineStr">
        <is>
          <t>https://www.xingtu.cn/ad/creator/author-homepage/douyin-video/7176904361673490491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65" s="19" t="inlineStr">
        <is>
          <t>https://www.douyin.com/user/MS4wLjABAAAAVSS41rcUip5SEQ0pQrF_ymuiKhM7RRZ2lIwoW-_pRZWcjrL3RdQMAKQHI-cYz2gk</t>
        </is>
      </c>
      <c r="H65" s="18" t="inlineStr">
        <is>
          <t>ARJ_HZ_</t>
        </is>
      </c>
      <c r="I65" s="18" t="inlineStr">
        <is>
          <t>家居</t>
        </is>
      </c>
      <c r="J65" s="18" t="inlineStr">
        <is>
          <t>KOC</t>
        </is>
      </c>
      <c r="K65" s="18" t="n">
        <v>11.4</v>
      </c>
      <c r="L65" s="18" t="n">
        <v>40000</v>
      </c>
      <c r="M65" s="18">
        <f>Q65*1.05</f>
        <v/>
      </c>
      <c r="N65" s="20">
        <f>Q65/(S65+T65++U65)</f>
        <v/>
      </c>
      <c r="O65" s="18" t="inlineStr">
        <is>
          <t>图文</t>
        </is>
      </c>
      <c r="P65" s="21" t="n">
        <v>0.49</v>
      </c>
      <c r="Q65" s="18" t="n">
        <v>3500</v>
      </c>
      <c r="R65" s="20">
        <f>Q65/L65*1000</f>
        <v/>
      </c>
      <c r="S65" s="18" t="n">
        <v>359</v>
      </c>
      <c r="T65" s="18" t="n">
        <v>17</v>
      </c>
      <c r="U65" s="18" t="n">
        <v>102</v>
      </c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</row>
    <row r="66">
      <c r="A66" s="17" t="n">
        <v>46092</v>
      </c>
      <c r="B66" s="18" t="n"/>
      <c r="C66" s="18" t="n"/>
      <c r="D66" s="18" t="inlineStr">
        <is>
          <t>电商</t>
        </is>
      </c>
      <c r="E66" s="18" t="inlineStr">
        <is>
          <t>唐小丫不胖</t>
        </is>
      </c>
      <c r="F66" s="19" t="inlineStr">
        <is>
          <t>https://www.xingtu.cn/ad/creator/author-homepage/douyin-video/6996224861416718336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66" s="19" t="inlineStr">
        <is>
          <t>https://www.douyin.com/user/MS4wLjABAAAACooejWW8wqfLAKCJMdkdOOz3gTls6lB5KmIAWUultmAcIvGhSdxzVkP8UheN7OEj</t>
        </is>
      </c>
      <c r="H66" s="18" t="inlineStr">
        <is>
          <t>txybp23</t>
        </is>
      </c>
      <c r="I66" s="18" t="inlineStr">
        <is>
          <t>家居</t>
        </is>
      </c>
      <c r="J66" s="18" t="inlineStr">
        <is>
          <t>KOC</t>
        </is>
      </c>
      <c r="K66" s="18" t="n">
        <v>30</v>
      </c>
      <c r="L66" s="18" t="n">
        <v>170000</v>
      </c>
      <c r="M66" s="18">
        <f>Q66*1.05</f>
        <v/>
      </c>
      <c r="N66" s="20">
        <f>Q66/(S66+T66++U66)</f>
        <v/>
      </c>
      <c r="O66" s="18" t="inlineStr">
        <is>
          <t>图文</t>
        </is>
      </c>
      <c r="P66" s="21" t="n">
        <v>0.37</v>
      </c>
      <c r="Q66" s="18" t="n">
        <v>6000</v>
      </c>
      <c r="R66" s="20">
        <f>Q66/L66*1000</f>
        <v/>
      </c>
      <c r="S66" s="22" t="n">
        <v>2869</v>
      </c>
      <c r="T66" s="18" t="n">
        <v>35</v>
      </c>
      <c r="U66" s="18" t="n">
        <v>302</v>
      </c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</row>
    <row r="67">
      <c r="A67" s="17" t="n">
        <v>46092</v>
      </c>
      <c r="B67" s="18" t="n"/>
      <c r="C67" s="18" t="n"/>
      <c r="D67" s="18" t="inlineStr">
        <is>
          <t>电商</t>
        </is>
      </c>
      <c r="E67" s="18" t="inlineStr">
        <is>
          <t>A.D的家</t>
        </is>
      </c>
      <c r="F67" s="19" t="inlineStr">
        <is>
          <t>https://www.xingtu.cn/ad/creator/author-homepage/douyin-video/7006201567988678693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67" s="19" t="inlineStr">
        <is>
          <t>https://www.douyin.com/user/MS4wLjABAAAAC_AIeGnLMeOC6Vt2ej9aW6i58OFcVPY9RaR0G8d_pYk</t>
        </is>
      </c>
      <c r="H67" s="18" t="inlineStr">
        <is>
          <t>An.0922_</t>
        </is>
      </c>
      <c r="I67" s="18" t="inlineStr">
        <is>
          <t>家居</t>
        </is>
      </c>
      <c r="J67" s="18" t="inlineStr">
        <is>
          <t>KOC</t>
        </is>
      </c>
      <c r="K67" s="18" t="n">
        <v>30</v>
      </c>
      <c r="L67" s="18" t="n">
        <v>42000</v>
      </c>
      <c r="M67" s="18">
        <f>Q67*1.05</f>
        <v/>
      </c>
      <c r="N67" s="20">
        <f>Q67/(S67+T67++U67)</f>
        <v/>
      </c>
      <c r="O67" s="18" t="inlineStr">
        <is>
          <t>图文</t>
        </is>
      </c>
      <c r="P67" s="21" t="n">
        <v>0.46</v>
      </c>
      <c r="Q67" s="18" t="n">
        <v>6000</v>
      </c>
      <c r="R67" s="20">
        <f>Q67/L67*1000</f>
        <v/>
      </c>
      <c r="S67" s="22" t="n">
        <v>1315</v>
      </c>
      <c r="T67" s="18" t="n">
        <v>33</v>
      </c>
      <c r="U67" s="18" t="n">
        <v>662</v>
      </c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</row>
    <row r="68">
      <c r="A68" s="17" t="n">
        <v>46092</v>
      </c>
      <c r="B68" s="18" t="n"/>
      <c r="C68" s="18" t="n"/>
      <c r="D68" s="18" t="inlineStr">
        <is>
          <t>电商</t>
        </is>
      </c>
      <c r="E68" s="18" t="inlineStr">
        <is>
          <t>妮子的家</t>
        </is>
      </c>
      <c r="F68" s="19" t="inlineStr">
        <is>
          <t>https://www.xingtu.cn/ad/creator/author-homepage/douyin-video/7097190289210949646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68" s="19" t="inlineStr">
        <is>
          <t>https://www.douyin.com/user/MS4wLjABAAAA6BqFdHOUc8e18q8Q34HN9fecXBHAqAfBPH-EsDnU2HsOSRBaeCJI_tbCEfcnWiUv</t>
        </is>
      </c>
      <c r="H68" s="18" t="n">
        <v>83761496528</v>
      </c>
      <c r="I68" s="18" t="inlineStr">
        <is>
          <t>家居</t>
        </is>
      </c>
      <c r="J68" s="18" t="inlineStr">
        <is>
          <t>KOC</t>
        </is>
      </c>
      <c r="K68" s="18" t="n">
        <v>24</v>
      </c>
      <c r="L68" s="18" t="n">
        <v>661000</v>
      </c>
      <c r="M68" s="18">
        <f>Q68*1.05</f>
        <v/>
      </c>
      <c r="N68" s="20">
        <f>Q68/(S68+T68++U68)</f>
        <v/>
      </c>
      <c r="O68" s="18" t="inlineStr">
        <is>
          <t>图文</t>
        </is>
      </c>
      <c r="P68" s="21" t="n">
        <v>0.42</v>
      </c>
      <c r="Q68" s="18" t="n">
        <v>5000</v>
      </c>
      <c r="R68" s="20">
        <f>Q68/L68*1000</f>
        <v/>
      </c>
      <c r="S68" s="22" t="n">
        <v>2431</v>
      </c>
      <c r="T68" s="18" t="n">
        <v>92</v>
      </c>
      <c r="U68" s="18" t="n">
        <v>283</v>
      </c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</row>
    <row r="69">
      <c r="A69" s="17" t="n">
        <v>46092</v>
      </c>
      <c r="B69" s="18" t="n"/>
      <c r="C69" s="18" t="n"/>
      <c r="D69" s="18" t="inlineStr">
        <is>
          <t>电商</t>
        </is>
      </c>
      <c r="E69" s="18" t="inlineStr">
        <is>
          <t>大王麻麻🏠</t>
        </is>
      </c>
      <c r="F69" s="19" t="inlineStr">
        <is>
          <t>https://www.xingtu.cn/ad/creator/author-homepage/douyin-video/7112285090771632136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69" s="19" t="inlineStr">
        <is>
          <t>https://www.douyin.com/user/MS4wLjABAAAA4dJG07hpopuuI-1_1N3BJyqE7iVxNObK2j3bDy-GOnMzF-Dv9vFa0Xig08PnIOUa</t>
        </is>
      </c>
      <c r="H69" s="18" t="inlineStr">
        <is>
          <t xml:space="preserve">aiqida006
 </t>
        </is>
      </c>
      <c r="I69" s="18" t="inlineStr">
        <is>
          <t>家居</t>
        </is>
      </c>
      <c r="J69" s="18" t="inlineStr">
        <is>
          <t>KOC</t>
        </is>
      </c>
      <c r="K69" s="18" t="n">
        <v>20</v>
      </c>
      <c r="L69" s="18" t="n">
        <v>311000</v>
      </c>
      <c r="M69" s="18">
        <f>Q69*1.05</f>
        <v/>
      </c>
      <c r="N69" s="20">
        <f>Q69/(S69+T69++U69)</f>
        <v/>
      </c>
      <c r="O69" s="18" t="inlineStr">
        <is>
          <t>图文</t>
        </is>
      </c>
      <c r="P69" s="21" t="n">
        <v>0.46</v>
      </c>
      <c r="Q69" s="18" t="n">
        <v>5000</v>
      </c>
      <c r="R69" s="20">
        <f>Q69/L69*1000</f>
        <v/>
      </c>
      <c r="S69" s="22" t="n">
        <v>2569</v>
      </c>
      <c r="T69" s="18" t="n">
        <v>163</v>
      </c>
      <c r="U69" s="18" t="n">
        <v>181</v>
      </c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</row>
    <row r="70">
      <c r="A70" s="17" t="n">
        <v>46092</v>
      </c>
      <c r="B70" s="18" t="n"/>
      <c r="C70" s="18" t="n"/>
      <c r="D70" s="18" t="inlineStr">
        <is>
          <t>电商</t>
        </is>
      </c>
      <c r="E70" s="18" t="inlineStr">
        <is>
          <t>杰瑞有个漂亮家</t>
        </is>
      </c>
      <c r="F70" s="19" t="inlineStr">
        <is>
          <t>https://www.xingtu.cn/ad/creator/author-homepage/douyin-video/7368677997240385573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0" s="19" t="inlineStr">
        <is>
          <t>https://www.douyin.com/user/MS4wLjABAAAA3Bd0BFA-N9Mq2j1VkaWBQDRa0gxM-KUADksFVHO3TlRGzOYd0eYlATGyaOVZV1Qs</t>
        </is>
      </c>
      <c r="H70" s="18" t="inlineStr">
        <is>
          <t>jerryshome</t>
        </is>
      </c>
      <c r="I70" s="18" t="inlineStr">
        <is>
          <t>家居</t>
        </is>
      </c>
      <c r="J70" s="18" t="inlineStr">
        <is>
          <t>KOC</t>
        </is>
      </c>
      <c r="K70" s="18" t="n">
        <v>22</v>
      </c>
      <c r="L70" s="18" t="n">
        <v>61000</v>
      </c>
      <c r="M70" s="18">
        <f>Q70*1.05</f>
        <v/>
      </c>
      <c r="N70" s="20">
        <f>Q70/(S70+T70++U70)</f>
        <v/>
      </c>
      <c r="O70" s="18" t="inlineStr">
        <is>
          <t>图文</t>
        </is>
      </c>
      <c r="P70" s="21" t="n">
        <v>0.72</v>
      </c>
      <c r="Q70" s="18" t="n">
        <v>6000</v>
      </c>
      <c r="R70" s="20">
        <f>Q70/L70*1000</f>
        <v/>
      </c>
      <c r="S70" s="22" t="n">
        <v>1466</v>
      </c>
      <c r="T70" s="18" t="n">
        <v>17</v>
      </c>
      <c r="U70" s="18" t="n">
        <v>383</v>
      </c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</row>
    <row r="71">
      <c r="A71" s="17" t="n">
        <v>46092</v>
      </c>
      <c r="B71" s="18" t="n"/>
      <c r="C71" s="18" t="n"/>
      <c r="D71" s="18" t="inlineStr">
        <is>
          <t>电商</t>
        </is>
      </c>
      <c r="E71" s="18" t="inlineStr">
        <is>
          <t>尚贞姐姐</t>
        </is>
      </c>
      <c r="F71" s="19" t="inlineStr">
        <is>
          <t>https://www.xingtu.cn/ad/creator/author-homepage/douyin-video/6975029214730797092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1" s="19" t="inlineStr">
        <is>
          <t>https://www.douyin.com/user/MS4wLjABAAAArBQjifVIApFCpbCRzox0itAoGmTW8fuf1bPG2w0wuPU</t>
        </is>
      </c>
      <c r="H71" s="18" t="inlineStr">
        <is>
          <t>Hwaj1217</t>
        </is>
      </c>
      <c r="I71" s="18" t="inlineStr">
        <is>
          <t>家居</t>
        </is>
      </c>
      <c r="J71" s="18" t="inlineStr">
        <is>
          <t>KOC</t>
        </is>
      </c>
      <c r="K71" s="18" t="n">
        <v>29</v>
      </c>
      <c r="L71" s="18" t="n">
        <v>117000</v>
      </c>
      <c r="M71" s="18">
        <f>Q71*1.05</f>
        <v/>
      </c>
      <c r="N71" s="20">
        <f>Q71/(S71+T71++U71)</f>
        <v/>
      </c>
      <c r="O71" s="18" t="inlineStr">
        <is>
          <t>图文</t>
        </is>
      </c>
      <c r="P71" s="21" t="n">
        <v>0.84</v>
      </c>
      <c r="Q71" s="18" t="n">
        <v>4000</v>
      </c>
      <c r="R71" s="20">
        <f>Q71/L71*1000</f>
        <v/>
      </c>
      <c r="S71" s="18" t="n">
        <v>454</v>
      </c>
      <c r="T71" s="18" t="n">
        <v>209</v>
      </c>
      <c r="U71" s="18" t="n">
        <v>13</v>
      </c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</row>
    <row r="72">
      <c r="A72" s="17" t="n">
        <v>46092</v>
      </c>
      <c r="B72" s="18" t="n"/>
      <c r="C72" s="18" t="n"/>
      <c r="D72" s="18" t="inlineStr">
        <is>
          <t>电商</t>
        </is>
      </c>
      <c r="E72" s="18" t="inlineStr">
        <is>
          <t>雪梨羊</t>
        </is>
      </c>
      <c r="F72" s="19" t="inlineStr">
        <is>
          <t>https://www.xingtu.cn/ad/creator/author-homepage/douyin-video/6903436933326700557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2" s="19" t="inlineStr">
        <is>
          <t>https://www.douyin.com/user/MS4wLjABAAAAl1nH_O01W8kaBQ1okDYyuhyTfMHMZ3t6TsT7BwHaSHs</t>
        </is>
      </c>
      <c r="H72" s="18" t="inlineStr">
        <is>
          <t>py363587120</t>
        </is>
      </c>
      <c r="I72" s="18" t="inlineStr">
        <is>
          <t>家居</t>
        </is>
      </c>
      <c r="J72" s="18" t="inlineStr">
        <is>
          <t>KOC</t>
        </is>
      </c>
      <c r="K72" s="18" t="n">
        <v>22</v>
      </c>
      <c r="L72" s="18" t="n">
        <v>30000</v>
      </c>
      <c r="M72" s="18">
        <f>Q72*1.05</f>
        <v/>
      </c>
      <c r="N72" s="20">
        <f>Q72/(S72+T72++U72)</f>
        <v/>
      </c>
      <c r="O72" s="18" t="inlineStr">
        <is>
          <t>图文</t>
        </is>
      </c>
      <c r="P72" s="21" t="n">
        <v>0.48</v>
      </c>
      <c r="Q72" s="18" t="n">
        <v>3500</v>
      </c>
      <c r="R72" s="20">
        <f>Q72/L72*1000</f>
        <v/>
      </c>
      <c r="S72" s="18" t="n">
        <v>691</v>
      </c>
      <c r="T72" s="18" t="n">
        <v>22</v>
      </c>
      <c r="U72" s="18" t="n">
        <v>71</v>
      </c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</row>
    <row r="73">
      <c r="A73" s="17" t="n">
        <v>46092</v>
      </c>
      <c r="B73" s="18" t="n"/>
      <c r="C73" s="18" t="n"/>
      <c r="D73" s="18" t="inlineStr">
        <is>
          <t>电商</t>
        </is>
      </c>
      <c r="E73" s="18" t="inlineStr">
        <is>
          <t>芳芳的涂涂家</t>
        </is>
      </c>
      <c r="F73" s="19" t="inlineStr">
        <is>
          <t>https://www.xingtu.cn/ad/creator/author-homepage/douyin-video/7102346407327039519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3" s="19" t="inlineStr">
        <is>
          <t>https://www.douyin.com/user/MS4wLjABAAAACysJhWgm02MSQGb3mANVDlC523Cbl4imV8RualLlxRs</t>
        </is>
      </c>
      <c r="H73" s="18" t="n">
        <v>1842903758</v>
      </c>
      <c r="I73" s="18" t="inlineStr">
        <is>
          <t>家居</t>
        </is>
      </c>
      <c r="J73" s="18" t="inlineStr">
        <is>
          <t>KOC</t>
        </is>
      </c>
      <c r="K73" s="18" t="n">
        <v>28</v>
      </c>
      <c r="L73" s="18" t="n">
        <v>123000</v>
      </c>
      <c r="M73" s="18">
        <f>Q73*1.05</f>
        <v/>
      </c>
      <c r="N73" s="20">
        <f>Q73/(S73+T73++U73)</f>
        <v/>
      </c>
      <c r="O73" s="18" t="inlineStr">
        <is>
          <t>图文</t>
        </is>
      </c>
      <c r="P73" s="21" t="n">
        <v>0.49</v>
      </c>
      <c r="Q73" s="18" t="n">
        <v>5000</v>
      </c>
      <c r="R73" s="20">
        <f>Q73/L73*1000</f>
        <v/>
      </c>
      <c r="S73" s="18" t="n">
        <v>1851</v>
      </c>
      <c r="T73" s="18" t="n">
        <v>134</v>
      </c>
      <c r="U73" s="18" t="n">
        <v>132</v>
      </c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</row>
    <row r="74">
      <c r="A74" s="17" t="n">
        <v>46092</v>
      </c>
      <c r="B74" s="18" t="n"/>
      <c r="C74" s="18" t="n"/>
      <c r="D74" s="18" t="inlineStr">
        <is>
          <t>电商</t>
        </is>
      </c>
      <c r="E74" s="18" t="n">
        <v>923</v>
      </c>
      <c r="F74" s="19" t="inlineStr">
        <is>
          <t>https://www.xingtu.cn/ad/creator/author-homepage/douyin-video/7051590481691541535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4" s="19" t="inlineStr">
        <is>
          <t>https://www.douyin.com/user/MS4wLjABAAAAKodHRmKPD1xCEN2HYwE9cfIRR5m9Zum1vr9BQc3JPE0</t>
        </is>
      </c>
      <c r="H74" s="18" t="inlineStr">
        <is>
          <t>yq92361</t>
        </is>
      </c>
      <c r="I74" s="18" t="inlineStr">
        <is>
          <t>家居</t>
        </is>
      </c>
      <c r="J74" s="18" t="inlineStr">
        <is>
          <t>KOC</t>
        </is>
      </c>
      <c r="K74" s="18" t="n">
        <v>12</v>
      </c>
      <c r="L74" s="18" t="n">
        <v>34000</v>
      </c>
      <c r="M74" s="18">
        <f>Q74*1.05</f>
        <v/>
      </c>
      <c r="N74" s="20">
        <f>Q74/(S74+T74++U74)</f>
        <v/>
      </c>
      <c r="O74" s="18" t="inlineStr">
        <is>
          <t>图文</t>
        </is>
      </c>
      <c r="P74" s="21" t="n">
        <v>0.78</v>
      </c>
      <c r="Q74" s="18" t="n">
        <v>5000</v>
      </c>
      <c r="R74" s="20">
        <f>Q74/L74*1000</f>
        <v/>
      </c>
      <c r="S74" s="18" t="n">
        <v>952</v>
      </c>
      <c r="T74" s="18" t="n">
        <v>33</v>
      </c>
      <c r="U74" s="18" t="n">
        <v>269</v>
      </c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</row>
    <row r="75">
      <c r="A75" s="17" t="n">
        <v>46092</v>
      </c>
      <c r="B75" s="18" t="n"/>
      <c r="C75" s="18" t="n"/>
      <c r="D75" s="18" t="inlineStr">
        <is>
          <t>品牌</t>
        </is>
      </c>
      <c r="E75" s="18" t="inlineStr">
        <is>
          <t>奥罗拉·默🍀</t>
        </is>
      </c>
      <c r="F75" s="19" t="inlineStr">
        <is>
          <t>https://www.xingtu.cn/ad/creator/author-homepage/douyin-video/6718387479713415179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5" s="19" t="inlineStr">
        <is>
          <t>https://www.douyin.com/user/MS4wLjABAAAAqJ-lpW-0FPTC7AnyN4p4PpNmaVVrUXp_oGWio1UpGgk</t>
        </is>
      </c>
      <c r="H75" s="18" t="inlineStr">
        <is>
          <t>Mo1130</t>
        </is>
      </c>
      <c r="I75" s="18" t="inlineStr">
        <is>
          <t>家居</t>
        </is>
      </c>
      <c r="J75" s="18" t="inlineStr">
        <is>
          <t>KOC</t>
        </is>
      </c>
      <c r="K75" s="18" t="n">
        <v>18</v>
      </c>
      <c r="L75" s="18" t="n">
        <v>39000</v>
      </c>
      <c r="M75" s="18">
        <f>Q75*1.05</f>
        <v/>
      </c>
      <c r="N75" s="20">
        <f>Q75/(S75+T75++U75)</f>
        <v/>
      </c>
      <c r="O75" s="18" t="inlineStr">
        <is>
          <t>图文</t>
        </is>
      </c>
      <c r="P75" s="21" t="n">
        <v>0.58</v>
      </c>
      <c r="Q75" s="18" t="n">
        <v>3175</v>
      </c>
      <c r="R75" s="20">
        <f>Q75/L75*1000</f>
        <v/>
      </c>
      <c r="S75" s="18" t="n">
        <v>271</v>
      </c>
      <c r="T75" s="18" t="n">
        <v>52</v>
      </c>
      <c r="U75" s="18" t="n">
        <v>47</v>
      </c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</row>
    <row r="76">
      <c r="A76" s="17" t="n">
        <v>46092</v>
      </c>
      <c r="B76" s="18" t="n"/>
      <c r="C76" s="18" t="n"/>
      <c r="D76" s="18" t="inlineStr">
        <is>
          <t>品牌</t>
        </is>
      </c>
      <c r="E76" s="18" t="inlineStr">
        <is>
          <t>角落阳光</t>
        </is>
      </c>
      <c r="F76" s="19" t="inlineStr">
        <is>
          <t>https://www.xingtu.cn/ad/creator/author-homepage/douyin-video/7516330806915104778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6" s="19" t="inlineStr">
        <is>
          <t>https://www.douyin.com/user/MS4wLjABAAAAPj9isobKGt260zcoHrOfZdqg2wE4aLanFC0-O1PtjjvrpOXMwk9bqEKtfrCvPG8D</t>
        </is>
      </c>
      <c r="H76" s="18" t="n">
        <v>77135896222</v>
      </c>
      <c r="I76" s="18" t="inlineStr">
        <is>
          <t>家居</t>
        </is>
      </c>
      <c r="J76" s="18" t="inlineStr">
        <is>
          <t>KOC</t>
        </is>
      </c>
      <c r="K76" s="18" t="n">
        <v>2.9</v>
      </c>
      <c r="L76" s="18" t="n">
        <v>38000</v>
      </c>
      <c r="M76" s="18">
        <f>Q76*1.05</f>
        <v/>
      </c>
      <c r="N76" s="20">
        <f>Q76/(S76+T76++U76)</f>
        <v/>
      </c>
      <c r="O76" s="18" t="inlineStr">
        <is>
          <t>图文</t>
        </is>
      </c>
      <c r="P76" s="21" t="n">
        <v>0.62</v>
      </c>
      <c r="Q76" s="18" t="n">
        <v>4000</v>
      </c>
      <c r="R76" s="20">
        <f>Q76/L76*1000</f>
        <v/>
      </c>
      <c r="S76" s="18" t="n">
        <v>470</v>
      </c>
      <c r="T76" s="18" t="n">
        <v>35</v>
      </c>
      <c r="U76" s="18" t="n">
        <v>49</v>
      </c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</row>
    <row r="77">
      <c r="A77" s="17" t="n">
        <v>46092</v>
      </c>
      <c r="B77" s="18" t="n"/>
      <c r="C77" s="18" t="n"/>
      <c r="D77" s="18" t="inlineStr">
        <is>
          <t>品牌</t>
        </is>
      </c>
      <c r="E77" s="18" t="inlineStr">
        <is>
          <t>葡萄🍇</t>
        </is>
      </c>
      <c r="F77" s="19" t="inlineStr">
        <is>
          <t>https://www.xingtu.cn/ad/creator/author-homepage/douyin-video/7166153743216410654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7" s="19" t="inlineStr">
        <is>
          <t>https://www.douyin.com/user/MS4wLjABAAAAFRQ_306Qyt66b1iA4lDV7iQ6lK79s04fT_t2arL8fAc</t>
        </is>
      </c>
      <c r="H77" s="18" t="n">
        <v>84008562882</v>
      </c>
      <c r="I77" s="18" t="inlineStr">
        <is>
          <t>家居</t>
        </is>
      </c>
      <c r="J77" s="18" t="inlineStr">
        <is>
          <t>KOC</t>
        </is>
      </c>
      <c r="K77" s="18" t="n">
        <v>2.7</v>
      </c>
      <c r="L77" s="18" t="n">
        <v>78000</v>
      </c>
      <c r="M77" s="18">
        <f>Q77*1.05</f>
        <v/>
      </c>
      <c r="N77" s="20">
        <f>Q77/(S77+T77++U77)</f>
        <v/>
      </c>
      <c r="O77" s="18" t="inlineStr">
        <is>
          <t>图文</t>
        </is>
      </c>
      <c r="P77" s="21" t="n">
        <v>0.82</v>
      </c>
      <c r="Q77" s="18" t="n">
        <v>4500</v>
      </c>
      <c r="R77" s="20">
        <f>Q77/L77*1000</f>
        <v/>
      </c>
      <c r="S77" s="18" t="n">
        <v>1160</v>
      </c>
      <c r="T77" s="18" t="n">
        <v>51</v>
      </c>
      <c r="U77" s="18" t="n">
        <v>18</v>
      </c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</row>
    <row r="78">
      <c r="A78" s="17" t="n">
        <v>46092</v>
      </c>
      <c r="B78" s="18" t="n"/>
      <c r="C78" s="18" t="n"/>
      <c r="D78" s="18" t="inlineStr">
        <is>
          <t>品牌</t>
        </is>
      </c>
      <c r="E78" s="18" t="inlineStr">
        <is>
          <t>哼小鱼</t>
        </is>
      </c>
      <c r="F78" s="19" t="inlineStr">
        <is>
          <t>https://www.xingtu.cn/ad/creator/author-homepage/douyin-video/7386664604522250277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8" s="19" t="inlineStr">
        <is>
          <t>https://www.douyin.com/user/MS4wLjABAAAAItmUAwg49vsYoDYmZHiREz5XTEvrookJtLDx5UCIBh4</t>
        </is>
      </c>
      <c r="H78" s="18" t="n">
        <v>6167111</v>
      </c>
      <c r="I78" s="18" t="inlineStr">
        <is>
          <t>家居</t>
        </is>
      </c>
      <c r="J78" s="18" t="inlineStr">
        <is>
          <t>KOC</t>
        </is>
      </c>
      <c r="K78" s="18" t="n">
        <v>2.4</v>
      </c>
      <c r="L78" s="18" t="n">
        <v>22000</v>
      </c>
      <c r="M78" s="18">
        <f>Q78*1.05</f>
        <v/>
      </c>
      <c r="N78" s="20">
        <f>Q78/(S78+T78++U78)</f>
        <v/>
      </c>
      <c r="O78" s="18" t="inlineStr">
        <is>
          <t>图文</t>
        </is>
      </c>
      <c r="P78" s="21" t="n">
        <v>0.63</v>
      </c>
      <c r="Q78" s="18" t="n">
        <v>3000</v>
      </c>
      <c r="R78" s="20">
        <f>Q78/L78*1000</f>
        <v/>
      </c>
      <c r="S78" s="18" t="n">
        <v>170</v>
      </c>
      <c r="T78" s="18" t="n">
        <v>19</v>
      </c>
      <c r="U78" s="18" t="n">
        <v>47</v>
      </c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</row>
    <row r="79">
      <c r="A79" s="17" t="n">
        <v>46092</v>
      </c>
      <c r="B79" s="18" t="n"/>
      <c r="C79" s="18" t="n"/>
      <c r="D79" s="18" t="inlineStr">
        <is>
          <t>品牌</t>
        </is>
      </c>
      <c r="E79" s="18" t="inlineStr">
        <is>
          <t>元元Claire</t>
        </is>
      </c>
      <c r="F79" s="19" t="inlineStr">
        <is>
          <t>https://www.xingtu.cn/ad/creator/author-homepage/douyin-video/7101601808887316493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79" s="19" t="inlineStr">
        <is>
          <t>https://www.douyin.com/user/MS4wLjABAAAAeVS99pY9RTtAM8E26oJaiaer0OupMOC2uzdCJX7QvZlBUtviRhgrUiJwxrmA83Jb</t>
        </is>
      </c>
      <c r="H79" s="18" t="n">
        <v>75486053521</v>
      </c>
      <c r="I79" s="18" t="inlineStr">
        <is>
          <t>家居</t>
        </is>
      </c>
      <c r="J79" s="18" t="inlineStr">
        <is>
          <t>KOC</t>
        </is>
      </c>
      <c r="K79" s="18" t="n">
        <v>4.3</v>
      </c>
      <c r="L79" s="18" t="n">
        <v>52000</v>
      </c>
      <c r="M79" s="18">
        <f>Q79*1.05</f>
        <v/>
      </c>
      <c r="N79" s="20">
        <f>Q79/(S79+T79++U79)</f>
        <v/>
      </c>
      <c r="O79" s="18" t="inlineStr">
        <is>
          <t>图文</t>
        </is>
      </c>
      <c r="P79" s="21" t="n">
        <v>0.6</v>
      </c>
      <c r="Q79" s="18" t="n">
        <v>3000</v>
      </c>
      <c r="R79" s="20">
        <f>Q79/L79*1000</f>
        <v/>
      </c>
      <c r="S79" s="18" t="n">
        <v>384</v>
      </c>
      <c r="T79" s="18" t="n">
        <v>11</v>
      </c>
      <c r="U79" s="18" t="n">
        <v>12</v>
      </c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</row>
    <row r="80">
      <c r="A80" s="17" t="n">
        <v>46092</v>
      </c>
      <c r="B80" s="18" t="n"/>
      <c r="C80" s="18" t="n"/>
      <c r="D80" s="18" t="inlineStr">
        <is>
          <t>品牌</t>
        </is>
      </c>
      <c r="E80" s="18" t="inlineStr">
        <is>
          <t>牛美丸的家</t>
        </is>
      </c>
      <c r="F80" s="19" t="inlineStr">
        <is>
          <t>https://www.xingtu.cn/ad/creator/author-homepage/douyin-video/7438151783047757875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80" s="19" t="inlineStr">
        <is>
          <t>https://www.douyin.com/user/MS4wLjABAAAA1l1kLmY-Bylf42-gzck7-18_wiU9x_gdB8kpkiWVuek</t>
        </is>
      </c>
      <c r="H80" s="18" t="n">
        <v>28705879285</v>
      </c>
      <c r="I80" s="18" t="inlineStr">
        <is>
          <t>家居</t>
        </is>
      </c>
      <c r="J80" s="18" t="inlineStr">
        <is>
          <t>KOC</t>
        </is>
      </c>
      <c r="K80" s="18" t="n">
        <v>1.8</v>
      </c>
      <c r="L80" s="18" t="n">
        <v>40000</v>
      </c>
      <c r="M80" s="18">
        <f>Q80*1.05</f>
        <v/>
      </c>
      <c r="N80" s="20">
        <f>Q80/(S80+T80++U80)</f>
        <v/>
      </c>
      <c r="O80" s="18" t="inlineStr">
        <is>
          <t>图文</t>
        </is>
      </c>
      <c r="P80" s="21" t="n">
        <v>0.53</v>
      </c>
      <c r="Q80" s="18" t="n">
        <v>3000</v>
      </c>
      <c r="R80" s="20">
        <f>Q80/L80*1000</f>
        <v/>
      </c>
      <c r="S80" s="18" t="n">
        <v>444</v>
      </c>
      <c r="T80" s="18" t="n">
        <v>59</v>
      </c>
      <c r="U80" s="18" t="n">
        <v>263</v>
      </c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</row>
    <row r="81">
      <c r="A81" s="17" t="n">
        <v>46092</v>
      </c>
      <c r="B81" s="18" t="n"/>
      <c r="C81" s="18" t="n"/>
      <c r="D81" s="18" t="inlineStr">
        <is>
          <t>品牌</t>
        </is>
      </c>
      <c r="E81" s="18" t="inlineStr">
        <is>
          <t>九里菇凉的家</t>
        </is>
      </c>
      <c r="F81" s="19" t="inlineStr">
        <is>
          <t>https://www.xingtu.cn/ad/creator/author-homepage/douyin-video/7177369929404923915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81" s="19" t="inlineStr">
        <is>
          <t>https://www.douyin.com/user/MS4wLjABAAAAFlvjr183luaBpUJzpUfUnlA9CG5QBhq08xlT9hS04KWP92M_xm3g_Ws2hgsjV3DS</t>
        </is>
      </c>
      <c r="H81" s="18" t="n">
        <v>78511571607</v>
      </c>
      <c r="I81" s="18" t="inlineStr">
        <is>
          <t>家居</t>
        </is>
      </c>
      <c r="J81" s="18" t="inlineStr">
        <is>
          <t>KOC</t>
        </is>
      </c>
      <c r="K81" s="18" t="n">
        <v>4.9</v>
      </c>
      <c r="L81" s="18" t="n">
        <v>49000</v>
      </c>
      <c r="M81" s="18">
        <f>Q81*1.05</f>
        <v/>
      </c>
      <c r="N81" s="20">
        <f>Q81/(S81+T81++U81)</f>
        <v/>
      </c>
      <c r="O81" s="18" t="inlineStr">
        <is>
          <t>图文</t>
        </is>
      </c>
      <c r="P81" s="21" t="n">
        <v>0.72</v>
      </c>
      <c r="Q81" s="18" t="n">
        <v>3500</v>
      </c>
      <c r="R81" s="20">
        <f>Q81/L81*1000</f>
        <v/>
      </c>
      <c r="S81" s="18" t="n">
        <v>386</v>
      </c>
      <c r="T81" s="18" t="n">
        <v>20</v>
      </c>
      <c r="U81" s="18" t="n">
        <v>29</v>
      </c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</row>
    <row r="82">
      <c r="A82" s="17" t="n">
        <v>46092</v>
      </c>
      <c r="B82" s="18" t="n"/>
      <c r="C82" s="18" t="n"/>
      <c r="D82" s="18" t="inlineStr">
        <is>
          <t>品牌</t>
        </is>
      </c>
      <c r="E82" s="18" t="inlineStr">
        <is>
          <t>呃呃</t>
        </is>
      </c>
      <c r="F82" s="19" t="inlineStr">
        <is>
          <t>https://www.xingtu.cn/ad/creator/author-homepage/douyin-video/7169122654257938443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82" s="19" t="inlineStr">
        <is>
          <t>https://www.douyin.com/user/MS4wLjABAAAAhPjSiDu1UrW6CK1nU94sTmvdZO5uwBPWBPphdB4ggrqPutoK0_sUoYywA4UTE1dr</t>
        </is>
      </c>
      <c r="H82" s="18" t="n">
        <v>36200279546</v>
      </c>
      <c r="I82" s="18" t="inlineStr">
        <is>
          <t>家居</t>
        </is>
      </c>
      <c r="J82" s="18" t="inlineStr">
        <is>
          <t>KOC</t>
        </is>
      </c>
      <c r="K82" s="18" t="n">
        <v>12.6</v>
      </c>
      <c r="L82" s="18" t="n">
        <v>100000</v>
      </c>
      <c r="M82" s="18">
        <f>Q82*1.05</f>
        <v/>
      </c>
      <c r="N82" s="20">
        <f>Q82/(S82+T82++U82)</f>
        <v/>
      </c>
      <c r="O82" s="18" t="inlineStr">
        <is>
          <t>图文</t>
        </is>
      </c>
      <c r="P82" s="21" t="n">
        <v>0.41</v>
      </c>
      <c r="Q82" s="18" t="n">
        <v>5000</v>
      </c>
      <c r="R82" s="20">
        <f>Q82/L82*1000</f>
        <v/>
      </c>
      <c r="S82" s="18" t="n">
        <v>3190</v>
      </c>
      <c r="T82" s="18" t="n">
        <v>133</v>
      </c>
      <c r="U82" s="18" t="n">
        <v>684</v>
      </c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</row>
    <row r="83">
      <c r="A83" s="17" t="n">
        <v>46092</v>
      </c>
      <c r="B83" s="18" t="n"/>
      <c r="C83" s="18" t="n"/>
      <c r="D83" s="18" t="inlineStr">
        <is>
          <t>品牌</t>
        </is>
      </c>
      <c r="E83" s="18" t="inlineStr">
        <is>
          <t>老钟✌</t>
        </is>
      </c>
      <c r="F83" s="19" t="inlineStr">
        <is>
          <t>https://www.xingtu.cn/ad/creator/author-homepage/douyin-video/6953908336605528078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83" s="19" t="inlineStr">
        <is>
          <t>https://www.douyin.com/user/MS4wLjABAAAAl8bmrQX5okuEyhWpH-uemqY1L99oi3th4bzKzn1fepNHa1RcmdFgC6DkoAfn_x4r</t>
        </is>
      </c>
      <c r="H83" s="18" t="inlineStr">
        <is>
          <t>ZZZshare</t>
        </is>
      </c>
      <c r="I83" s="18" t="inlineStr">
        <is>
          <t>家居</t>
        </is>
      </c>
      <c r="J83" s="18" t="inlineStr">
        <is>
          <t>KOC</t>
        </is>
      </c>
      <c r="K83" s="18" t="n">
        <v>4.4</v>
      </c>
      <c r="L83" s="18" t="n">
        <v>31000</v>
      </c>
      <c r="M83" s="18">
        <f>Q83*1.05</f>
        <v/>
      </c>
      <c r="N83" s="20">
        <f>Q83/(S83+T83++U83)</f>
        <v/>
      </c>
      <c r="O83" s="18" t="inlineStr">
        <is>
          <t>图文</t>
        </is>
      </c>
      <c r="P83" s="21" t="n">
        <v>0.5</v>
      </c>
      <c r="Q83" s="18" t="n">
        <v>3000</v>
      </c>
      <c r="R83" s="20">
        <f>Q83/L83*1000</f>
        <v/>
      </c>
      <c r="S83" s="18" t="n">
        <v>155</v>
      </c>
      <c r="T83" s="18" t="n">
        <v>16</v>
      </c>
      <c r="U83" s="18" t="n">
        <v>19</v>
      </c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</row>
    <row r="84">
      <c r="A84" s="17" t="n">
        <v>46092</v>
      </c>
      <c r="B84" s="18" t="n"/>
      <c r="C84" s="18" t="n"/>
      <c r="D84" s="18" t="inlineStr">
        <is>
          <t>品牌</t>
        </is>
      </c>
      <c r="E84" s="18" t="inlineStr">
        <is>
          <t>大笨熊</t>
        </is>
      </c>
      <c r="F84" s="19" t="inlineStr">
        <is>
          <t>https://www.xingtu.cn/ad/creator/author-homepage/douyin-video/7232660134227345466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    </is>
      </c>
      <c r="G84" s="19" t="inlineStr">
        <is>
          <t>https://www.douyin.com/user/MS4wLjABAAAAT2kqbKqV3hr9Hr3swJsWxn4O0cszaSIoq-Fc2grdmhwW17i64GxUyuyQzUeZ382N</t>
        </is>
      </c>
      <c r="H84" s="18" t="n">
        <v>64543036442</v>
      </c>
      <c r="I84" s="18" t="inlineStr">
        <is>
          <t>家居</t>
        </is>
      </c>
      <c r="J84" s="18" t="inlineStr">
        <is>
          <t>KOC</t>
        </is>
      </c>
      <c r="K84" s="18" t="n">
        <v>9.9</v>
      </c>
      <c r="L84" s="18" t="n">
        <v>31000</v>
      </c>
      <c r="M84" s="18">
        <f>Q84*1.05</f>
        <v/>
      </c>
      <c r="N84" s="20">
        <f>Q84/(S84+T84++U84)</f>
        <v/>
      </c>
      <c r="O84" s="18" t="inlineStr">
        <is>
          <t>图文</t>
        </is>
      </c>
      <c r="P84" s="21" t="n">
        <v>0.49</v>
      </c>
      <c r="Q84" s="18" t="n">
        <v>6000</v>
      </c>
      <c r="R84" s="20">
        <f>Q84/L84*1000</f>
        <v/>
      </c>
      <c r="S84" s="18" t="n">
        <v>365</v>
      </c>
      <c r="T84" s="18" t="n">
        <v>18</v>
      </c>
      <c r="U84" s="18" t="n">
        <v>76</v>
      </c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</row>
    <row r="85">
      <c r="A85" s="17" t="n">
        <v>46094</v>
      </c>
      <c r="B85" s="18" t="n"/>
      <c r="C85" s="18" t="n"/>
      <c r="D85" s="18" t="inlineStr">
        <is>
          <t>电商</t>
        </is>
      </c>
      <c r="E85" s="18" t="inlineStr">
        <is>
          <t>橘子的小家</t>
        </is>
      </c>
      <c r="F85" s="19" t="inlineStr">
        <is>
          <t>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85" s="19" t="inlineStr">
        <is>
          <t>https://www.douyin.com/user/MS4wLjABAAAAiasGnaKzVxvCo6q2kkmHBGObqeALct9AIsU7zFS4vwIK40aQptct-PA271yHUuK3</t>
        </is>
      </c>
      <c r="H85" s="18" t="inlineStr">
        <is>
          <t>juzijia20226666</t>
        </is>
      </c>
      <c r="I85" s="18" t="inlineStr">
        <is>
          <t>家居</t>
        </is>
      </c>
      <c r="J85" s="18" t="inlineStr">
        <is>
          <t>KOC</t>
        </is>
      </c>
      <c r="K85" s="18" t="n">
        <v>18</v>
      </c>
      <c r="L85" s="18" t="n">
        <v>80000</v>
      </c>
      <c r="M85" s="18">
        <f>Q85*1.05</f>
        <v/>
      </c>
      <c r="N85" s="20">
        <f>Q85/(S85+T85++U85)</f>
        <v/>
      </c>
      <c r="O85" s="18" t="inlineStr">
        <is>
          <t>图文</t>
        </is>
      </c>
      <c r="P85" s="21" t="n">
        <v>0.47</v>
      </c>
      <c r="Q85" s="18" t="n">
        <v>5000</v>
      </c>
      <c r="R85" s="20">
        <f>Q85/L85*1000</f>
        <v/>
      </c>
      <c r="S85" s="18" t="n">
        <v>4104</v>
      </c>
      <c r="T85" s="18" t="n">
        <v>189</v>
      </c>
      <c r="U85" s="18" t="n">
        <v>323</v>
      </c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</row>
    <row r="86">
      <c r="A86" s="17" t="n">
        <v>46094</v>
      </c>
      <c r="B86" s="18" t="n"/>
      <c r="C86" s="18" t="n"/>
      <c r="D86" s="18" t="inlineStr">
        <is>
          <t>电商</t>
        </is>
      </c>
      <c r="E86" s="18" t="inlineStr">
        <is>
          <t>耿直科技人</t>
        </is>
      </c>
      <c r="F86" s="19" t="inlineStr">
        <is>
          <t>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86" s="19" t="inlineStr">
        <is>
          <t>https://www.douyin.com/user/MS4wLjABAAAAGcpMHomCsOaw3rSLUcJLlMesmGa8bM8Pnn7-GEag8Ho</t>
        </is>
      </c>
      <c r="H86" s="18" t="n">
        <v>659995600</v>
      </c>
      <c r="I86" s="18" t="inlineStr">
        <is>
          <t>家居</t>
        </is>
      </c>
      <c r="J86" s="18" t="inlineStr">
        <is>
          <t>KOC</t>
        </is>
      </c>
      <c r="K86" s="18" t="n">
        <v>19</v>
      </c>
      <c r="L86" s="18" t="n">
        <v>58000</v>
      </c>
      <c r="M86" s="18">
        <f>Q86*1.05</f>
        <v/>
      </c>
      <c r="N86" s="20">
        <f>Q86/(S86+T86++U86)</f>
        <v/>
      </c>
      <c r="O86" s="18" t="inlineStr">
        <is>
          <t>图文</t>
        </is>
      </c>
      <c r="P86" s="21" t="n">
        <v>0.17</v>
      </c>
      <c r="Q86" s="18" t="n">
        <v>1000</v>
      </c>
      <c r="R86" s="20">
        <f>Q86/L86*1000</f>
        <v/>
      </c>
      <c r="S86" s="22" t="n">
        <v>1251</v>
      </c>
      <c r="T86" s="18" t="n">
        <v>32</v>
      </c>
      <c r="U86" s="18" t="n">
        <v>10</v>
      </c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</row>
    <row r="87">
      <c r="A87" s="17" t="n">
        <v>46094</v>
      </c>
      <c r="B87" s="18" t="n"/>
      <c r="C87" s="18" t="n"/>
      <c r="D87" s="18" t="inlineStr">
        <is>
          <t>电商</t>
        </is>
      </c>
      <c r="E87" s="18" t="inlineStr">
        <is>
          <t xml:space="preserve">
🍅CC</t>
        </is>
      </c>
      <c r="F87" s="19" t="inlineStr">
        <is>
          <t>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87" s="19" t="inlineStr">
        <is>
          <t>https://www.douyin.com/user/MS4wLjABAAAAaBv-Slhw8gRA4gBaZKjPBjXrOoLNp-1aTu0aa2Q2pr3fwv7qallZbE_ggWui6wVC</t>
        </is>
      </c>
      <c r="H87" s="18" t="n">
        <v>2166919817</v>
      </c>
      <c r="I87" s="18" t="inlineStr">
        <is>
          <t>家居</t>
        </is>
      </c>
      <c r="J87" s="18" t="inlineStr">
        <is>
          <t>KOC</t>
        </is>
      </c>
      <c r="K87" s="18" t="n">
        <v>5.8</v>
      </c>
      <c r="L87" s="18" t="n">
        <v>47000</v>
      </c>
      <c r="M87" s="18">
        <f>Q87*1.05</f>
        <v/>
      </c>
      <c r="N87" s="20">
        <f>Q87/(S87+T87++U87)</f>
        <v/>
      </c>
      <c r="O87" s="18" t="inlineStr">
        <is>
          <t>图文</t>
        </is>
      </c>
      <c r="P87" s="21" t="n">
        <v>0.62</v>
      </c>
      <c r="Q87" s="18" t="n">
        <v>1299</v>
      </c>
      <c r="R87" s="20">
        <f>Q87/L87*1000</f>
        <v/>
      </c>
      <c r="S87" s="18" t="n">
        <v>256</v>
      </c>
      <c r="T87" s="18" t="n">
        <v>21</v>
      </c>
      <c r="U87" s="18" t="n">
        <v>164</v>
      </c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</row>
    <row r="88">
      <c r="A88" s="17" t="n">
        <v>46094</v>
      </c>
      <c r="B88" s="18" t="n"/>
      <c r="C88" s="18" t="n"/>
      <c r="D88" s="18" t="inlineStr">
        <is>
          <t>电商</t>
        </is>
      </c>
      <c r="E88" s="18" t="inlineStr">
        <is>
          <t>柏汇🌾</t>
        </is>
      </c>
      <c r="F88" s="19" t="inlineStr">
        <is>
          <t>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88" s="19" t="inlineStr">
        <is>
          <t>https://www.douyin.com/user/MS4wLjABAAAAeujvFrHErVApBwWnMbaOWCpchN7nhTiYTx1lYQSrJS0</t>
        </is>
      </c>
      <c r="H88" s="18" t="inlineStr">
        <is>
          <t>yangbaihui0615</t>
        </is>
      </c>
      <c r="I88" s="18" t="inlineStr">
        <is>
          <t>科技</t>
        </is>
      </c>
      <c r="J88" s="18" t="inlineStr">
        <is>
          <t>KOC</t>
        </is>
      </c>
      <c r="K88" s="18" t="n">
        <v>1.9</v>
      </c>
      <c r="L88" s="18" t="n">
        <v>84000</v>
      </c>
      <c r="M88" s="18">
        <f>Q88*1.05</f>
        <v/>
      </c>
      <c r="N88" s="20">
        <f>Q88/(S88+T88++U88)</f>
        <v/>
      </c>
      <c r="O88" s="18" t="inlineStr">
        <is>
          <t>图文</t>
        </is>
      </c>
      <c r="P88" s="21" t="n">
        <v>0.67</v>
      </c>
      <c r="Q88" s="18" t="n">
        <v>2000</v>
      </c>
      <c r="R88" s="20">
        <f>Q88/L88*1000</f>
        <v/>
      </c>
      <c r="S88" s="18" t="n">
        <v>415</v>
      </c>
      <c r="T88" s="18" t="n">
        <v>34</v>
      </c>
      <c r="U88" s="18" t="n">
        <v>35</v>
      </c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</row>
    <row r="89">
      <c r="A89" s="17" t="n">
        <v>46094</v>
      </c>
      <c r="B89" s="18" t="n"/>
      <c r="C89" s="18" t="n"/>
      <c r="D89" s="18" t="inlineStr">
        <is>
          <t>电商</t>
        </is>
      </c>
      <c r="E89" s="18" t="inlineStr">
        <is>
          <t>酥梨椰的家装日记</t>
        </is>
      </c>
      <c r="F89" s="19" t="inlineStr">
        <is>
          <t>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89" s="19" t="inlineStr">
        <is>
          <t>https://www.douyin.com/user/MS4wLjABAAAAvCQ3UPzvZo_oZ1dueUr0JZJ8KbiIw898KBiIPmKPZBVEejz_cH2m9UUIXFDUwpgv</t>
        </is>
      </c>
      <c r="H89" s="18" t="n">
        <v>20734682257</v>
      </c>
      <c r="I89" s="18" t="inlineStr">
        <is>
          <t>家电</t>
        </is>
      </c>
      <c r="J89" s="18" t="inlineStr">
        <is>
          <t>KOC</t>
        </is>
      </c>
      <c r="K89" s="18" t="n">
        <v>41</v>
      </c>
      <c r="L89" s="18" t="n">
        <v>210000</v>
      </c>
      <c r="M89" s="18">
        <f>Q89*1.05</f>
        <v/>
      </c>
      <c r="N89" s="20">
        <f>Q89/(S89+T89++U89)</f>
        <v/>
      </c>
      <c r="O89" s="18" t="inlineStr">
        <is>
          <t>图文</t>
        </is>
      </c>
      <c r="P89" s="21" t="n">
        <v>0.3</v>
      </c>
      <c r="Q89" s="18" t="n">
        <v>5000</v>
      </c>
      <c r="R89" s="20">
        <f>Q89/L89*1000</f>
        <v/>
      </c>
      <c r="S89" s="18" t="n">
        <v>2381</v>
      </c>
      <c r="T89" s="18" t="n">
        <v>27</v>
      </c>
      <c r="U89" s="18" t="n">
        <v>454</v>
      </c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</row>
    <row r="90">
      <c r="A90" s="17" t="n">
        <v>46094</v>
      </c>
      <c r="B90" s="18" t="n"/>
      <c r="C90" s="18" t="n"/>
      <c r="D90" s="18" t="inlineStr">
        <is>
          <t>电商</t>
        </is>
      </c>
      <c r="E90" s="18" t="inlineStr">
        <is>
          <t>橘子呀🏠</t>
        </is>
      </c>
      <c r="F90" s="19" t="inlineStr">
        <is>
          <t>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0" s="19" t="inlineStr">
        <is>
          <t>https://www.douyin.com/user/MS4wLjABAAAAehyYEyIY5fCDzKrA6UYOfQRTrM0x-OphgqQeLPYPrZO0GNFdniicjmgjv2P0lSDf</t>
        </is>
      </c>
      <c r="H90" s="18" t="inlineStr">
        <is>
          <t>LQ2124888</t>
        </is>
      </c>
      <c r="I90" s="18" t="inlineStr">
        <is>
          <t>家居</t>
        </is>
      </c>
      <c r="J90" s="18" t="inlineStr">
        <is>
          <t>KOC</t>
        </is>
      </c>
      <c r="K90" s="18" t="n">
        <v>1.4</v>
      </c>
      <c r="L90" s="18" t="n">
        <v>26000</v>
      </c>
      <c r="M90" s="18">
        <f>Q90*1.05</f>
        <v/>
      </c>
      <c r="N90" s="20">
        <f>Q90/(S90+T90++U90)</f>
        <v/>
      </c>
      <c r="O90" s="18" t="inlineStr">
        <is>
          <t>图文</t>
        </is>
      </c>
      <c r="P90" s="21" t="n">
        <v>0.82</v>
      </c>
      <c r="Q90" s="18" t="n">
        <v>1200</v>
      </c>
      <c r="R90" s="20">
        <f>Q90/L90*1000</f>
        <v/>
      </c>
      <c r="S90" s="18" t="n">
        <v>453</v>
      </c>
      <c r="T90" s="18" t="n">
        <v>24</v>
      </c>
      <c r="U90" s="18" t="n">
        <v>346</v>
      </c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</row>
    <row r="91">
      <c r="A91" s="17" t="n">
        <v>46094</v>
      </c>
      <c r="B91" s="18" t="n"/>
      <c r="C91" s="18" t="n"/>
      <c r="D91" s="18" t="inlineStr">
        <is>
          <t>电商</t>
        </is>
      </c>
      <c r="E91" s="18" t="inlineStr">
        <is>
          <t>数码羊驼</t>
        </is>
      </c>
      <c r="F91" s="19" t="inlineStr">
        <is>
          <t>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1" s="19" t="inlineStr">
        <is>
          <t>https://www.douyin.com/user/MS4wLjABAAAAo7PjTv9bm3Jrkg_IQfnmILZWeJ28UXnabzAGdHTT3P0</t>
        </is>
      </c>
      <c r="H91" s="18" t="inlineStr">
        <is>
          <t>9527XM5139</t>
        </is>
      </c>
      <c r="I91" s="18" t="inlineStr">
        <is>
          <t>科技</t>
        </is>
      </c>
      <c r="J91" s="18" t="inlineStr">
        <is>
          <t>KOC</t>
        </is>
      </c>
      <c r="K91" s="18" t="n">
        <v>3.2</v>
      </c>
      <c r="L91" s="18" t="n">
        <v>45000</v>
      </c>
      <c r="M91" s="18">
        <f>Q91*1.05</f>
        <v/>
      </c>
      <c r="N91" s="20">
        <f>Q91/(S91+T91++U91)</f>
        <v/>
      </c>
      <c r="O91" s="18" t="inlineStr">
        <is>
          <t>图文</t>
        </is>
      </c>
      <c r="P91" s="21" t="n">
        <v>0.4</v>
      </c>
      <c r="Q91" s="18" t="n">
        <v>1050</v>
      </c>
      <c r="R91" s="20">
        <f>Q91/L91*1000</f>
        <v/>
      </c>
      <c r="S91" s="18" t="n">
        <v>820</v>
      </c>
      <c r="T91" s="18" t="n">
        <v>368</v>
      </c>
      <c r="U91" s="18" t="n">
        <v>95</v>
      </c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</row>
    <row r="92">
      <c r="A92" s="17" t="n">
        <v>46094</v>
      </c>
      <c r="B92" s="18" t="n"/>
      <c r="C92" s="18" t="n"/>
      <c r="D92" s="18" t="inlineStr">
        <is>
          <t>电商</t>
        </is>
      </c>
      <c r="E92" s="18" t="inlineStr">
        <is>
          <t>乘风测评</t>
        </is>
      </c>
      <c r="F92" s="19" t="inlineStr">
        <is>
          <t>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2" s="19" t="inlineStr">
        <is>
          <t>https://www.douyin.com/user/MS4wLjABAAAAro3IXXwEj0PlkffN16rVJOZvvcogQBzVbmgsyW15MFk4j8G6_nhbC9gN9844kol3</t>
        </is>
      </c>
      <c r="H92" s="18" t="inlineStr">
        <is>
          <t>ZZZeng1013</t>
        </is>
      </c>
      <c r="I92" s="18" t="inlineStr">
        <is>
          <t>测评</t>
        </is>
      </c>
      <c r="J92" s="18" t="inlineStr">
        <is>
          <t>KOC</t>
        </is>
      </c>
      <c r="K92" s="18" t="n">
        <v>21.8</v>
      </c>
      <c r="L92" s="18" t="n">
        <v>94000</v>
      </c>
      <c r="M92" s="18">
        <f>Q92*1.05</f>
        <v/>
      </c>
      <c r="N92" s="20">
        <f>Q92/(S92+T92++U92)</f>
        <v/>
      </c>
      <c r="O92" s="18" t="inlineStr">
        <is>
          <t>图文</t>
        </is>
      </c>
      <c r="P92" s="21" t="n">
        <v>0.3</v>
      </c>
      <c r="Q92" s="18" t="n">
        <v>1200</v>
      </c>
      <c r="R92" s="20">
        <f>Q92/L92*1000</f>
        <v/>
      </c>
      <c r="S92" s="18" t="n">
        <v>1712</v>
      </c>
      <c r="T92" s="18" t="n">
        <v>98</v>
      </c>
      <c r="U92" s="18" t="n">
        <v>34</v>
      </c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</row>
    <row r="93">
      <c r="A93" s="17" t="n">
        <v>46094</v>
      </c>
      <c r="B93" s="18" t="n"/>
      <c r="C93" s="18" t="n"/>
      <c r="D93" s="18" t="inlineStr">
        <is>
          <t>电商</t>
        </is>
      </c>
      <c r="E93" s="18" t="inlineStr">
        <is>
          <t>文小棠</t>
        </is>
      </c>
      <c r="F93" s="19" t="inlineStr">
        <is>
          <t>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3" s="19" t="inlineStr">
        <is>
          <t>https://www.douyin.com/user/MS4wLjABAAAAWc3nS-6KGZWXVv3p07kN3_QAFiGAF6qnOkUC8ZTt6u3UKnfRseHlljNTGqEbbmdo</t>
        </is>
      </c>
      <c r="H93" s="18" t="inlineStr">
        <is>
          <t>shanwenyu0207</t>
        </is>
      </c>
      <c r="I93" s="18" t="inlineStr">
        <is>
          <t>好物分享</t>
        </is>
      </c>
      <c r="J93" s="18" t="inlineStr">
        <is>
          <t>KOC</t>
        </is>
      </c>
      <c r="K93" s="18" t="n">
        <v>2.3</v>
      </c>
      <c r="L93" s="18" t="n">
        <v>29000</v>
      </c>
      <c r="M93" s="18">
        <f>Q93*1.05</f>
        <v/>
      </c>
      <c r="N93" s="20">
        <f>Q93/(S93+T93++U93)</f>
        <v/>
      </c>
      <c r="O93" s="18" t="inlineStr">
        <is>
          <t>图文</t>
        </is>
      </c>
      <c r="P93" s="21" t="n">
        <v>0.1</v>
      </c>
      <c r="Q93" s="18" t="n">
        <v>1000</v>
      </c>
      <c r="R93" s="20">
        <f>Q93/L93*1000</f>
        <v/>
      </c>
      <c r="S93" s="22" t="n">
        <v>1384</v>
      </c>
      <c r="T93" s="18" t="n">
        <v>215</v>
      </c>
      <c r="U93" s="18" t="n">
        <v>223</v>
      </c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</row>
    <row r="94">
      <c r="A94" s="17" t="n">
        <v>46094</v>
      </c>
      <c r="B94" s="18" t="n"/>
      <c r="C94" s="18" t="n"/>
      <c r="D94" s="18" t="inlineStr">
        <is>
          <t>电商</t>
        </is>
      </c>
      <c r="E94" s="18" t="inlineStr">
        <is>
          <t>木木的家🏠</t>
        </is>
      </c>
      <c r="F94" s="19" t="inlineStr">
        <is>
          <t>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4" s="19" t="inlineStr">
        <is>
          <t>https://www.douyin.com/user/MS4wLjABAAAA1QoL8gGA5gYg1gFdE2x1tmH64x_KMrKWEU44O2SfL00P6iqSlyaN7ii50mjBm9BZ</t>
        </is>
      </c>
      <c r="H94" s="18" t="inlineStr">
        <is>
          <t>Ladybres2</t>
        </is>
      </c>
      <c r="I94" s="18" t="inlineStr">
        <is>
          <t>家居</t>
        </is>
      </c>
      <c r="J94" s="18" t="inlineStr">
        <is>
          <t>KOC</t>
        </is>
      </c>
      <c r="K94" s="18" t="n">
        <v>2.1</v>
      </c>
      <c r="L94" s="18" t="n">
        <v>44000</v>
      </c>
      <c r="M94" s="18">
        <f>Q94*1.05</f>
        <v/>
      </c>
      <c r="N94" s="20">
        <f>Q94/(S94+T94++U94)</f>
        <v/>
      </c>
      <c r="O94" s="18" t="inlineStr">
        <is>
          <t>图文</t>
        </is>
      </c>
      <c r="P94" s="21" t="n">
        <v>0.78</v>
      </c>
      <c r="Q94" s="18" t="n">
        <v>1500</v>
      </c>
      <c r="R94" s="20">
        <f>Q94/L94*1000</f>
        <v/>
      </c>
      <c r="S94" s="18" t="n">
        <v>713</v>
      </c>
      <c r="T94" s="18" t="n">
        <v>33</v>
      </c>
      <c r="U94" s="18" t="n">
        <v>321</v>
      </c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</row>
    <row r="95">
      <c r="A95" s="17" t="n">
        <v>46094</v>
      </c>
      <c r="B95" s="18" t="n"/>
      <c r="C95" s="18" t="n"/>
      <c r="D95" s="18" t="inlineStr">
        <is>
          <t>品牌</t>
        </is>
      </c>
      <c r="E95" s="18" t="inlineStr">
        <is>
          <t>橙十倍</t>
        </is>
      </c>
      <c r="F95" s="19" t="inlineStr">
        <is>
          <t>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5" s="19" t="inlineStr">
        <is>
          <t>https://www.douyin.com/user/MS4wLjABAAAA7FjNVEf8z5gxkB82udOCa58XyTO6GdNNLmbrOWI2pS8mLAWNX221nM1-E1WQIy0g</t>
        </is>
      </c>
      <c r="H95" s="18" t="n">
        <v>96921015130</v>
      </c>
      <c r="I95" s="18" t="inlineStr">
        <is>
          <t>家居</t>
        </is>
      </c>
      <c r="J95" s="18" t="inlineStr">
        <is>
          <t>KOC</t>
        </is>
      </c>
      <c r="K95" s="18" t="n">
        <v>1.2</v>
      </c>
      <c r="L95" s="18" t="n">
        <v>62000</v>
      </c>
      <c r="M95" s="18">
        <f>Q95*1.05</f>
        <v/>
      </c>
      <c r="N95" s="20">
        <f>Q95/(S95+T95++U95)</f>
        <v/>
      </c>
      <c r="O95" s="18" t="inlineStr">
        <is>
          <t>图文</t>
        </is>
      </c>
      <c r="P95" s="21" t="n">
        <v>0.83</v>
      </c>
      <c r="Q95" s="18" t="n">
        <v>1200</v>
      </c>
      <c r="R95" s="20">
        <f>Q95/L95*1000</f>
        <v/>
      </c>
      <c r="S95" s="18" t="n">
        <v>248</v>
      </c>
      <c r="T95" s="18" t="n">
        <v>17</v>
      </c>
      <c r="U95" s="18" t="n">
        <v>40</v>
      </c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</row>
    <row r="96">
      <c r="A96" s="17" t="n">
        <v>46094</v>
      </c>
      <c r="B96" s="18" t="n"/>
      <c r="C96" s="18" t="n"/>
      <c r="D96" s="18" t="inlineStr">
        <is>
          <t>品牌</t>
        </is>
      </c>
      <c r="E96" s="18" t="inlineStr">
        <is>
          <t>耶の数码📷</t>
        </is>
      </c>
      <c r="F96" s="19" t="inlineStr">
        <is>
          <t>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6" s="19" t="inlineStr">
        <is>
          <t>https://www.douyin.com/user/MS4wLjABAAAAjAjrHGq2hWrjk_vRw2GDq6w1qlzajRxSe4rCQk8UjSw</t>
        </is>
      </c>
      <c r="H96" s="18" t="inlineStr">
        <is>
          <t>YeDeshuma</t>
        </is>
      </c>
      <c r="I96" s="18" t="inlineStr">
        <is>
          <t>数码</t>
        </is>
      </c>
      <c r="J96" s="18" t="inlineStr">
        <is>
          <t>KOC</t>
        </is>
      </c>
      <c r="K96" s="18" t="n">
        <v>20</v>
      </c>
      <c r="L96" s="18" t="n">
        <v>190000</v>
      </c>
      <c r="M96" s="18">
        <f>Q96*1.05</f>
        <v/>
      </c>
      <c r="N96" s="20">
        <f>Q96/(S96+T96++U96)</f>
        <v/>
      </c>
      <c r="O96" s="18" t="inlineStr">
        <is>
          <t>图文</t>
        </is>
      </c>
      <c r="P96" s="21" t="n">
        <v>0.2</v>
      </c>
      <c r="Q96" s="18" t="n">
        <v>5000</v>
      </c>
      <c r="R96" s="20">
        <f>Q96/L96*1000</f>
        <v/>
      </c>
      <c r="S96" s="18" t="n">
        <v>14000</v>
      </c>
      <c r="T96" s="18" t="n">
        <v>378</v>
      </c>
      <c r="U96" s="18" t="n">
        <v>232</v>
      </c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</row>
    <row r="97">
      <c r="A97" s="17" t="n">
        <v>46094</v>
      </c>
      <c r="B97" s="18" t="n"/>
      <c r="C97" s="18" t="n"/>
      <c r="D97" s="18" t="inlineStr">
        <is>
          <t>品牌</t>
        </is>
      </c>
      <c r="E97" s="18" t="inlineStr">
        <is>
          <t>imayu</t>
        </is>
      </c>
      <c r="F97" s="19" t="inlineStr">
        <is>
          <t>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7" s="19" t="inlineStr">
        <is>
          <t>https://www.douyin.com/user/MS4wLjABAAAARaPhWc-Kwcl6pnilAVPWOuE8obpflGtaaWPUTzgw-qDm4B8ZKlM6uFWjtv8qq9eo</t>
        </is>
      </c>
      <c r="H97" s="18" t="inlineStr">
        <is>
          <t>soonmoo</t>
        </is>
      </c>
      <c r="I97" s="18" t="inlineStr">
        <is>
          <t>家居</t>
        </is>
      </c>
      <c r="J97" s="18" t="inlineStr">
        <is>
          <t>KOC</t>
        </is>
      </c>
      <c r="K97" s="18" t="n">
        <v>13</v>
      </c>
      <c r="L97" s="18" t="n">
        <v>25000</v>
      </c>
      <c r="M97" s="18">
        <f>Q97*1.05</f>
        <v/>
      </c>
      <c r="N97" s="20">
        <f>Q97/(S97+T97++U97)</f>
        <v/>
      </c>
      <c r="O97" s="18" t="inlineStr">
        <is>
          <t>图文</t>
        </is>
      </c>
      <c r="P97" s="21" t="n">
        <v>0.62</v>
      </c>
      <c r="Q97" s="18" t="n">
        <v>1900</v>
      </c>
      <c r="R97" s="20">
        <f>Q97/L97*1000</f>
        <v/>
      </c>
      <c r="S97" s="18" t="n">
        <v>512</v>
      </c>
      <c r="T97" s="18" t="n">
        <v>12</v>
      </c>
      <c r="U97" s="18" t="n">
        <v>44</v>
      </c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</row>
    <row r="98">
      <c r="A98" s="17" t="n">
        <v>46094</v>
      </c>
      <c r="B98" s="18" t="n"/>
      <c r="C98" s="18" t="n"/>
      <c r="D98" s="18" t="inlineStr">
        <is>
          <t>品牌</t>
        </is>
      </c>
      <c r="E98" s="18" t="inlineStr">
        <is>
          <t>玖狐数码</t>
        </is>
      </c>
      <c r="F98" s="19" t="inlineStr">
        <is>
          <t>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8" s="19" t="inlineStr">
        <is>
          <t>https://www.douyin.com/user/MS4wLjABAAAAlG_J3aJhO4QbezgrM70zGTG1hDgK85JHvpEak_jUCQ8NrY7rZvxm7d8_uAjhMftI</t>
        </is>
      </c>
      <c r="H98" s="18" t="n">
        <v>78051389070</v>
      </c>
      <c r="I98" s="18" t="inlineStr">
        <is>
          <t>数码</t>
        </is>
      </c>
      <c r="J98" s="18" t="inlineStr">
        <is>
          <t>KOC</t>
        </is>
      </c>
      <c r="K98" s="18" t="n">
        <v>19</v>
      </c>
      <c r="L98" s="18" t="n">
        <v>39000</v>
      </c>
      <c r="M98" s="18">
        <f>Q98*1.05</f>
        <v/>
      </c>
      <c r="N98" s="20">
        <f>Q98/(S98+T98++U98)</f>
        <v/>
      </c>
      <c r="O98" s="18" t="inlineStr">
        <is>
          <t>图文</t>
        </is>
      </c>
      <c r="P98" s="21" t="n">
        <v>0.37</v>
      </c>
      <c r="Q98" s="18" t="n">
        <v>2000</v>
      </c>
      <c r="R98" s="20">
        <f>Q98/L98*1000</f>
        <v/>
      </c>
      <c r="S98" s="18" t="n">
        <v>1912</v>
      </c>
      <c r="T98" s="18" t="n">
        <v>205</v>
      </c>
      <c r="U98" s="18" t="n">
        <v>75</v>
      </c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</row>
    <row r="99">
      <c r="A99" s="17" t="n">
        <v>46094</v>
      </c>
      <c r="B99" s="18" t="n"/>
      <c r="C99" s="18" t="n"/>
      <c r="D99" s="18" t="inlineStr">
        <is>
          <t>品牌</t>
        </is>
      </c>
      <c r="E99" s="18" t="inlineStr">
        <is>
          <t>君君自装的家🏠（软装中）</t>
        </is>
      </c>
      <c r="F99" s="19" t="inlineStr">
        <is>
          <t>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99" s="19" t="inlineStr">
        <is>
          <t>https://www.douyin.com/user/MS4wLjABAAAAYFvJRLsyu6AhywpWYsph-Rw1rSrJLB78ykNjWVeHpEGaBOtQS8TCYRXBeTwiDjdN</t>
        </is>
      </c>
      <c r="H99" s="18" t="n">
        <v>41095275861</v>
      </c>
      <c r="I99" s="18" t="inlineStr">
        <is>
          <t>家居</t>
        </is>
      </c>
      <c r="J99" s="18" t="inlineStr">
        <is>
          <t>KOC</t>
        </is>
      </c>
      <c r="K99" s="18" t="n">
        <v>5.3</v>
      </c>
      <c r="L99" s="18" t="n">
        <v>26000</v>
      </c>
      <c r="M99" s="18">
        <f>Q99*1.05</f>
        <v/>
      </c>
      <c r="N99" s="20">
        <f>Q99/(S99+T99++U99)</f>
        <v/>
      </c>
      <c r="O99" s="18" t="inlineStr">
        <is>
          <t>图文</t>
        </is>
      </c>
      <c r="P99" s="21" t="n">
        <v>0.5600000000000001</v>
      </c>
      <c r="Q99" s="18" t="n">
        <v>1500</v>
      </c>
      <c r="R99" s="20">
        <f>Q99/L99*1000</f>
        <v/>
      </c>
      <c r="S99" s="18" t="n">
        <v>186</v>
      </c>
      <c r="T99" s="18" t="n">
        <v>8</v>
      </c>
      <c r="U99" s="18" t="n">
        <v>58</v>
      </c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</row>
    <row r="100">
      <c r="A100" s="17" t="n">
        <v>46094</v>
      </c>
      <c r="B100" s="18" t="n"/>
      <c r="C100" s="18" t="n"/>
      <c r="D100" s="18" t="inlineStr">
        <is>
          <t>品牌</t>
        </is>
      </c>
      <c r="E100" s="18" t="inlineStr">
        <is>
          <t>桃子🍑的窝</t>
        </is>
      </c>
      <c r="F100" s="19" t="inlineStr">
        <is>
          <t>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00" s="19" t="inlineStr">
        <is>
          <t>https://www.douyin.com/user/MS4wLjABAAAARWUCACxbDI5qtAomnpH9LIsNilufdxlO1HSn98dUnC3GGjvmdnaRjzO6AQjYi0fy</t>
        </is>
      </c>
      <c r="H100" s="18" t="n">
        <v>86218122193</v>
      </c>
      <c r="I100" s="18" t="inlineStr">
        <is>
          <t>家居</t>
        </is>
      </c>
      <c r="J100" s="18" t="inlineStr">
        <is>
          <t>KOC</t>
        </is>
      </c>
      <c r="K100" s="18" t="n">
        <v>6.6</v>
      </c>
      <c r="L100" s="18" t="n">
        <v>12000</v>
      </c>
      <c r="M100" s="18">
        <f>Q100*1.05</f>
        <v/>
      </c>
      <c r="N100" s="20">
        <f>Q100/(S100+T100++U100)</f>
        <v/>
      </c>
      <c r="O100" s="18" t="inlineStr">
        <is>
          <t>图文</t>
        </is>
      </c>
      <c r="P100" s="21" t="n">
        <v>0.77</v>
      </c>
      <c r="Q100" s="18" t="n">
        <v>1500</v>
      </c>
      <c r="R100" s="20">
        <f>Q100/L100*1000</f>
        <v/>
      </c>
      <c r="S100" s="18" t="n">
        <v>155</v>
      </c>
      <c r="T100" s="18" t="n">
        <v>15</v>
      </c>
      <c r="U100" s="18" t="n">
        <v>18</v>
      </c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</row>
    <row r="101">
      <c r="A101" s="17" t="n">
        <v>46094</v>
      </c>
      <c r="B101" s="18" t="n"/>
      <c r="C101" s="18" t="n"/>
      <c r="D101" s="18" t="inlineStr">
        <is>
          <t>品牌</t>
        </is>
      </c>
      <c r="E101" s="18" t="inlineStr">
        <is>
          <t>许棠七</t>
        </is>
      </c>
      <c r="F101" s="19" t="inlineStr">
        <is>
          <t>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01" s="19" t="inlineStr">
        <is>
          <t>https://www.douyin.com/user/MS4wLjABAAAA4QQwlBex1Ys8ecn4uMQQXUC91UXbVVaybEAtUcklN7F2FoCWWcwpc7UeS7apzGzO</t>
        </is>
      </c>
      <c r="H101" s="18" t="n">
        <v>41000588245</v>
      </c>
      <c r="I101" s="18" t="inlineStr">
        <is>
          <t>家居</t>
        </is>
      </c>
      <c r="J101" s="18" t="inlineStr">
        <is>
          <t>KOC</t>
        </is>
      </c>
      <c r="K101" s="18" t="n">
        <v>3</v>
      </c>
      <c r="L101" s="18" t="n">
        <v>58000</v>
      </c>
      <c r="M101" s="18">
        <f>Q101*1.05</f>
        <v/>
      </c>
      <c r="N101" s="20">
        <f>Q101/(S101+T101++U101)</f>
        <v/>
      </c>
      <c r="O101" s="18" t="inlineStr">
        <is>
          <t>图文</t>
        </is>
      </c>
      <c r="P101" s="21" t="n">
        <v>0.74</v>
      </c>
      <c r="Q101" s="18" t="n">
        <v>1750</v>
      </c>
      <c r="R101" s="20">
        <f>Q101/L101*1000</f>
        <v/>
      </c>
      <c r="S101" s="18" t="n">
        <v>707</v>
      </c>
      <c r="T101" s="18" t="n">
        <v>24</v>
      </c>
      <c r="U101" s="18" t="n">
        <v>104</v>
      </c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</row>
    <row r="102">
      <c r="A102" s="17" t="n">
        <v>46094</v>
      </c>
      <c r="B102" s="18" t="n"/>
      <c r="C102" s="18" t="n"/>
      <c r="D102" s="18" t="inlineStr">
        <is>
          <t>品牌</t>
        </is>
      </c>
      <c r="E102" s="18" t="inlineStr">
        <is>
          <t>聪明的木木子</t>
        </is>
      </c>
      <c r="F102" s="19" t="inlineStr">
        <is>
          <t>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02" s="19" t="inlineStr">
        <is>
          <t>https://www.douyin.com/user/MS4wLjABAAAAQSfrs08nxcnMz_Tn2oY_csbLf27KQG7SNvXkPncqAu4</t>
        </is>
      </c>
      <c r="H102" s="18" t="n">
        <v>1585761521</v>
      </c>
      <c r="I102" s="18" t="inlineStr">
        <is>
          <t>测评</t>
        </is>
      </c>
      <c r="J102" s="18" t="inlineStr">
        <is>
          <t>KOC</t>
        </is>
      </c>
      <c r="K102" s="18" t="n">
        <v>6.6</v>
      </c>
      <c r="L102" s="18" t="n">
        <v>40000</v>
      </c>
      <c r="M102" s="18">
        <f>Q102*1.05</f>
        <v/>
      </c>
      <c r="N102" s="20">
        <f>Q102/(S102+T102++U102)</f>
        <v/>
      </c>
      <c r="O102" s="18" t="inlineStr">
        <is>
          <t>图文</t>
        </is>
      </c>
      <c r="P102" s="21" t="n">
        <v>0.1</v>
      </c>
      <c r="Q102" s="18" t="n">
        <v>3840</v>
      </c>
      <c r="R102" s="20">
        <f>Q102/L102*1000</f>
        <v/>
      </c>
      <c r="S102" s="18" t="n">
        <v>946</v>
      </c>
      <c r="T102" s="18" t="n">
        <v>311</v>
      </c>
      <c r="U102" s="18" t="n">
        <v>187</v>
      </c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</row>
    <row r="103">
      <c r="A103" s="17" t="n">
        <v>46094</v>
      </c>
      <c r="B103" s="18" t="n"/>
      <c r="C103" s="18" t="n"/>
      <c r="D103" s="18" t="inlineStr">
        <is>
          <t>品牌</t>
        </is>
      </c>
      <c r="E103" s="18" t="inlineStr">
        <is>
          <t>魏三七的家</t>
        </is>
      </c>
      <c r="F103" s="19" t="inlineStr">
        <is>
          <t>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03" s="19" t="inlineStr">
        <is>
          <t>https://www.douyin.com/user/MS4wLjABAAAAb4TX_Bd3mV0oSr0Js_E5_0E-uTv7-0RC-P4j_uY2tQZ0FH8N8nwW-7HqQ-W61kAE</t>
        </is>
      </c>
      <c r="H103" s="18" t="n">
        <v>57883669914</v>
      </c>
      <c r="I103" s="18" t="inlineStr">
        <is>
          <t>家居</t>
        </is>
      </c>
      <c r="J103" s="18" t="inlineStr">
        <is>
          <t>KOC</t>
        </is>
      </c>
      <c r="K103" s="18" t="n">
        <v>2.6</v>
      </c>
      <c r="L103" s="18" t="n">
        <v>35000</v>
      </c>
      <c r="M103" s="18">
        <f>Q103*1.05</f>
        <v/>
      </c>
      <c r="N103" s="20">
        <f>Q103/(S103+T103++U103)</f>
        <v/>
      </c>
      <c r="O103" s="18" t="inlineStr">
        <is>
          <t>图文</t>
        </is>
      </c>
      <c r="P103" s="21" t="n">
        <v>0.6</v>
      </c>
      <c r="Q103" s="18" t="n">
        <v>1500</v>
      </c>
      <c r="R103" s="20">
        <f>Q103/L103*1000</f>
        <v/>
      </c>
      <c r="S103" s="18" t="n">
        <v>606</v>
      </c>
      <c r="T103" s="18" t="n">
        <v>40</v>
      </c>
      <c r="U103" s="18" t="n">
        <v>274</v>
      </c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</row>
    <row r="104">
      <c r="A104" s="17" t="n">
        <v>46094</v>
      </c>
      <c r="B104" s="18" t="n"/>
      <c r="C104" s="18" t="n"/>
      <c r="D104" s="18" t="inlineStr">
        <is>
          <t>品牌</t>
        </is>
      </c>
      <c r="E104" s="18" t="inlineStr">
        <is>
          <t xml:space="preserve">
作作玄仔</t>
        </is>
      </c>
      <c r="F104" s="19" t="inlineStr">
        <is>
          <t>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04" s="19" t="inlineStr">
        <is>
          <t>https://www.douyin.com/user/MS4wLjABAAAA96kGeh_tk7Q3poLkvWh3YMCoPhOYMtm9IqvmJvYKecM</t>
        </is>
      </c>
      <c r="H104" s="18" t="inlineStr">
        <is>
          <t>Wq1aoXer</t>
        </is>
      </c>
      <c r="I104" s="18" t="inlineStr">
        <is>
          <t>家居</t>
        </is>
      </c>
      <c r="J104" s="18" t="inlineStr">
        <is>
          <t>KOC</t>
        </is>
      </c>
      <c r="K104" s="18" t="n">
        <v>1.1</v>
      </c>
      <c r="L104" s="18" t="n">
        <v>14000</v>
      </c>
      <c r="M104" s="18">
        <f>Q104*1.05</f>
        <v/>
      </c>
      <c r="N104" s="20">
        <f>Q104/(S104+T104++U104)</f>
        <v/>
      </c>
      <c r="O104" s="18" t="inlineStr">
        <is>
          <t>图文</t>
        </is>
      </c>
      <c r="P104" s="21" t="n">
        <v>0.83</v>
      </c>
      <c r="Q104" s="18" t="n">
        <v>1000</v>
      </c>
      <c r="R104" s="20">
        <f>Q104/L104*1000</f>
        <v/>
      </c>
      <c r="S104" s="18" t="n">
        <v>194</v>
      </c>
      <c r="T104" s="18" t="n">
        <v>24</v>
      </c>
      <c r="U104" s="18" t="n">
        <v>22</v>
      </c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</row>
    <row r="105">
      <c r="A105" s="17" t="n">
        <v>46097</v>
      </c>
      <c r="B105" s="18" t="n"/>
      <c r="C105" s="18" t="n"/>
      <c r="D105" s="18" t="inlineStr">
        <is>
          <t>电商</t>
        </is>
      </c>
      <c r="E105" s="18" t="inlineStr">
        <is>
          <t>阿林家</t>
        </is>
      </c>
      <c r="F105" s="19" t="inlineStr">
        <is>
          <t>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05" s="19" t="inlineStr">
        <is>
          <t>https://www.douyin.com/user/MS4wLjABAAAAGSfOLN3atCadTvzhyK1aKWKvLc7JKkcCnzDNalEDAYY</t>
        </is>
      </c>
      <c r="H105" s="18" t="n">
        <v>58751568</v>
      </c>
      <c r="I105" s="18" t="inlineStr">
        <is>
          <t>家居</t>
        </is>
      </c>
      <c r="J105" s="18" t="inlineStr">
        <is>
          <t>KOC</t>
        </is>
      </c>
      <c r="K105" s="18" t="n">
        <v>39</v>
      </c>
      <c r="L105" s="18" t="n">
        <v>213000</v>
      </c>
      <c r="M105" s="18">
        <f>Q105*1.05</f>
        <v/>
      </c>
      <c r="N105" s="20">
        <f>Q105/(S105+T105++U105)</f>
        <v/>
      </c>
      <c r="O105" s="18" t="inlineStr">
        <is>
          <t>图文</t>
        </is>
      </c>
      <c r="P105" s="21" t="n">
        <v>0.52</v>
      </c>
      <c r="Q105" s="18" t="n">
        <v>5000</v>
      </c>
      <c r="R105" s="20">
        <f>Q105/L105*1000</f>
        <v/>
      </c>
      <c r="S105" s="18" t="n">
        <v>259</v>
      </c>
      <c r="T105" s="18" t="n">
        <v>81</v>
      </c>
      <c r="U105" s="18" t="n">
        <v>88</v>
      </c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</row>
    <row r="106">
      <c r="A106" s="17" t="n">
        <v>46097</v>
      </c>
      <c r="B106" s="18" t="n"/>
      <c r="C106" s="18" t="n"/>
      <c r="D106" s="18" t="inlineStr">
        <is>
          <t>电商</t>
        </is>
      </c>
      <c r="E106" s="18" t="inlineStr">
        <is>
          <t>奥利奥家+</t>
        </is>
      </c>
      <c r="F106" s="19" t="inlineStr">
        <is>
          <t>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06" s="19" t="inlineStr">
        <is>
          <t>https://www.douyin.com/user/MS4wLjABAAAA56pI6Fc1j_vzlFlovLX-o2mN_PDa2YAzqkKqFcBtrqE</t>
        </is>
      </c>
      <c r="H106" s="18" t="inlineStr">
        <is>
          <t>Qb18561211018</t>
        </is>
      </c>
      <c r="I106" s="18" t="inlineStr">
        <is>
          <t>家居</t>
        </is>
      </c>
      <c r="J106" s="18" t="inlineStr">
        <is>
          <t>KOC</t>
        </is>
      </c>
      <c r="K106" s="18" t="n">
        <v>32</v>
      </c>
      <c r="L106" s="18" t="n">
        <v>136000</v>
      </c>
      <c r="M106" s="18">
        <f>Q106*1.05</f>
        <v/>
      </c>
      <c r="N106" s="20">
        <f>Q106/(S106+T106++U106)</f>
        <v/>
      </c>
      <c r="O106" s="18" t="inlineStr">
        <is>
          <t>图文</t>
        </is>
      </c>
      <c r="P106" s="21" t="n">
        <v>0.5</v>
      </c>
      <c r="Q106" s="18" t="n">
        <v>5000</v>
      </c>
      <c r="R106" s="20">
        <f>Q106/L106*1000</f>
        <v/>
      </c>
      <c r="S106" s="18" t="n">
        <v>556</v>
      </c>
      <c r="T106" s="18" t="n">
        <v>52</v>
      </c>
      <c r="U106" s="18" t="n">
        <v>62</v>
      </c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</row>
    <row r="107">
      <c r="A107" s="17" t="n">
        <v>46097</v>
      </c>
      <c r="B107" s="18" t="n"/>
      <c r="C107" s="18" t="n"/>
      <c r="D107" s="18" t="inlineStr">
        <is>
          <t>电商</t>
        </is>
      </c>
      <c r="E107" s="18" t="inlineStr">
        <is>
          <t>张帅小屋🏡</t>
        </is>
      </c>
      <c r="F107" s="19" t="inlineStr">
        <is>
          <t>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07" s="19" t="inlineStr">
        <is>
          <t>https://www.douyin.com/user/MS4wLjABAAAAIFj1JP9UPWhs18VcYR0GWnoaG0_3IuysonhEak_y-E9sMIancFJvxAv5ouUg-AfN</t>
        </is>
      </c>
      <c r="H107" s="18" t="inlineStr">
        <is>
          <t>ZhizuChangLe1017</t>
        </is>
      </c>
      <c r="I107" s="18" t="inlineStr">
        <is>
          <t>家居</t>
        </is>
      </c>
      <c r="J107" s="18" t="inlineStr">
        <is>
          <t>KOC</t>
        </is>
      </c>
      <c r="K107" s="18" t="n">
        <v>21</v>
      </c>
      <c r="L107" s="18" t="n">
        <v>291000</v>
      </c>
      <c r="M107" s="18">
        <f>Q107*1.05</f>
        <v/>
      </c>
      <c r="N107" s="20">
        <f>Q107/(S107+T107++U107)</f>
        <v/>
      </c>
      <c r="O107" s="18" t="inlineStr">
        <is>
          <t>图文</t>
        </is>
      </c>
      <c r="P107" s="21" t="n">
        <v>0.65</v>
      </c>
      <c r="Q107" s="18" t="n">
        <v>5000</v>
      </c>
      <c r="R107" s="20">
        <f>Q107/L107*1000</f>
        <v/>
      </c>
      <c r="S107" s="22" t="n">
        <v>3370</v>
      </c>
      <c r="T107" s="18" t="n">
        <v>232</v>
      </c>
      <c r="U107" s="18" t="n">
        <v>96</v>
      </c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</row>
    <row r="108">
      <c r="A108" s="17" t="n">
        <v>46097</v>
      </c>
      <c r="B108" s="18" t="n"/>
      <c r="C108" s="18" t="n"/>
      <c r="D108" s="18" t="inlineStr">
        <is>
          <t>电商</t>
        </is>
      </c>
      <c r="E108" s="18" t="inlineStr">
        <is>
          <t>🏠米饭儿</t>
        </is>
      </c>
      <c r="F108" s="19" t="inlineStr">
        <is>
          <t>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08" s="19" t="inlineStr">
        <is>
          <t>https://www.douyin.com/user/MS4wLjABAAAAvMzo5DHeab4vClwkiRPecybLlCNTAz0iNhbiWryUF88</t>
        </is>
      </c>
      <c r="H108" s="18" t="inlineStr">
        <is>
          <t>UGG232323</t>
        </is>
      </c>
      <c r="I108" s="18" t="inlineStr">
        <is>
          <t>家居</t>
        </is>
      </c>
      <c r="J108" s="18" t="inlineStr">
        <is>
          <t>KOC</t>
        </is>
      </c>
      <c r="K108" s="18" t="n">
        <v>20</v>
      </c>
      <c r="L108" s="18" t="n">
        <v>33000</v>
      </c>
      <c r="M108" s="18">
        <f>Q108*1.05</f>
        <v/>
      </c>
      <c r="N108" s="20">
        <f>Q108/(S108+T108++U108)</f>
        <v/>
      </c>
      <c r="O108" s="18" t="inlineStr">
        <is>
          <t>图文</t>
        </is>
      </c>
      <c r="P108" s="21" t="n">
        <v>0.58</v>
      </c>
      <c r="Q108" s="18" t="n">
        <v>4825</v>
      </c>
      <c r="R108" s="20">
        <f>Q108/L108*1000</f>
        <v/>
      </c>
      <c r="S108" s="18" t="n">
        <v>130</v>
      </c>
      <c r="T108" s="18" t="n">
        <v>22</v>
      </c>
      <c r="U108" s="18" t="n">
        <v>41</v>
      </c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</row>
    <row r="109" ht="19" customHeight="1" s="151">
      <c r="A109" s="17" t="n">
        <v>46097</v>
      </c>
      <c r="B109" s="18" t="n"/>
      <c r="C109" s="18" t="n"/>
      <c r="D109" s="18" t="inlineStr">
        <is>
          <t>电商</t>
        </is>
      </c>
      <c r="E109" s="18" t="inlineStr">
        <is>
          <t>橙十倍.</t>
        </is>
      </c>
      <c r="F109" s="19" t="inlineStr">
        <is>
          <t>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09" s="19" t="inlineStr">
        <is>
          <t>https://www.douyin.com/user/MS4wLjABAAAA7FjNVEf8z5gxkB82udOCa58XyTO6GdNNLmbrOWI2pS8mLAWNX221nM1-E1WQIy0g</t>
        </is>
      </c>
      <c r="H109" s="18" t="n">
        <v>96921015130</v>
      </c>
      <c r="I109" s="18" t="inlineStr">
        <is>
          <t>家居</t>
        </is>
      </c>
      <c r="J109" s="18" t="inlineStr">
        <is>
          <t>KOC</t>
        </is>
      </c>
      <c r="K109" s="18" t="n">
        <v>1.2</v>
      </c>
      <c r="L109" s="18" t="n">
        <v>62000</v>
      </c>
      <c r="M109" s="18">
        <f>Q109*1.05</f>
        <v/>
      </c>
      <c r="N109" s="20">
        <f>Q109/(S109+T109++U109)</f>
        <v/>
      </c>
      <c r="O109" s="18" t="inlineStr">
        <is>
          <t>图文</t>
        </is>
      </c>
      <c r="P109" s="21" t="n">
        <v>0.83</v>
      </c>
      <c r="Q109" s="18" t="n">
        <v>1200</v>
      </c>
      <c r="R109" s="20">
        <f>Q109/L109*1000</f>
        <v/>
      </c>
      <c r="S109" s="18" t="n">
        <v>248</v>
      </c>
      <c r="T109" s="18" t="n">
        <v>17</v>
      </c>
      <c r="U109" s="18" t="n">
        <v>40</v>
      </c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</row>
    <row r="110" ht="19" customHeight="1" s="151">
      <c r="A110" s="17" t="n">
        <v>46097</v>
      </c>
      <c r="B110" s="18" t="n"/>
      <c r="C110" s="18" t="n"/>
      <c r="D110" s="18" t="inlineStr">
        <is>
          <t>电商</t>
        </is>
      </c>
      <c r="E110" s="18" t="inlineStr">
        <is>
          <t>.耶の数码📷</t>
        </is>
      </c>
      <c r="F110" s="19" t="inlineStr">
        <is>
          <t>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0" s="19" t="inlineStr">
        <is>
          <t>https://www.douyin.com/user/MS4wLjABAAAAjAjrHGq2hWrjk_vRw2GDq6w1qlzajRxSe4rCQk8UjSw</t>
        </is>
      </c>
      <c r="H110" s="18" t="inlineStr">
        <is>
          <t>YeDeshuma</t>
        </is>
      </c>
      <c r="I110" s="18" t="inlineStr">
        <is>
          <t>数码</t>
        </is>
      </c>
      <c r="J110" s="18" t="inlineStr">
        <is>
          <t>KOC</t>
        </is>
      </c>
      <c r="K110" s="18" t="n">
        <v>20</v>
      </c>
      <c r="L110" s="18" t="n">
        <v>190000</v>
      </c>
      <c r="M110" s="18">
        <f>Q110*1.05</f>
        <v/>
      </c>
      <c r="N110" s="20">
        <f>Q110/(S110+T110++U110)</f>
        <v/>
      </c>
      <c r="O110" s="18" t="inlineStr">
        <is>
          <t>图文</t>
        </is>
      </c>
      <c r="P110" s="21" t="n">
        <v>0.2</v>
      </c>
      <c r="Q110" s="18" t="n">
        <v>5000</v>
      </c>
      <c r="R110" s="20">
        <f>Q110/L110*1000</f>
        <v/>
      </c>
      <c r="S110" s="18" t="n">
        <v>14000</v>
      </c>
      <c r="T110" s="18" t="n">
        <v>378</v>
      </c>
      <c r="U110" s="18" t="n">
        <v>232</v>
      </c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</row>
    <row r="111" ht="19" customHeight="1" s="151">
      <c r="A111" s="17" t="n">
        <v>46097</v>
      </c>
      <c r="B111" s="18" t="n"/>
      <c r="C111" s="18" t="n"/>
      <c r="D111" s="18" t="inlineStr">
        <is>
          <t>电商</t>
        </is>
      </c>
      <c r="E111" s="18" t="inlineStr">
        <is>
          <t>imayu.</t>
        </is>
      </c>
      <c r="F111" s="19" t="inlineStr">
        <is>
          <t>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1" s="19" t="inlineStr">
        <is>
          <t>https://www.douyin.com/user/MS4wLjABAAAARaPhWc-Kwcl6pnilAVPWOuE8obpflGtaaWPUTzgw-qDm4B8ZKlM6uFWjtv8qq9eo</t>
        </is>
      </c>
      <c r="H111" s="18" t="inlineStr">
        <is>
          <t>soonmoo</t>
        </is>
      </c>
      <c r="I111" s="18" t="inlineStr">
        <is>
          <t>家居</t>
        </is>
      </c>
      <c r="J111" s="18" t="inlineStr">
        <is>
          <t>KOC</t>
        </is>
      </c>
      <c r="K111" s="18" t="n">
        <v>13</v>
      </c>
      <c r="L111" s="18" t="n">
        <v>25000</v>
      </c>
      <c r="M111" s="18">
        <f>Q111*1.05</f>
        <v/>
      </c>
      <c r="N111" s="20">
        <f>Q111/(S111+T111++U111)</f>
        <v/>
      </c>
      <c r="O111" s="18" t="inlineStr">
        <is>
          <t>图文</t>
        </is>
      </c>
      <c r="P111" s="21" t="n">
        <v>0.62</v>
      </c>
      <c r="Q111" s="18" t="n">
        <v>1900</v>
      </c>
      <c r="R111" s="20">
        <f>Q111/L111*1000</f>
        <v/>
      </c>
      <c r="S111" s="18" t="n">
        <v>512</v>
      </c>
      <c r="T111" s="18" t="n">
        <v>12</v>
      </c>
      <c r="U111" s="18" t="n">
        <v>44</v>
      </c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</row>
    <row r="112" ht="19" customHeight="1" s="151">
      <c r="A112" s="17" t="n">
        <v>46097</v>
      </c>
      <c r="B112" s="18" t="n"/>
      <c r="C112" s="18" t="n"/>
      <c r="D112" s="18" t="inlineStr">
        <is>
          <t>电商</t>
        </is>
      </c>
      <c r="E112" s="18" t="inlineStr">
        <is>
          <t>玖狐数码.</t>
        </is>
      </c>
      <c r="F112" s="19" t="inlineStr">
        <is>
          <t>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2" s="19" t="inlineStr">
        <is>
          <t>https://www.douyin.com/user/MS4wLjABAAAAlG_J3aJhO4QbezgrM70zGTG1hDgK85JHvpEak_jUCQ8NrY7rZvxm7d8_uAjhMftI</t>
        </is>
      </c>
      <c r="H112" s="18" t="n">
        <v>78051389070</v>
      </c>
      <c r="I112" s="18" t="inlineStr">
        <is>
          <t>数码</t>
        </is>
      </c>
      <c r="J112" s="18" t="inlineStr">
        <is>
          <t>KOC</t>
        </is>
      </c>
      <c r="K112" s="18" t="n">
        <v>19</v>
      </c>
      <c r="L112" s="18" t="n">
        <v>39000</v>
      </c>
      <c r="M112" s="18">
        <f>Q112*1.05</f>
        <v/>
      </c>
      <c r="N112" s="20">
        <f>Q112/(S112+T112++U112)</f>
        <v/>
      </c>
      <c r="O112" s="18" t="inlineStr">
        <is>
          <t>图文</t>
        </is>
      </c>
      <c r="P112" s="21" t="n">
        <v>0.37</v>
      </c>
      <c r="Q112" s="18" t="n">
        <v>2000</v>
      </c>
      <c r="R112" s="20">
        <f>Q112/L112*1000</f>
        <v/>
      </c>
      <c r="S112" s="18" t="n">
        <v>1912</v>
      </c>
      <c r="T112" s="18" t="n">
        <v>205</v>
      </c>
      <c r="U112" s="18" t="n">
        <v>75</v>
      </c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</row>
    <row r="113" ht="19" customHeight="1" s="151">
      <c r="A113" s="17" t="n">
        <v>46097</v>
      </c>
      <c r="B113" s="18" t="n"/>
      <c r="C113" s="18" t="n"/>
      <c r="D113" s="18" t="inlineStr">
        <is>
          <t>电商</t>
        </is>
      </c>
      <c r="E113" s="18" t="inlineStr">
        <is>
          <t>.君君自装的家🏠（软装中）</t>
        </is>
      </c>
      <c r="F113" s="19" t="inlineStr">
        <is>
          <t>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3" s="19" t="inlineStr">
        <is>
          <t>https://www.douyin.com/user/MS4wLjABAAAAYFvJRLsyu6AhywpWYsph-Rw1rSrJLB78ykNjWVeHpEGaBOtQS8TCYRXBeTwiDjdN</t>
        </is>
      </c>
      <c r="H113" s="18" t="n">
        <v>41095275861</v>
      </c>
      <c r="I113" s="18" t="inlineStr">
        <is>
          <t>家居</t>
        </is>
      </c>
      <c r="J113" s="18" t="inlineStr">
        <is>
          <t>KOC</t>
        </is>
      </c>
      <c r="K113" s="18" t="n">
        <v>5.3</v>
      </c>
      <c r="L113" s="18" t="n">
        <v>26000</v>
      </c>
      <c r="M113" s="18">
        <f>Q113*1.05</f>
        <v/>
      </c>
      <c r="N113" s="20">
        <f>Q113/(S113+T113++U113)</f>
        <v/>
      </c>
      <c r="O113" s="18" t="inlineStr">
        <is>
          <t>图文</t>
        </is>
      </c>
      <c r="P113" s="21" t="n">
        <v>0.5600000000000001</v>
      </c>
      <c r="Q113" s="18" t="n">
        <v>1500</v>
      </c>
      <c r="R113" s="20">
        <f>Q113/L113*1000</f>
        <v/>
      </c>
      <c r="S113" s="18" t="n">
        <v>186</v>
      </c>
      <c r="T113" s="18" t="n">
        <v>8</v>
      </c>
      <c r="U113" s="18" t="n">
        <v>58</v>
      </c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</row>
    <row r="114" ht="19" customHeight="1" s="151">
      <c r="A114" s="17" t="n">
        <v>46097</v>
      </c>
      <c r="B114" s="18" t="n"/>
      <c r="C114" s="18" t="n"/>
      <c r="D114" s="18" t="inlineStr">
        <is>
          <t>电商</t>
        </is>
      </c>
      <c r="E114" s="18" t="inlineStr">
        <is>
          <t>桃.子🍑的窝</t>
        </is>
      </c>
      <c r="F114" s="19" t="inlineStr">
        <is>
          <t>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4" s="19" t="inlineStr">
        <is>
          <t>https://www.douyin.com/user/MS4wLjABAAAARWUCACxbDI5qtAomnpH9LIsNilufdxlO1HSn98dUnC3GGjvmdnaRjzO6AQjYi0fy</t>
        </is>
      </c>
      <c r="H114" s="18" t="n">
        <v>86218122193</v>
      </c>
      <c r="I114" s="18" t="inlineStr">
        <is>
          <t>家居</t>
        </is>
      </c>
      <c r="J114" s="18" t="inlineStr">
        <is>
          <t>KOC</t>
        </is>
      </c>
      <c r="K114" s="18" t="n">
        <v>6.6</v>
      </c>
      <c r="L114" s="18" t="n">
        <v>12000</v>
      </c>
      <c r="M114" s="18">
        <f>Q114*1.05</f>
        <v/>
      </c>
      <c r="N114" s="20">
        <f>Q114/(S114+T114++U114)</f>
        <v/>
      </c>
      <c r="O114" s="18" t="inlineStr">
        <is>
          <t>图文</t>
        </is>
      </c>
      <c r="P114" s="21" t="n">
        <v>0.77</v>
      </c>
      <c r="Q114" s="18" t="n">
        <v>1500</v>
      </c>
      <c r="R114" s="20">
        <f>Q114/L114*1000</f>
        <v/>
      </c>
      <c r="S114" s="18" t="n">
        <v>155</v>
      </c>
      <c r="T114" s="18" t="n">
        <v>15</v>
      </c>
      <c r="U114" s="18" t="n">
        <v>18</v>
      </c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</row>
    <row r="115" ht="19" customHeight="1" s="151">
      <c r="A115" s="17" t="n">
        <v>46097</v>
      </c>
      <c r="B115" s="18" t="n"/>
      <c r="C115" s="18" t="n"/>
      <c r="D115" s="18" t="inlineStr">
        <is>
          <t>电商</t>
        </is>
      </c>
      <c r="E115" s="18" t="inlineStr">
        <is>
          <t>许棠七.</t>
        </is>
      </c>
      <c r="F115" s="19" t="inlineStr">
        <is>
          <t>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5" s="19" t="inlineStr">
        <is>
          <t>https://www.douyin.com/user/MS4wLjABAAAA4QQwlBex1Ys8ecn4uMQQXUC91UXbVVaybEAtUcklN7F2FoCWWcwpc7UeS7apzGzO</t>
        </is>
      </c>
      <c r="H115" s="18" t="n">
        <v>41000588245</v>
      </c>
      <c r="I115" s="18" t="inlineStr">
        <is>
          <t>家居</t>
        </is>
      </c>
      <c r="J115" s="18" t="inlineStr">
        <is>
          <t>KOC</t>
        </is>
      </c>
      <c r="K115" s="18" t="n">
        <v>3</v>
      </c>
      <c r="L115" s="18" t="n">
        <v>58000</v>
      </c>
      <c r="M115" s="18">
        <f>Q115*1.05</f>
        <v/>
      </c>
      <c r="N115" s="20">
        <f>Q115/(S115+T115++U115)</f>
        <v/>
      </c>
      <c r="O115" s="18" t="inlineStr">
        <is>
          <t>图文</t>
        </is>
      </c>
      <c r="P115" s="21" t="n">
        <v>0.74</v>
      </c>
      <c r="Q115" s="18" t="n">
        <v>1750</v>
      </c>
      <c r="R115" s="20">
        <f>Q115/L115*1000</f>
        <v/>
      </c>
      <c r="S115" s="18" t="n">
        <v>707</v>
      </c>
      <c r="T115" s="18" t="n">
        <v>24</v>
      </c>
      <c r="U115" s="18" t="n">
        <v>104</v>
      </c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</row>
    <row r="116" ht="19" customHeight="1" s="151">
      <c r="A116" s="17" t="n">
        <v>46097</v>
      </c>
      <c r="B116" s="18" t="n"/>
      <c r="C116" s="18" t="n"/>
      <c r="D116" s="18" t="inlineStr">
        <is>
          <t>电商</t>
        </is>
      </c>
      <c r="E116" s="18" t="inlineStr">
        <is>
          <t>聪明的木木子.</t>
        </is>
      </c>
      <c r="F116" s="19" t="inlineStr">
        <is>
          <t>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6" s="19" t="inlineStr">
        <is>
          <t>https://www.douyin.com/user/MS4wLjABAAAAQSfrs08nxcnMz_Tn2oY_csbLf27KQG7SNvXkPncqAu4</t>
        </is>
      </c>
      <c r="H116" s="18" t="n">
        <v>1585761521</v>
      </c>
      <c r="I116" s="18" t="inlineStr">
        <is>
          <t>测评</t>
        </is>
      </c>
      <c r="J116" s="18" t="inlineStr">
        <is>
          <t>KOC</t>
        </is>
      </c>
      <c r="K116" s="18" t="n">
        <v>6.6</v>
      </c>
      <c r="L116" s="18" t="n">
        <v>40000</v>
      </c>
      <c r="M116" s="18">
        <f>Q116*1.05</f>
        <v/>
      </c>
      <c r="N116" s="20">
        <f>Q116/(S116+T116++U116)</f>
        <v/>
      </c>
      <c r="O116" s="18" t="inlineStr">
        <is>
          <t>图文</t>
        </is>
      </c>
      <c r="P116" s="21" t="n">
        <v>0.1</v>
      </c>
      <c r="Q116" s="18" t="n">
        <v>3840</v>
      </c>
      <c r="R116" s="20">
        <f>Q116/L116*1000</f>
        <v/>
      </c>
      <c r="S116" s="18" t="n">
        <v>946</v>
      </c>
      <c r="T116" s="18" t="n">
        <v>311</v>
      </c>
      <c r="U116" s="18" t="n">
        <v>187</v>
      </c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</row>
    <row r="117" ht="19" customHeight="1" s="151">
      <c r="A117" s="17" t="n">
        <v>46097</v>
      </c>
      <c r="B117" s="18" t="n"/>
      <c r="C117" s="18" t="n"/>
      <c r="D117" s="18" t="inlineStr">
        <is>
          <t>电商</t>
        </is>
      </c>
      <c r="E117" s="18" t="inlineStr">
        <is>
          <t>.魏三七的家</t>
        </is>
      </c>
      <c r="F117" s="19" t="inlineStr">
        <is>
          <t>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7" s="19" t="inlineStr">
        <is>
          <t>https://www.douyin.com/user/MS4wLjABAAAAb4TX_Bd3mV0oSr0Js_E5_0E-uTv7-0RC-P4j_uY2tQZ0FH8N8nwW-7HqQ-W61kAE</t>
        </is>
      </c>
      <c r="H117" s="18" t="n">
        <v>57883669914</v>
      </c>
      <c r="I117" s="18" t="inlineStr">
        <is>
          <t>家居</t>
        </is>
      </c>
      <c r="J117" s="18" t="inlineStr">
        <is>
          <t>KOC</t>
        </is>
      </c>
      <c r="K117" s="18" t="n">
        <v>2.6</v>
      </c>
      <c r="L117" s="18" t="n">
        <v>35000</v>
      </c>
      <c r="M117" s="18">
        <f>Q117*1.05</f>
        <v/>
      </c>
      <c r="N117" s="20">
        <f>Q117/(S117+T117++U117)</f>
        <v/>
      </c>
      <c r="O117" s="18" t="inlineStr">
        <is>
          <t>图文</t>
        </is>
      </c>
      <c r="P117" s="21" t="n">
        <v>0.6</v>
      </c>
      <c r="Q117" s="18" t="n">
        <v>1500</v>
      </c>
      <c r="R117" s="20">
        <f>Q117/L117*1000</f>
        <v/>
      </c>
      <c r="S117" s="18" t="n">
        <v>606</v>
      </c>
      <c r="T117" s="18" t="n">
        <v>40</v>
      </c>
      <c r="U117" s="18" t="n">
        <v>274</v>
      </c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</row>
    <row r="118" ht="19" customHeight="1" s="151">
      <c r="A118" s="17" t="n">
        <v>46097</v>
      </c>
      <c r="B118" s="18" t="n"/>
      <c r="C118" s="18" t="n"/>
      <c r="D118" s="18" t="inlineStr">
        <is>
          <t>电商</t>
        </is>
      </c>
      <c r="E118" s="18" t="inlineStr">
        <is>
          <t xml:space="preserve">
作作玄仔.</t>
        </is>
      </c>
      <c r="F118" s="19" t="inlineStr">
        <is>
          <t>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18" s="19" t="inlineStr">
        <is>
          <t>https://www.douyin.com/user/MS4wLjABAAAA96kGeh_tk7Q3poLkvWh3YMCoPhOYMtm9IqvmJvYKecM</t>
        </is>
      </c>
      <c r="H118" s="18" t="inlineStr">
        <is>
          <t>Wq1aoXer</t>
        </is>
      </c>
      <c r="I118" s="18" t="inlineStr">
        <is>
          <t>家居</t>
        </is>
      </c>
      <c r="J118" s="18" t="inlineStr">
        <is>
          <t>KOC</t>
        </is>
      </c>
      <c r="K118" s="18" t="n">
        <v>1.1</v>
      </c>
      <c r="L118" s="18" t="n">
        <v>14000</v>
      </c>
      <c r="M118" s="18">
        <f>Q118*1.05</f>
        <v/>
      </c>
      <c r="N118" s="20">
        <f>Q118/(S118+T118++U118)</f>
        <v/>
      </c>
      <c r="O118" s="18" t="inlineStr">
        <is>
          <t>图文</t>
        </is>
      </c>
      <c r="P118" s="21" t="n">
        <v>0.83</v>
      </c>
      <c r="Q118" s="18" t="n">
        <v>1000</v>
      </c>
      <c r="R118" s="20">
        <f>Q118/L118*1000</f>
        <v/>
      </c>
      <c r="S118" s="18" t="n">
        <v>194</v>
      </c>
      <c r="T118" s="18" t="n">
        <v>24</v>
      </c>
      <c r="U118" s="18" t="n">
        <v>22</v>
      </c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</row>
    <row r="119">
      <c r="A119" s="17" t="n">
        <v>46097</v>
      </c>
      <c r="B119" s="18" t="n"/>
      <c r="C119" s="18" t="n"/>
      <c r="D119" s="18" t="inlineStr">
        <is>
          <t>品牌</t>
        </is>
      </c>
      <c r="E119" s="18" t="inlineStr">
        <is>
          <t>朱Sir.</t>
        </is>
      </c>
      <c r="F119" s="19" t="inlineStr">
        <is>
          <t>https://www.xingtu.cn/ad/creator/author-homepage/douyin-video/7035744523242176549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19" s="19" t="inlineStr">
        <is>
          <t>https://www.douyin.com/user/MS4wLjABAAAAg2eOy15_2q0GZtFYcV7HH8-O-6Hw8MyXsB4Crz9Efz8ONVL_Hs3z02gKbl-IH_Il</t>
        </is>
      </c>
      <c r="H119" s="18" t="n">
        <v>82170682959</v>
      </c>
      <c r="I119" s="18" t="inlineStr">
        <is>
          <t>家居</t>
        </is>
      </c>
      <c r="J119" s="18" t="inlineStr">
        <is>
          <t>KOC</t>
        </is>
      </c>
      <c r="K119" s="18" t="n">
        <v>17</v>
      </c>
      <c r="L119" s="18" t="n">
        <v>25000</v>
      </c>
      <c r="M119" s="18">
        <f>Q119*1.05</f>
        <v/>
      </c>
      <c r="N119" s="20">
        <f>Q119/(S119+T119++U119)</f>
        <v/>
      </c>
      <c r="O119" s="18" t="inlineStr">
        <is>
          <t>图文</t>
        </is>
      </c>
      <c r="P119" s="21" t="n">
        <v>0.45</v>
      </c>
      <c r="Q119" s="18" t="n">
        <v>5000</v>
      </c>
      <c r="R119" s="20">
        <f>Q119/L119*1000</f>
        <v/>
      </c>
      <c r="S119" s="18" t="n">
        <v>304</v>
      </c>
      <c r="T119" s="18" t="n">
        <v>16</v>
      </c>
      <c r="U119" s="18" t="n">
        <v>19</v>
      </c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</row>
    <row r="120">
      <c r="A120" s="17" t="n">
        <v>46097</v>
      </c>
      <c r="B120" s="18" t="n"/>
      <c r="C120" s="18" t="n"/>
      <c r="D120" s="18" t="inlineStr">
        <is>
          <t>品牌</t>
        </is>
      </c>
      <c r="E120" s="18" t="inlineStr">
        <is>
          <t>溪庭HOME</t>
        </is>
      </c>
      <c r="F120" s="19" t="inlineStr">
        <is>
          <t>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20" s="19" t="inlineStr">
        <is>
          <t>https://www.douyin.com/user/MS4wLjABAAAAR-RzST7Zi939Bqvaht8OxAiDVxihQMmzfTHjmFiSD1CUw_i0GjIZ9HHg5YY4UhtC</t>
        </is>
      </c>
      <c r="H120" s="18" t="n">
        <v>47213978507</v>
      </c>
      <c r="I120" s="18" t="inlineStr">
        <is>
          <t>家居</t>
        </is>
      </c>
      <c r="J120" s="18" t="inlineStr">
        <is>
          <t>KOC</t>
        </is>
      </c>
      <c r="K120" s="18" t="n">
        <v>6.7</v>
      </c>
      <c r="L120" s="18" t="n">
        <v>38000</v>
      </c>
      <c r="M120" s="18">
        <f>Q120*1.05</f>
        <v/>
      </c>
      <c r="N120" s="20">
        <f>Q120/(S120+T120++U120)</f>
        <v/>
      </c>
      <c r="O120" s="18" t="inlineStr">
        <is>
          <t>图文</t>
        </is>
      </c>
      <c r="P120" s="21" t="n">
        <v>0.63</v>
      </c>
      <c r="Q120" s="18" t="n">
        <v>5900</v>
      </c>
      <c r="R120" s="20">
        <f>Q120/L120*1000</f>
        <v/>
      </c>
      <c r="S120" s="18" t="n">
        <v>455</v>
      </c>
      <c r="T120" s="18" t="n">
        <v>34</v>
      </c>
      <c r="U120" s="18" t="n">
        <v>301</v>
      </c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</row>
    <row r="121">
      <c r="A121" s="17" t="n">
        <v>46097</v>
      </c>
      <c r="B121" s="18" t="n"/>
      <c r="C121" s="18" t="n"/>
      <c r="D121" s="18" t="inlineStr">
        <is>
          <t>品牌</t>
        </is>
      </c>
      <c r="E121" s="18" t="inlineStr">
        <is>
          <t>咕噜苗</t>
        </is>
      </c>
      <c r="F121" s="19" t="inlineStr">
        <is>
          <t>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21" s="19" t="inlineStr">
        <is>
          <t>https://www.douyin.com/user/MS4wLjABAAAA3B98oxC-6sVFindB-anv7fqx3VeK9y0YMUOaZTSTXCQ</t>
        </is>
      </c>
      <c r="H121" s="18" t="n">
        <v>98527024</v>
      </c>
      <c r="I121" s="18" t="inlineStr">
        <is>
          <t>家居</t>
        </is>
      </c>
      <c r="J121" s="18" t="inlineStr">
        <is>
          <t>KOC</t>
        </is>
      </c>
      <c r="K121" s="18" t="n">
        <v>18</v>
      </c>
      <c r="L121" s="18" t="n">
        <v>78000</v>
      </c>
      <c r="M121" s="18">
        <f>Q121*1.05</f>
        <v/>
      </c>
      <c r="N121" s="20">
        <f>Q121/(S121+T121++U121)</f>
        <v/>
      </c>
      <c r="O121" s="18" t="inlineStr">
        <is>
          <t>图文</t>
        </is>
      </c>
      <c r="P121" s="21" t="n">
        <v>0.66</v>
      </c>
      <c r="Q121" s="18" t="n">
        <v>6000</v>
      </c>
      <c r="R121" s="20">
        <f>Q121/L121*1000</f>
        <v/>
      </c>
      <c r="S121" s="22" t="n">
        <v>5313</v>
      </c>
      <c r="T121" s="18" t="n">
        <v>148</v>
      </c>
      <c r="U121" s="18" t="n">
        <v>2272</v>
      </c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</row>
    <row r="122">
      <c r="A122" s="17" t="n">
        <v>46097</v>
      </c>
      <c r="B122" s="18" t="n"/>
      <c r="C122" s="18" t="n"/>
      <c r="D122" s="18" t="inlineStr">
        <is>
          <t>品牌</t>
        </is>
      </c>
      <c r="E122" s="18" t="inlineStr">
        <is>
          <t>小孩装修日记</t>
        </is>
      </c>
      <c r="F122" s="19" t="inlineStr">
        <is>
          <t>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22" s="19" t="inlineStr">
        <is>
          <t>https://www.douyin.com/user/MS4wLjABAAAAdt1mC-0cbgUuzgRiO2oTZF30rggcQkpyfKzW6IyQkyo</t>
        </is>
      </c>
      <c r="H122" s="18" t="n">
        <v>364571946</v>
      </c>
      <c r="I122" s="18" t="inlineStr">
        <is>
          <t>家居</t>
        </is>
      </c>
      <c r="J122" s="18" t="inlineStr">
        <is>
          <t>KOC</t>
        </is>
      </c>
      <c r="K122" s="18" t="n">
        <v>21</v>
      </c>
      <c r="L122" s="18" t="n">
        <v>124000</v>
      </c>
      <c r="M122" s="18">
        <f>Q122*1.05</f>
        <v/>
      </c>
      <c r="N122" s="20">
        <f>Q122/(S122+T122++U122)</f>
        <v/>
      </c>
      <c r="O122" s="18" t="inlineStr">
        <is>
          <t>图文</t>
        </is>
      </c>
      <c r="P122" s="21" t="n">
        <v>0.33</v>
      </c>
      <c r="Q122" s="18" t="n">
        <v>4000</v>
      </c>
      <c r="R122" s="20">
        <f>Q122/L122*1000</f>
        <v/>
      </c>
      <c r="S122" s="18" t="n">
        <v>933</v>
      </c>
      <c r="T122" s="18" t="n">
        <v>53</v>
      </c>
      <c r="U122" s="18" t="n">
        <v>122</v>
      </c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</row>
    <row r="123">
      <c r="A123" s="17" t="n">
        <v>46097</v>
      </c>
      <c r="B123" s="18" t="n"/>
      <c r="C123" s="18" t="n"/>
      <c r="D123" s="18" t="inlineStr">
        <is>
          <t>品牌</t>
        </is>
      </c>
      <c r="E123" s="18" t="inlineStr">
        <is>
          <t>-橘子的小家</t>
        </is>
      </c>
      <c r="F123" s="19" t="inlineStr">
        <is>
          <t>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3" s="19" t="inlineStr">
        <is>
          <t>https://www.douyin.com/user/MS4wLjABAAAAiasGnaKzVxvCo6q2kkmHBGObqeALct9AIsU7zFS4vwIK40aQptct-PA271yHUuK3</t>
        </is>
      </c>
      <c r="H123" s="18" t="inlineStr">
        <is>
          <t>juzijia20226666</t>
        </is>
      </c>
      <c r="I123" s="18" t="inlineStr">
        <is>
          <t>家居</t>
        </is>
      </c>
      <c r="J123" s="18" t="inlineStr">
        <is>
          <t>KOC</t>
        </is>
      </c>
      <c r="K123" s="18" t="n">
        <v>18</v>
      </c>
      <c r="L123" s="18" t="n">
        <v>80000</v>
      </c>
      <c r="M123" s="18">
        <f>Q123*1.05</f>
        <v/>
      </c>
      <c r="N123" s="20">
        <f>Q123/(S123+T123++U123)</f>
        <v/>
      </c>
      <c r="O123" s="18" t="inlineStr">
        <is>
          <t>图文</t>
        </is>
      </c>
      <c r="P123" s="21" t="n">
        <v>0.47</v>
      </c>
      <c r="Q123" s="18" t="n">
        <v>5000</v>
      </c>
      <c r="R123" s="20">
        <f>Q123/L123*1000</f>
        <v/>
      </c>
      <c r="S123" s="18" t="n">
        <v>4104</v>
      </c>
      <c r="T123" s="18" t="n">
        <v>189</v>
      </c>
      <c r="U123" s="18" t="n">
        <v>323</v>
      </c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</row>
    <row r="124">
      <c r="A124" s="17" t="n">
        <v>46097</v>
      </c>
      <c r="B124" s="18" t="n"/>
      <c r="C124" s="18" t="n"/>
      <c r="D124" s="18" t="inlineStr">
        <is>
          <t>品牌</t>
        </is>
      </c>
      <c r="E124" s="18" t="inlineStr">
        <is>
          <t>-耿直科技人</t>
        </is>
      </c>
      <c r="F124" s="19" t="inlineStr">
        <is>
          <t>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4" s="19" t="inlineStr">
        <is>
          <t>https://www.douyin.com/user/MS4wLjABAAAAGcpMHomCsOaw3rSLUcJLlMesmGa8bM8Pnn7-GEag8Ho</t>
        </is>
      </c>
      <c r="H124" s="18" t="n">
        <v>659995600</v>
      </c>
      <c r="I124" s="18" t="inlineStr">
        <is>
          <t>家居</t>
        </is>
      </c>
      <c r="J124" s="18" t="inlineStr">
        <is>
          <t>KOC</t>
        </is>
      </c>
      <c r="K124" s="18" t="n">
        <v>19</v>
      </c>
      <c r="L124" s="18" t="n">
        <v>58000</v>
      </c>
      <c r="M124" s="18">
        <f>Q124*1.05</f>
        <v/>
      </c>
      <c r="N124" s="20">
        <f>Q124/(S124+T124++U124)</f>
        <v/>
      </c>
      <c r="O124" s="18" t="inlineStr">
        <is>
          <t>图文</t>
        </is>
      </c>
      <c r="P124" s="21" t="n">
        <v>0.17</v>
      </c>
      <c r="Q124" s="18" t="n">
        <v>1000</v>
      </c>
      <c r="R124" s="20">
        <f>Q124/L124*1000</f>
        <v/>
      </c>
      <c r="S124" s="22" t="n">
        <v>1251</v>
      </c>
      <c r="T124" s="18" t="n">
        <v>32</v>
      </c>
      <c r="U124" s="18" t="n">
        <v>10</v>
      </c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</row>
    <row r="125">
      <c r="A125" s="17" t="n">
        <v>46097</v>
      </c>
      <c r="B125" s="18" t="n"/>
      <c r="C125" s="18" t="n"/>
      <c r="D125" s="18" t="inlineStr">
        <is>
          <t>品牌</t>
        </is>
      </c>
      <c r="E125" s="18" t="inlineStr">
        <is>
          <t xml:space="preserve">
🍅CC-</t>
        </is>
      </c>
      <c r="F125" s="19" t="inlineStr">
        <is>
          <t>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5" s="19" t="inlineStr">
        <is>
          <t>https://www.douyin.com/user/MS4wLjABAAAAaBv-Slhw8gRA4gBaZKjPBjXrOoLNp-1aTu0aa2Q2pr3fwv7qallZbE_ggWui6wVC</t>
        </is>
      </c>
      <c r="H125" s="18" t="n">
        <v>2166919817</v>
      </c>
      <c r="I125" s="18" t="inlineStr">
        <is>
          <t>家居</t>
        </is>
      </c>
      <c r="J125" s="18" t="inlineStr">
        <is>
          <t>KOC</t>
        </is>
      </c>
      <c r="K125" s="18" t="n">
        <v>5.8</v>
      </c>
      <c r="L125" s="18" t="n">
        <v>47000</v>
      </c>
      <c r="M125" s="18">
        <f>Q125*1.05</f>
        <v/>
      </c>
      <c r="N125" s="20">
        <f>Q125/(S125+T125++U125)</f>
        <v/>
      </c>
      <c r="O125" s="18" t="inlineStr">
        <is>
          <t>图文</t>
        </is>
      </c>
      <c r="P125" s="21" t="n">
        <v>0.62</v>
      </c>
      <c r="Q125" s="18" t="n">
        <v>1299</v>
      </c>
      <c r="R125" s="20">
        <f>Q125/L125*1000</f>
        <v/>
      </c>
      <c r="S125" s="18" t="n">
        <v>256</v>
      </c>
      <c r="T125" s="18" t="n">
        <v>21</v>
      </c>
      <c r="U125" s="18" t="n">
        <v>164</v>
      </c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</row>
    <row r="126">
      <c r="A126" s="17" t="n">
        <v>46097</v>
      </c>
      <c r="B126" s="18" t="n"/>
      <c r="C126" s="18" t="n"/>
      <c r="D126" s="18" t="inlineStr">
        <is>
          <t>品牌</t>
        </is>
      </c>
      <c r="E126" s="18" t="inlineStr">
        <is>
          <t>柏汇🌾-</t>
        </is>
      </c>
      <c r="F126" s="19" t="inlineStr">
        <is>
          <t>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6" s="19" t="inlineStr">
        <is>
          <t>https://www.douyin.com/user/MS4wLjABAAAAeujvFrHErVApBwWnMbaOWCpchN7nhTiYTx1lYQSrJS0</t>
        </is>
      </c>
      <c r="H126" s="18" t="inlineStr">
        <is>
          <t>yangbaihui0615</t>
        </is>
      </c>
      <c r="I126" s="18" t="inlineStr">
        <is>
          <t>科技</t>
        </is>
      </c>
      <c r="J126" s="18" t="inlineStr">
        <is>
          <t>KOC</t>
        </is>
      </c>
      <c r="K126" s="18" t="n">
        <v>1.9</v>
      </c>
      <c r="L126" s="18" t="n">
        <v>84000</v>
      </c>
      <c r="M126" s="18">
        <f>Q126*1.05</f>
        <v/>
      </c>
      <c r="N126" s="20">
        <f>Q126/(S126+T126++U126)</f>
        <v/>
      </c>
      <c r="O126" s="18" t="inlineStr">
        <is>
          <t>图文</t>
        </is>
      </c>
      <c r="P126" s="21" t="n">
        <v>0.67</v>
      </c>
      <c r="Q126" s="18" t="n">
        <v>2000</v>
      </c>
      <c r="R126" s="20">
        <f>Q126/L126*1000</f>
        <v/>
      </c>
      <c r="S126" s="18" t="n">
        <v>415</v>
      </c>
      <c r="T126" s="18" t="n">
        <v>34</v>
      </c>
      <c r="U126" s="18" t="n">
        <v>35</v>
      </c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</row>
    <row r="127">
      <c r="A127" s="17" t="n">
        <v>46097</v>
      </c>
      <c r="B127" s="18" t="n"/>
      <c r="C127" s="18" t="n"/>
      <c r="D127" s="18" t="inlineStr">
        <is>
          <t>品牌</t>
        </is>
      </c>
      <c r="E127" s="18" t="inlineStr">
        <is>
          <t>.酥梨椰的家装日记</t>
        </is>
      </c>
      <c r="F127" s="19" t="inlineStr">
        <is>
          <t>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7" s="19" t="inlineStr">
        <is>
          <t>https://www.douyin.com/user/MS4wLjABAAAAvCQ3UPzvZo_oZ1dueUr0JZJ8KbiIw898KBiIPmKPZBVEejz_cH2m9UUIXFDUwpgv</t>
        </is>
      </c>
      <c r="H127" s="18" t="n">
        <v>20734682257</v>
      </c>
      <c r="I127" s="18" t="inlineStr">
        <is>
          <t>家电</t>
        </is>
      </c>
      <c r="J127" s="18" t="inlineStr">
        <is>
          <t>KOC</t>
        </is>
      </c>
      <c r="K127" s="18" t="n">
        <v>41</v>
      </c>
      <c r="L127" s="18" t="n">
        <v>210000</v>
      </c>
      <c r="M127" s="18">
        <f>Q127*1.05</f>
        <v/>
      </c>
      <c r="N127" s="20">
        <f>Q127/(S127+T127++U127)</f>
        <v/>
      </c>
      <c r="O127" s="18" t="inlineStr">
        <is>
          <t>图文</t>
        </is>
      </c>
      <c r="P127" s="21" t="n">
        <v>0.3</v>
      </c>
      <c r="Q127" s="18" t="n">
        <v>5000</v>
      </c>
      <c r="R127" s="20">
        <f>Q127/L127*1000</f>
        <v/>
      </c>
      <c r="S127" s="18" t="n">
        <v>2381</v>
      </c>
      <c r="T127" s="18" t="n">
        <v>27</v>
      </c>
      <c r="U127" s="18" t="n">
        <v>454</v>
      </c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</row>
    <row r="128">
      <c r="A128" s="17" t="n">
        <v>46097</v>
      </c>
      <c r="B128" s="18" t="n"/>
      <c r="C128" s="18" t="n"/>
      <c r="D128" s="18" t="inlineStr">
        <is>
          <t>品牌</t>
        </is>
      </c>
      <c r="E128" s="18" t="inlineStr">
        <is>
          <t>橘子呀🏠.</t>
        </is>
      </c>
      <c r="F128" s="19" t="inlineStr">
        <is>
          <t>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8" s="19" t="inlineStr">
        <is>
          <t>https://www.douyin.com/user/MS4wLjABAAAAehyYEyIY5fCDzKrA6UYOfQRTrM0x-OphgqQeLPYPrZO0GNFdniicjmgjv2P0lSDf</t>
        </is>
      </c>
      <c r="H128" s="18" t="inlineStr">
        <is>
          <t>LQ2124888</t>
        </is>
      </c>
      <c r="I128" s="18" t="inlineStr">
        <is>
          <t>家居</t>
        </is>
      </c>
      <c r="J128" s="18" t="inlineStr">
        <is>
          <t>KOC</t>
        </is>
      </c>
      <c r="K128" s="18" t="n">
        <v>1.4</v>
      </c>
      <c r="L128" s="18" t="n">
        <v>26000</v>
      </c>
      <c r="M128" s="18">
        <f>Q128*1.05</f>
        <v/>
      </c>
      <c r="N128" s="20">
        <f>Q128/(S128+T128++U128)</f>
        <v/>
      </c>
      <c r="O128" s="18" t="inlineStr">
        <is>
          <t>图文</t>
        </is>
      </c>
      <c r="P128" s="21" t="n">
        <v>0.82</v>
      </c>
      <c r="Q128" s="18" t="n">
        <v>1200</v>
      </c>
      <c r="R128" s="20">
        <f>Q128/L128*1000</f>
        <v/>
      </c>
      <c r="S128" s="18" t="n">
        <v>453</v>
      </c>
      <c r="T128" s="18" t="n">
        <v>24</v>
      </c>
      <c r="U128" s="18" t="n">
        <v>346</v>
      </c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</row>
    <row r="129">
      <c r="A129" s="17" t="n">
        <v>46097</v>
      </c>
      <c r="B129" s="18" t="n"/>
      <c r="C129" s="18" t="n"/>
      <c r="D129" s="18" t="inlineStr">
        <is>
          <t>品牌</t>
        </is>
      </c>
      <c r="E129" s="18" t="inlineStr">
        <is>
          <t>数码羊驼.</t>
        </is>
      </c>
      <c r="F129" s="19" t="inlineStr">
        <is>
          <t>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29" s="19" t="inlineStr">
        <is>
          <t>https://www.douyin.com/user/MS4wLjABAAAAo7PjTv9bm3Jrkg_IQfnmILZWeJ28UXnabzAGdHTT3P0</t>
        </is>
      </c>
      <c r="H129" s="18" t="inlineStr">
        <is>
          <t>9527XM5139</t>
        </is>
      </c>
      <c r="I129" s="18" t="inlineStr">
        <is>
          <t>科技</t>
        </is>
      </c>
      <c r="J129" s="18" t="inlineStr">
        <is>
          <t>KOC</t>
        </is>
      </c>
      <c r="K129" s="18" t="n">
        <v>3.2</v>
      </c>
      <c r="L129" s="18" t="n">
        <v>45000</v>
      </c>
      <c r="M129" s="18">
        <f>Q129*1.05</f>
        <v/>
      </c>
      <c r="N129" s="20">
        <f>Q129/(S129+T129++U129)</f>
        <v/>
      </c>
      <c r="O129" s="18" t="inlineStr">
        <is>
          <t>图文</t>
        </is>
      </c>
      <c r="P129" s="21" t="n">
        <v>0.4</v>
      </c>
      <c r="Q129" s="18" t="n">
        <v>1050</v>
      </c>
      <c r="R129" s="20">
        <f>Q129/L129*1000</f>
        <v/>
      </c>
      <c r="S129" s="18" t="n">
        <v>820</v>
      </c>
      <c r="T129" s="18" t="n">
        <v>368</v>
      </c>
      <c r="U129" s="18" t="n">
        <v>95</v>
      </c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</row>
    <row r="130">
      <c r="A130" s="17" t="n">
        <v>46097</v>
      </c>
      <c r="B130" s="18" t="n"/>
      <c r="C130" s="18" t="n"/>
      <c r="D130" s="18" t="inlineStr">
        <is>
          <t>品牌</t>
        </is>
      </c>
      <c r="E130" s="18" t="inlineStr">
        <is>
          <t>乘风测评.</t>
        </is>
      </c>
      <c r="F130" s="19" t="inlineStr">
        <is>
          <t>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30" s="19" t="inlineStr">
        <is>
          <t>https://www.douyin.com/user/MS4wLjABAAAAro3IXXwEj0PlkffN16rVJOZvvcogQBzVbmgsyW15MFk4j8G6_nhbC9gN9844kol3</t>
        </is>
      </c>
      <c r="H130" s="18" t="inlineStr">
        <is>
          <t>ZZZeng1013</t>
        </is>
      </c>
      <c r="I130" s="18" t="inlineStr">
        <is>
          <t>测评</t>
        </is>
      </c>
      <c r="J130" s="18" t="inlineStr">
        <is>
          <t>KOC</t>
        </is>
      </c>
      <c r="K130" s="18" t="n">
        <v>21.8</v>
      </c>
      <c r="L130" s="18" t="n">
        <v>94000</v>
      </c>
      <c r="M130" s="18">
        <f>Q130*1.05</f>
        <v/>
      </c>
      <c r="N130" s="20">
        <f>Q130/(S130+T130++U130)</f>
        <v/>
      </c>
      <c r="O130" s="18" t="inlineStr">
        <is>
          <t>图文</t>
        </is>
      </c>
      <c r="P130" s="21" t="n">
        <v>0.3</v>
      </c>
      <c r="Q130" s="18" t="n">
        <v>1200</v>
      </c>
      <c r="R130" s="20">
        <f>Q130/L130*1000</f>
        <v/>
      </c>
      <c r="S130" s="18" t="n">
        <v>1712</v>
      </c>
      <c r="T130" s="18" t="n">
        <v>98</v>
      </c>
      <c r="U130" s="18" t="n">
        <v>34</v>
      </c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</row>
    <row r="131">
      <c r="A131" s="17" t="n">
        <v>46097</v>
      </c>
      <c r="B131" s="18" t="n"/>
      <c r="C131" s="18" t="n"/>
      <c r="D131" s="18" t="inlineStr">
        <is>
          <t>品牌</t>
        </is>
      </c>
      <c r="E131" s="18" t="inlineStr">
        <is>
          <t>文小棠.</t>
        </is>
      </c>
      <c r="F131" s="19" t="inlineStr">
        <is>
          <t>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31" s="19" t="inlineStr">
        <is>
          <t>https://www.douyin.com/user/MS4wLjABAAAAWc3nS-6KGZWXVv3p07kN3_QAFiGAF6qnOkUC8ZTt6u3UKnfRseHlljNTGqEbbmdo</t>
        </is>
      </c>
      <c r="H131" s="18" t="inlineStr">
        <is>
          <t>shanwenyu0207</t>
        </is>
      </c>
      <c r="I131" s="18" t="inlineStr">
        <is>
          <t>好物分享</t>
        </is>
      </c>
      <c r="J131" s="18" t="inlineStr">
        <is>
          <t>KOC</t>
        </is>
      </c>
      <c r="K131" s="18" t="n">
        <v>2.3</v>
      </c>
      <c r="L131" s="18" t="n">
        <v>29000</v>
      </c>
      <c r="M131" s="18">
        <f>Q131*1.05</f>
        <v/>
      </c>
      <c r="N131" s="20">
        <f>Q131/(S131+T131++U131)</f>
        <v/>
      </c>
      <c r="O131" s="18" t="inlineStr">
        <is>
          <t>图文</t>
        </is>
      </c>
      <c r="P131" s="21" t="n">
        <v>0.1</v>
      </c>
      <c r="Q131" s="18" t="n">
        <v>1000</v>
      </c>
      <c r="R131" s="20">
        <f>Q131/L131*1000</f>
        <v/>
      </c>
      <c r="S131" s="22" t="n">
        <v>1384</v>
      </c>
      <c r="T131" s="18" t="n">
        <v>215</v>
      </c>
      <c r="U131" s="18" t="n">
        <v>223</v>
      </c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</row>
    <row r="132">
      <c r="A132" s="17" t="n">
        <v>46098</v>
      </c>
      <c r="B132" s="18" t="n"/>
      <c r="C132" s="18" t="n"/>
      <c r="D132" s="18" t="inlineStr">
        <is>
          <t>电商</t>
        </is>
      </c>
      <c r="E132" s="18" t="inlineStr">
        <is>
          <t>木木的家🏠.</t>
        </is>
      </c>
      <c r="F132" s="19" t="inlineStr">
        <is>
          <t>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    </is>
      </c>
      <c r="G132" s="19" t="inlineStr">
        <is>
          <t>https://www.douyin.com/user/MS4wLjABAAAA1QoL8gGA5gYg1gFdE2x1tmH64x_KMrKWEU44O2SfL00P6iqSlyaN7ii50mjBm9BZ</t>
        </is>
      </c>
      <c r="H132" s="18" t="inlineStr">
        <is>
          <t>Ladybres2</t>
        </is>
      </c>
      <c r="I132" s="18" t="inlineStr">
        <is>
          <t>家居</t>
        </is>
      </c>
      <c r="J132" s="18" t="inlineStr">
        <is>
          <t>KOC</t>
        </is>
      </c>
      <c r="K132" s="18" t="n">
        <v>2.1</v>
      </c>
      <c r="L132" s="18" t="n">
        <v>44000</v>
      </c>
      <c r="M132" s="18">
        <f>Q132*1.05</f>
        <v/>
      </c>
      <c r="N132" s="20">
        <f>Q132/(S132+T132++U132)</f>
        <v/>
      </c>
      <c r="O132" s="18" t="inlineStr">
        <is>
          <t>图文</t>
        </is>
      </c>
      <c r="P132" s="21" t="n">
        <v>0.78</v>
      </c>
      <c r="Q132" s="18" t="n">
        <v>1500</v>
      </c>
      <c r="R132" s="20">
        <f>Q132/L132*1000</f>
        <v/>
      </c>
      <c r="S132" s="18" t="n">
        <v>713</v>
      </c>
      <c r="T132" s="18" t="n">
        <v>33</v>
      </c>
      <c r="U132" s="18" t="n">
        <v>321</v>
      </c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</row>
    <row r="133">
      <c r="A133" s="17" t="n">
        <v>46098</v>
      </c>
      <c r="B133" s="18" t="n"/>
      <c r="C133" s="18" t="n"/>
      <c r="D133" s="18" t="inlineStr">
        <is>
          <t>电商</t>
        </is>
      </c>
      <c r="E133" s="18" t="inlineStr">
        <is>
          <t>無设计</t>
        </is>
      </c>
      <c r="F133" s="19" t="inlineStr">
        <is>
          <t>https://www.xingtu.cn/ad/creator/author-homepage/douyin-video/6936895695462858765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3" s="19" t="inlineStr">
        <is>
          <t>https://www.douyin.com/user/MS4wLjABAAAA1b0Koi6aWpUrTRe9a-Q2sKAF17ywhWXr718V5mjO6kQ</t>
        </is>
      </c>
      <c r="H133" s="18" t="inlineStr">
        <is>
          <t>AWSJ523</t>
        </is>
      </c>
      <c r="I133" s="18" t="inlineStr">
        <is>
          <t>家居</t>
        </is>
      </c>
      <c r="J133" s="18" t="inlineStr">
        <is>
          <t>KOC</t>
        </is>
      </c>
      <c r="K133" s="18" t="n">
        <v>59</v>
      </c>
      <c r="L133" s="18" t="n">
        <v>88000</v>
      </c>
      <c r="M133" s="18" t="n"/>
      <c r="N133" s="18" t="n"/>
      <c r="O133" s="18" t="n"/>
      <c r="P133" s="21" t="n">
        <v>0.61</v>
      </c>
      <c r="Q133" s="18" t="n">
        <v>6100</v>
      </c>
      <c r="R133" s="20">
        <f>Q133/L133*1000</f>
        <v/>
      </c>
      <c r="S133" s="18" t="n">
        <v>1158</v>
      </c>
      <c r="T133" s="18" t="n">
        <v>23</v>
      </c>
      <c r="U133" s="18" t="n">
        <v>835</v>
      </c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</row>
    <row r="134">
      <c r="A134" s="17" t="n">
        <v>46098</v>
      </c>
      <c r="B134" s="18" t="n"/>
      <c r="C134" s="18" t="n"/>
      <c r="D134" s="18" t="inlineStr">
        <is>
          <t>电商</t>
        </is>
      </c>
      <c r="E134" s="18" t="inlineStr">
        <is>
          <t>名嘉德设计</t>
        </is>
      </c>
      <c r="F134" s="19" t="inlineStr">
        <is>
          <t>https://www.xingtu.cn/ad/creator/author-homepage/douyin-video/6870167487103631373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4" s="19" t="inlineStr">
        <is>
          <t>https://www.douyin.com/user/MS4wLjABAAAAfdScCCYIADFhMrxY20_am5vDMacinM4l869pieEVnfA</t>
        </is>
      </c>
      <c r="H134" s="18" t="inlineStr">
        <is>
          <t>mingjia2016</t>
        </is>
      </c>
      <c r="I134" s="18" t="inlineStr">
        <is>
          <t>家居</t>
        </is>
      </c>
      <c r="J134" s="18" t="inlineStr">
        <is>
          <t>KOC</t>
        </is>
      </c>
      <c r="K134" s="18" t="n">
        <v>45</v>
      </c>
      <c r="L134" s="18" t="n">
        <v>93000</v>
      </c>
      <c r="M134" s="18" t="n"/>
      <c r="N134" s="18" t="n"/>
      <c r="O134" s="18" t="n"/>
      <c r="P134" s="21" t="n">
        <v>0.2</v>
      </c>
      <c r="Q134" s="18" t="n">
        <v>3000</v>
      </c>
      <c r="R134" s="20">
        <f>Q134/L134*1000</f>
        <v/>
      </c>
      <c r="S134" s="22" t="n">
        <v>1750</v>
      </c>
      <c r="T134" s="18" t="n">
        <v>73</v>
      </c>
      <c r="U134" s="18" t="n">
        <v>207</v>
      </c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</row>
    <row r="135">
      <c r="A135" s="17" t="n">
        <v>46098</v>
      </c>
      <c r="B135" s="18" t="n"/>
      <c r="C135" s="18" t="n"/>
      <c r="D135" s="18" t="inlineStr">
        <is>
          <t>电商</t>
        </is>
      </c>
      <c r="E135" s="18" t="inlineStr">
        <is>
          <t>小资小调</t>
        </is>
      </c>
      <c r="F135" s="19" t="inlineStr">
        <is>
          <t>https://www.xingtu.cn/ad/creator/author-homepage/douyin-video/7163573899223891981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5" s="19" t="inlineStr">
        <is>
          <t>https://www.douyin.com/user/MS4wLjABAAAAADC6y84v-qR_ylWv1Por6cI6LQqxDPQXTjZ9ub4h8V8</t>
        </is>
      </c>
      <c r="H135" s="18" t="inlineStr">
        <is>
          <t>C10191107</t>
        </is>
      </c>
      <c r="I135" s="18" t="inlineStr">
        <is>
          <t>家居</t>
        </is>
      </c>
      <c r="J135" s="18" t="inlineStr">
        <is>
          <t>KOC</t>
        </is>
      </c>
      <c r="K135" s="18" t="n">
        <v>10</v>
      </c>
      <c r="L135" s="18" t="n">
        <v>182000</v>
      </c>
      <c r="M135" s="18" t="n"/>
      <c r="N135" s="18" t="n"/>
      <c r="O135" s="18" t="n"/>
      <c r="P135" s="21" t="n">
        <v>0.73</v>
      </c>
      <c r="Q135" s="18" t="n">
        <v>3000</v>
      </c>
      <c r="R135" s="20">
        <f>Q135/L135*1000</f>
        <v/>
      </c>
      <c r="S135" s="18" t="n">
        <v>812</v>
      </c>
      <c r="T135" s="18" t="n">
        <v>47</v>
      </c>
      <c r="U135" s="18" t="n">
        <v>21</v>
      </c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</row>
    <row r="136">
      <c r="A136" s="17" t="n">
        <v>46098</v>
      </c>
      <c r="B136" s="18" t="n"/>
      <c r="C136" s="18" t="n"/>
      <c r="D136" s="18" t="inlineStr">
        <is>
          <t>电商</t>
        </is>
      </c>
      <c r="E136" s="18" t="inlineStr">
        <is>
          <t>不听话的装修日记</t>
        </is>
      </c>
      <c r="F136" s="19" t="inlineStr">
        <is>
          <t>https://www.xingtu.cn/ad/creator/author-homepage/douyin-video/7179842923352031243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6" s="19" t="inlineStr">
        <is>
          <t>https://www.douyin.com/user/MS4wLjABAAAA1NYbSLT60252HQa_hxxvjJ4AQaXiJtBjw9rkPMWmjYk</t>
        </is>
      </c>
      <c r="H136" s="18" t="n">
        <v>1200579673</v>
      </c>
      <c r="I136" s="18" t="inlineStr">
        <is>
          <t>家居</t>
        </is>
      </c>
      <c r="J136" s="18" t="inlineStr">
        <is>
          <t>KOC</t>
        </is>
      </c>
      <c r="K136" s="18" t="n">
        <v>11</v>
      </c>
      <c r="L136" s="18" t="n">
        <v>109000</v>
      </c>
      <c r="M136" s="18" t="n"/>
      <c r="N136" s="18" t="n"/>
      <c r="O136" s="18" t="n"/>
      <c r="P136" s="21" t="n">
        <v>0.89</v>
      </c>
      <c r="Q136" s="18" t="n">
        <v>1000</v>
      </c>
      <c r="R136" s="20">
        <f>Q136/L136*1000</f>
        <v/>
      </c>
      <c r="S136" s="18" t="n">
        <v>339</v>
      </c>
      <c r="T136" s="18" t="n">
        <v>126</v>
      </c>
      <c r="U136" s="18" t="n">
        <v>35</v>
      </c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</row>
    <row r="137">
      <c r="A137" s="17" t="n">
        <v>46098</v>
      </c>
      <c r="B137" s="18" t="n"/>
      <c r="C137" s="18" t="n"/>
      <c r="D137" s="18" t="inlineStr">
        <is>
          <t>电商</t>
        </is>
      </c>
      <c r="E137" s="18" t="inlineStr">
        <is>
          <t xml:space="preserve">
冰豆豆</t>
        </is>
      </c>
      <c r="F137" s="19" t="inlineStr">
        <is>
          <t>https://www.xingtu.cn/ad/creator/author-homepage/douyin-video/7079271554642608164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7" s="19" t="inlineStr">
        <is>
          <t>https://www.douyin.com/user/MS4wLjABAAAAlIHLujpIQfNeDpO7L8FNX23hT0WARDrSIqbET9gMZuw</t>
        </is>
      </c>
      <c r="H137" s="18" t="inlineStr">
        <is>
          <t>BDD20221123DM</t>
        </is>
      </c>
      <c r="I137" s="18" t="inlineStr">
        <is>
          <t>家居</t>
        </is>
      </c>
      <c r="J137" s="18" t="inlineStr">
        <is>
          <t>KOC</t>
        </is>
      </c>
      <c r="K137" s="18" t="n">
        <v>26</v>
      </c>
      <c r="L137" s="18" t="n">
        <v>12000</v>
      </c>
      <c r="M137" s="18" t="n"/>
      <c r="N137" s="18" t="n"/>
      <c r="O137" s="18" t="n"/>
      <c r="P137" s="21" t="n">
        <v>0.8</v>
      </c>
      <c r="Q137" s="18" t="n">
        <v>1000</v>
      </c>
      <c r="R137" s="20">
        <f>Q137/L137*1000</f>
        <v/>
      </c>
      <c r="S137" s="18" t="n">
        <v>46</v>
      </c>
      <c r="T137" s="18" t="n">
        <v>3</v>
      </c>
      <c r="U137" s="18" t="n">
        <v>7</v>
      </c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</row>
    <row r="138">
      <c r="A138" s="17" t="n">
        <v>46098</v>
      </c>
      <c r="B138" s="18" t="n"/>
      <c r="C138" s="18" t="n"/>
      <c r="D138" s="18" t="inlineStr">
        <is>
          <t>电商</t>
        </is>
      </c>
      <c r="E138" s="18" t="inlineStr">
        <is>
          <t>朱窝</t>
        </is>
      </c>
      <c r="F138" s="19" t="inlineStr">
        <is>
          <t>https://www.xingtu.cn/ad/creator/author-homepage/douyin-video/7079434628871749643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8" s="19" t="inlineStr">
        <is>
          <t>https://www.douyin.com/user/MS4wLjABAAAAOCeLXHZOA_-wIKCwTo0OjFmLRYSU8qDwwlCIi0uqauvTWsAkBYysivau0a6BJVqt</t>
        </is>
      </c>
      <c r="H138" s="18" t="n">
        <v>25397297029</v>
      </c>
      <c r="I138" s="18" t="inlineStr">
        <is>
          <t>家居</t>
        </is>
      </c>
      <c r="J138" s="18" t="inlineStr">
        <is>
          <t>KOC</t>
        </is>
      </c>
      <c r="K138" s="18" t="n">
        <v>19</v>
      </c>
      <c r="L138" s="18" t="n">
        <v>86000</v>
      </c>
      <c r="M138" s="18" t="n"/>
      <c r="N138" s="18" t="n"/>
      <c r="O138" s="18" t="n"/>
      <c r="P138" s="21" t="n">
        <v>0.52</v>
      </c>
      <c r="Q138" s="18" t="n">
        <v>3000</v>
      </c>
      <c r="R138" s="20">
        <f>Q138/L138*1000</f>
        <v/>
      </c>
      <c r="S138" s="18" t="n">
        <v>2184</v>
      </c>
      <c r="T138" s="18" t="n">
        <v>95</v>
      </c>
      <c r="U138" s="18" t="n">
        <v>295</v>
      </c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</row>
    <row r="139">
      <c r="A139" s="17" t="n">
        <v>46098</v>
      </c>
      <c r="B139" s="18" t="n"/>
      <c r="C139" s="18" t="n"/>
      <c r="D139" s="18" t="inlineStr">
        <is>
          <t>电商</t>
        </is>
      </c>
      <c r="E139" s="18" t="inlineStr">
        <is>
          <t>颗粒生活</t>
        </is>
      </c>
      <c r="F139" s="19" t="inlineStr">
        <is>
          <t>https://www.xingtu.cn/ad/creator/author-homepage/douyin-video/6860479696702799886?market_track_id=DBRU18NGRITOFQXZMU46&amp;search_session_id=7618173649791057947&amp;video_type=130&amp;_route_from=from_page%3DMarket%26search_session_id%3D7618173649791057947%26is_for_order%3D0%26market_track_id%3DDBRU18NGRITOFQXZMU46%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39" s="19" t="inlineStr">
        <is>
          <t>https://www.douyin.com/user/MS4wLjABAAAAzehJmM6M4NWpNg1LJsJ-VcLwLHcaqzWZgFcgERVE5vI</t>
        </is>
      </c>
      <c r="H139" s="18" t="inlineStr">
        <is>
          <t>KKlovehome</t>
        </is>
      </c>
      <c r="I139" s="18" t="inlineStr">
        <is>
          <t>家居</t>
        </is>
      </c>
      <c r="J139" s="18" t="inlineStr">
        <is>
          <t>KOC</t>
        </is>
      </c>
      <c r="K139" s="18" t="n">
        <v>5.4</v>
      </c>
      <c r="L139" s="18" t="n">
        <v>12000</v>
      </c>
      <c r="M139" s="18" t="n"/>
      <c r="N139" s="18" t="n"/>
      <c r="O139" s="18" t="n"/>
      <c r="P139" s="21" t="n">
        <v>0.55</v>
      </c>
      <c r="Q139" s="18" t="n">
        <v>2000</v>
      </c>
      <c r="R139" s="20">
        <f>Q139/L139*1000</f>
        <v/>
      </c>
      <c r="S139" s="18" t="n">
        <v>183</v>
      </c>
      <c r="T139" s="18" t="n">
        <v>12</v>
      </c>
      <c r="U139" s="18" t="n">
        <v>41</v>
      </c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</row>
    <row r="140" ht="19" customHeight="1" s="151">
      <c r="A140" s="17" t="n">
        <v>46098</v>
      </c>
      <c r="B140" s="18" t="n"/>
      <c r="C140" s="18" t="n"/>
      <c r="D140" s="18" t="inlineStr">
        <is>
          <t>电商</t>
        </is>
      </c>
      <c r="E140" s="18" t="inlineStr">
        <is>
          <t>.溪庭HOME</t>
        </is>
      </c>
      <c r="F140" s="19" t="inlineStr">
        <is>
          <t>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40" s="19" t="inlineStr">
        <is>
          <t>https://www.douyin.com/user/MS4wLjABAAAAR-RzST7Zi939Bqvaht8OxAiDVxihQMmzfTHjmFiSD1CUw_i0GjIZ9HHg5YY4UhtC</t>
        </is>
      </c>
      <c r="H140" s="18" t="n">
        <v>47213978507</v>
      </c>
      <c r="I140" s="18" t="inlineStr">
        <is>
          <t>家居</t>
        </is>
      </c>
      <c r="J140" s="18" t="inlineStr">
        <is>
          <t>KOC</t>
        </is>
      </c>
      <c r="K140" s="18" t="n">
        <v>6.7</v>
      </c>
      <c r="L140" s="18" t="n">
        <v>38000</v>
      </c>
      <c r="M140" s="18">
        <f>Q140*1.05</f>
        <v/>
      </c>
      <c r="N140" s="20">
        <f>Q140/(S140+T140++U140)</f>
        <v/>
      </c>
      <c r="O140" s="18" t="inlineStr">
        <is>
          <t>图文</t>
        </is>
      </c>
      <c r="P140" s="21" t="n">
        <v>0.63</v>
      </c>
      <c r="Q140" s="18" t="n">
        <v>5900</v>
      </c>
      <c r="R140" s="20">
        <f>Q140/L140*1000</f>
        <v/>
      </c>
      <c r="S140" s="18" t="n">
        <v>455</v>
      </c>
      <c r="T140" s="18" t="n">
        <v>34</v>
      </c>
      <c r="U140" s="18" t="n">
        <v>301</v>
      </c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</row>
    <row r="141" ht="19" customHeight="1" s="151">
      <c r="A141" s="17" t="n">
        <v>46098</v>
      </c>
      <c r="B141" s="18" t="n"/>
      <c r="C141" s="18" t="n"/>
      <c r="D141" s="18" t="inlineStr">
        <is>
          <t>电商</t>
        </is>
      </c>
      <c r="E141" s="18" t="inlineStr">
        <is>
          <t>咕噜苗.</t>
        </is>
      </c>
      <c r="F141" s="19" t="inlineStr">
        <is>
          <t>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41" s="19" t="inlineStr">
        <is>
          <t>https://www.douyin.com/user/MS4wLjABAAAA3B98oxC-6sVFindB-anv7fqx3VeK9y0YMUOaZTSTXCQ</t>
        </is>
      </c>
      <c r="H141" s="18" t="n">
        <v>98527024</v>
      </c>
      <c r="I141" s="18" t="inlineStr">
        <is>
          <t>家居</t>
        </is>
      </c>
      <c r="J141" s="18" t="inlineStr">
        <is>
          <t>KOC</t>
        </is>
      </c>
      <c r="K141" s="18" t="n">
        <v>18</v>
      </c>
      <c r="L141" s="18" t="n">
        <v>78000</v>
      </c>
      <c r="M141" s="18">
        <f>Q141*1.05</f>
        <v/>
      </c>
      <c r="N141" s="20">
        <f>Q141/(S141+T141++U141)</f>
        <v/>
      </c>
      <c r="O141" s="18" t="inlineStr">
        <is>
          <t>图文</t>
        </is>
      </c>
      <c r="P141" s="21" t="n">
        <v>0.66</v>
      </c>
      <c r="Q141" s="18" t="n">
        <v>6000</v>
      </c>
      <c r="R141" s="20">
        <f>Q141/L141*1000</f>
        <v/>
      </c>
      <c r="S141" s="22" t="n">
        <v>5313</v>
      </c>
      <c r="T141" s="18" t="n">
        <v>148</v>
      </c>
      <c r="U141" s="18" t="n">
        <v>2272</v>
      </c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</row>
    <row r="142" ht="19" customHeight="1" s="151">
      <c r="A142" s="17" t="n">
        <v>46098</v>
      </c>
      <c r="B142" s="18" t="n"/>
      <c r="C142" s="18" t="n"/>
      <c r="D142" s="18" t="inlineStr">
        <is>
          <t>电商</t>
        </is>
      </c>
      <c r="E142" s="18" t="inlineStr">
        <is>
          <t>-小孩装修日记</t>
        </is>
      </c>
      <c r="F142" s="19" t="inlineStr">
        <is>
          <t>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42" s="19" t="inlineStr">
        <is>
          <t>https://www.douyin.com/user/MS4wLjABAAAAdt1mC-0cbgUuzgRiO2oTZF30rggcQkpyfKzW6IyQkyo</t>
        </is>
      </c>
      <c r="H142" s="18" t="n">
        <v>364571946</v>
      </c>
      <c r="I142" s="18" t="inlineStr">
        <is>
          <t>家居</t>
        </is>
      </c>
      <c r="J142" s="18" t="inlineStr">
        <is>
          <t>KOC</t>
        </is>
      </c>
      <c r="K142" s="18" t="n">
        <v>21</v>
      </c>
      <c r="L142" s="18" t="n">
        <v>124000</v>
      </c>
      <c r="M142" s="18">
        <f>Q142*1.05</f>
        <v/>
      </c>
      <c r="N142" s="20">
        <f>Q142/(S142+T142++U142)</f>
        <v/>
      </c>
      <c r="O142" s="18" t="inlineStr">
        <is>
          <t>图文</t>
        </is>
      </c>
      <c r="P142" s="21" t="n">
        <v>0.33</v>
      </c>
      <c r="Q142" s="18" t="n">
        <v>4000</v>
      </c>
      <c r="R142" s="20">
        <f>Q142/L142*1000</f>
        <v/>
      </c>
      <c r="S142" s="18" t="n">
        <v>933</v>
      </c>
      <c r="T142" s="18" t="n">
        <v>53</v>
      </c>
      <c r="U142" s="18" t="n">
        <v>122</v>
      </c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</row>
    <row r="143">
      <c r="A143" s="17" t="n">
        <v>46098</v>
      </c>
      <c r="B143" s="18" t="n"/>
      <c r="C143" s="18" t="n"/>
      <c r="D143" s="18" t="inlineStr">
        <is>
          <t>品牌</t>
        </is>
      </c>
      <c r="E143" s="18" t="inlineStr">
        <is>
          <t>栗子的家</t>
        </is>
      </c>
      <c r="F143" s="19" t="inlineStr">
        <is>
          <t>https://www.xingtu.cn/ad/creator/author-homepage/douyin-video/7355134446237909002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3" s="19" t="inlineStr">
        <is>
          <t>https://www.douyin.com/user/MS4wLjABAAAA1We65DDTDZFB28bcwuQD-tyJnqs0w2FN7qG3EwaWhAP92HGT9KutpijLpGjMw83c</t>
        </is>
      </c>
      <c r="H143" s="18" t="n">
        <v>60716434047</v>
      </c>
      <c r="I143" s="18" t="inlineStr">
        <is>
          <t>家居</t>
        </is>
      </c>
      <c r="J143" s="18" t="inlineStr">
        <is>
          <t>KOC</t>
        </is>
      </c>
      <c r="K143" s="18" t="n">
        <v>1.8</v>
      </c>
      <c r="L143" s="18" t="n">
        <v>80000</v>
      </c>
      <c r="M143" s="18" t="n"/>
      <c r="N143" s="18" t="n"/>
      <c r="O143" s="18" t="n"/>
      <c r="P143" s="21" t="n">
        <v>0.4</v>
      </c>
      <c r="Q143" s="18" t="n">
        <v>1000</v>
      </c>
      <c r="R143" s="20">
        <f>Q143/L143*1000</f>
        <v/>
      </c>
      <c r="S143" s="18" t="n">
        <v>585</v>
      </c>
      <c r="T143" s="18" t="n">
        <v>58</v>
      </c>
      <c r="U143" s="18" t="n">
        <v>89</v>
      </c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</row>
    <row r="144">
      <c r="A144" s="17" t="n">
        <v>46098</v>
      </c>
      <c r="B144" s="18" t="n"/>
      <c r="C144" s="18" t="n"/>
      <c r="D144" s="18" t="inlineStr">
        <is>
          <t>品牌</t>
        </is>
      </c>
      <c r="E144" s="18" t="inlineStr">
        <is>
          <t>小白姐姐的家🏠</t>
        </is>
      </c>
      <c r="F144" s="19" t="inlineStr">
        <is>
          <t>https://www.xingtu.cn/ad/creator/author-homepage/douyin-video/7345740580552441906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4" s="19" t="inlineStr">
        <is>
          <t>https://www.douyin.com/user/MS4wLjABAAAAo3EgYKq_KEGZ9Rte7p0SRpBAYhaxPhuMgiBabZqT1w4</t>
        </is>
      </c>
      <c r="H144" s="18" t="n">
        <v>1901535503</v>
      </c>
      <c r="I144" s="18" t="inlineStr">
        <is>
          <t>家居</t>
        </is>
      </c>
      <c r="J144" s="18" t="inlineStr">
        <is>
          <t>KOC</t>
        </is>
      </c>
      <c r="K144" s="18" t="n">
        <v>9.699999999999999</v>
      </c>
      <c r="L144" s="18" t="n">
        <v>14000</v>
      </c>
      <c r="M144" s="18" t="n"/>
      <c r="N144" s="18" t="n"/>
      <c r="O144" s="18" t="n"/>
      <c r="P144" s="21" t="n">
        <v>0.58</v>
      </c>
      <c r="Q144" s="18" t="n">
        <v>1200</v>
      </c>
      <c r="R144" s="20">
        <f>Q144/L144*1000</f>
        <v/>
      </c>
      <c r="S144" s="18" t="n">
        <v>404</v>
      </c>
      <c r="T144" s="18" t="n">
        <v>9</v>
      </c>
      <c r="U144" s="18" t="n">
        <v>12</v>
      </c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</row>
    <row r="145">
      <c r="A145" s="17" t="n">
        <v>46098</v>
      </c>
      <c r="B145" s="18" t="n"/>
      <c r="C145" s="18" t="n"/>
      <c r="D145" s="18" t="inlineStr">
        <is>
          <t>品牌</t>
        </is>
      </c>
      <c r="E145" s="18" t="inlineStr">
        <is>
          <t>emou</t>
        </is>
      </c>
      <c r="F145" s="19" t="inlineStr">
        <is>
          <t>https://www.xingtu.cn/ad/creator/author-homepage/douyin-video/7446458420263125004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5" s="19" t="inlineStr">
        <is>
          <t>https://www.douyin.com/user/MS4wLjABAAAAHGYCd81EFa0mM_Gl5Rl72eHGH0QL_tCKcVUJePpkX5pc5bndzloI76UnNMsH-fn2</t>
        </is>
      </c>
      <c r="H145" s="18" t="n">
        <v>28008803001</v>
      </c>
      <c r="I145" s="18" t="inlineStr">
        <is>
          <t>家居</t>
        </is>
      </c>
      <c r="J145" s="18" t="inlineStr">
        <is>
          <t>KOC</t>
        </is>
      </c>
      <c r="K145" s="18" t="n">
        <v>3.1</v>
      </c>
      <c r="L145" s="18" t="n">
        <v>26000</v>
      </c>
      <c r="M145" s="18" t="n"/>
      <c r="N145" s="18" t="n"/>
      <c r="O145" s="18" t="n"/>
      <c r="P145" s="21" t="n">
        <v>0.63</v>
      </c>
      <c r="Q145" s="18" t="n">
        <v>3800</v>
      </c>
      <c r="R145" s="20">
        <f>Q145/L145*1000</f>
        <v/>
      </c>
      <c r="S145" s="18" t="n">
        <v>240</v>
      </c>
      <c r="T145" s="18" t="n">
        <v>29</v>
      </c>
      <c r="U145" s="18" t="n">
        <v>145</v>
      </c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</row>
    <row r="146">
      <c r="A146" s="17" t="n">
        <v>46098</v>
      </c>
      <c r="B146" s="18" t="n"/>
      <c r="C146" s="18" t="n"/>
      <c r="D146" s="18" t="inlineStr">
        <is>
          <t>品牌</t>
        </is>
      </c>
      <c r="E146" s="18" t="inlineStr">
        <is>
          <t>一只狗</t>
        </is>
      </c>
      <c r="F146" s="19" t="inlineStr">
        <is>
          <t>https://www.xingtu.cn/ad/creator/author/douyin/7107482096947429406/11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6" s="19" t="inlineStr">
        <is>
          <t>https://www.douyin.com/user/MS4wLjABAAAAONvI77LIfeh31rrxkJvtBmHxKbUI45r6-9-Dn0FB62k</t>
        </is>
      </c>
      <c r="H146" s="18" t="n">
        <v>12144355</v>
      </c>
      <c r="I146" s="18" t="inlineStr">
        <is>
          <t>家居</t>
        </is>
      </c>
      <c r="J146" s="18" t="inlineStr">
        <is>
          <t>KOC</t>
        </is>
      </c>
      <c r="K146" s="18" t="n">
        <v>4.3</v>
      </c>
      <c r="L146" s="18" t="n">
        <v>16000</v>
      </c>
      <c r="M146" s="18" t="n"/>
      <c r="N146" s="18" t="n"/>
      <c r="O146" s="18" t="n"/>
      <c r="P146" s="21" t="n">
        <v>0.53</v>
      </c>
      <c r="Q146" s="18" t="n">
        <v>2800</v>
      </c>
      <c r="R146" s="20">
        <f>Q146/L146*1000</f>
        <v/>
      </c>
      <c r="S146" s="18" t="n">
        <v>185</v>
      </c>
      <c r="T146" s="18" t="n">
        <v>44</v>
      </c>
      <c r="U146" s="18" t="n">
        <v>92</v>
      </c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</row>
    <row r="147">
      <c r="A147" s="17" t="n">
        <v>46098</v>
      </c>
      <c r="B147" s="18" t="n"/>
      <c r="C147" s="18" t="n"/>
      <c r="D147" s="18" t="inlineStr">
        <is>
          <t>品牌</t>
        </is>
      </c>
      <c r="E147" s="18" t="inlineStr">
        <is>
          <t>钱包的家🏠 (软装中)</t>
        </is>
      </c>
      <c r="F147" s="19" t="inlineStr">
        <is>
          <t>https://www.xingtu.cn/ad/creator/author-homepage/douyin-video/7401073871819898918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7" s="19" t="inlineStr">
        <is>
          <t>https://www.douyin.com/user/MS4wLjABAAAACZHjNjHw1069DCZnm5sTbSwT0RL3pugEtX24fUkSBVcfcFz5ait8auC1GizEN3FG</t>
        </is>
      </c>
      <c r="H147" s="18" t="n">
        <v>69505862450</v>
      </c>
      <c r="I147" s="18" t="inlineStr">
        <is>
          <t>家居</t>
        </is>
      </c>
      <c r="J147" s="18" t="inlineStr">
        <is>
          <t>KOC</t>
        </is>
      </c>
      <c r="K147" s="18" t="n">
        <v>4.3</v>
      </c>
      <c r="L147" s="18" t="n">
        <v>86000</v>
      </c>
      <c r="M147" s="18" t="n"/>
      <c r="N147" s="18" t="n"/>
      <c r="O147" s="18" t="n"/>
      <c r="P147" s="21" t="n">
        <v>0.57</v>
      </c>
      <c r="Q147" s="18" t="n">
        <v>1800</v>
      </c>
      <c r="R147" s="20">
        <f>Q147/L147*1000</f>
        <v/>
      </c>
      <c r="S147" s="18" t="n">
        <v>962</v>
      </c>
      <c r="T147" s="18" t="n">
        <v>41</v>
      </c>
      <c r="U147" s="18" t="n">
        <v>105</v>
      </c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</row>
    <row r="148">
      <c r="A148" s="17" t="n">
        <v>46098</v>
      </c>
      <c r="B148" s="18" t="n"/>
      <c r="C148" s="18" t="n"/>
      <c r="D148" s="18" t="inlineStr">
        <is>
          <t>品牌</t>
        </is>
      </c>
      <c r="E148" s="18" t="inlineStr">
        <is>
          <t>佐佑小宅</t>
        </is>
      </c>
      <c r="F148" s="19" t="inlineStr">
        <is>
          <t>https://www.xingtu.cn/ad/creator/author-homepage/douyin-video/7298177404168732726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8" s="19" t="inlineStr">
        <is>
          <t>https://www.douyin.com/user/MS4wLjABAAAAKgXeA5LsUv7Q_I2TgY2hZHORjKYx8qm34WpVOnwy3vE</t>
        </is>
      </c>
      <c r="H148" s="18" t="inlineStr">
        <is>
          <t>zywarmhome</t>
        </is>
      </c>
      <c r="I148" s="18" t="inlineStr">
        <is>
          <t>家居</t>
        </is>
      </c>
      <c r="J148" s="18" t="inlineStr">
        <is>
          <t>KOC</t>
        </is>
      </c>
      <c r="K148" s="18" t="n">
        <v>17</v>
      </c>
      <c r="L148" s="18" t="n">
        <v>54000</v>
      </c>
      <c r="M148" s="18" t="n"/>
      <c r="N148" s="18" t="n"/>
      <c r="O148" s="18" t="n"/>
      <c r="P148" s="21" t="n">
        <v>0.38</v>
      </c>
      <c r="Q148" s="18" t="n">
        <v>2200</v>
      </c>
      <c r="R148" s="20">
        <f>Q148/L148*1000</f>
        <v/>
      </c>
      <c r="S148" s="18" t="n">
        <v>995</v>
      </c>
      <c r="T148" s="18" t="n">
        <v>16</v>
      </c>
      <c r="U148" s="18" t="n">
        <v>40</v>
      </c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</row>
    <row r="149">
      <c r="A149" s="17" t="n">
        <v>46098</v>
      </c>
      <c r="B149" s="18" t="n"/>
      <c r="C149" s="18" t="n"/>
      <c r="D149" s="18" t="inlineStr">
        <is>
          <t>品牌</t>
        </is>
      </c>
      <c r="E149" s="18" t="inlineStr">
        <is>
          <t>暖一的Vlog</t>
        </is>
      </c>
      <c r="F149" s="19" t="inlineStr">
        <is>
          <t>https://www.xingtu.cn/ad/creator/author-homepage/douyin-video/7028513962337665036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49" s="19" t="inlineStr">
        <is>
          <t>https://www.douyin.com/user/MS4wLjABAAAA4jfdfN-5imjw-gFG-o-b1jC5kpl7vGIvyS-sw_K9kaZi2xs4-DDNFT_B0xmfH6sU</t>
        </is>
      </c>
      <c r="H149" s="18" t="inlineStr">
        <is>
          <t>ZSGSZB</t>
        </is>
      </c>
      <c r="I149" s="18" t="inlineStr">
        <is>
          <t>家居</t>
        </is>
      </c>
      <c r="J149" s="18" t="inlineStr">
        <is>
          <t>KOC</t>
        </is>
      </c>
      <c r="K149" s="18" t="n">
        <v>2.1</v>
      </c>
      <c r="L149" s="18" t="n">
        <v>58000</v>
      </c>
      <c r="M149" s="18" t="n"/>
      <c r="N149" s="18" t="n"/>
      <c r="O149" s="18" t="n"/>
      <c r="P149" s="21" t="n">
        <v>0.41</v>
      </c>
      <c r="Q149" s="18" t="n">
        <v>1500</v>
      </c>
      <c r="R149" s="20">
        <f>Q149/L149*1000</f>
        <v/>
      </c>
      <c r="S149" s="18" t="n">
        <v>483</v>
      </c>
      <c r="T149" s="18" t="n">
        <v>144</v>
      </c>
      <c r="U149" s="18" t="n">
        <v>159</v>
      </c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</row>
    <row r="150">
      <c r="A150" s="17" t="n">
        <v>46098</v>
      </c>
      <c r="B150" s="18" t="n"/>
      <c r="C150" s="18" t="n"/>
      <c r="D150" s="18" t="inlineStr">
        <is>
          <t>品牌</t>
        </is>
      </c>
      <c r="E150" s="18" t="inlineStr">
        <is>
          <t xml:space="preserve">
超级小包子</t>
        </is>
      </c>
      <c r="F150" s="19" t="inlineStr">
        <is>
          <t>https://www.xingtu.cn/ad/creator/author-homepage/douyin-video/7110252799065079839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    </is>
      </c>
      <c r="G150" s="19" t="inlineStr">
        <is>
          <t>https://www.douyin.com/user/MS4wLjABAAAAL9La_SSqpddVHybjls_uLUZHgQRbT4Wm1m8YGYU2cZfkAMNMt2g2BIIKihG4NAHl</t>
        </is>
      </c>
      <c r="H150" s="18" t="inlineStr">
        <is>
          <t>99xiaobaozi99</t>
        </is>
      </c>
      <c r="I150" s="18" t="inlineStr">
        <is>
          <t>家居</t>
        </is>
      </c>
      <c r="J150" s="18" t="inlineStr">
        <is>
          <t>KOC</t>
        </is>
      </c>
      <c r="K150" s="18" t="n">
        <v>3.7</v>
      </c>
      <c r="L150" s="18" t="n">
        <v>19000</v>
      </c>
      <c r="M150" s="18" t="n"/>
      <c r="N150" s="18" t="n"/>
      <c r="O150" s="18" t="n"/>
      <c r="P150" s="21" t="n">
        <v>0.5600000000000001</v>
      </c>
      <c r="Q150" s="18" t="n">
        <v>1500</v>
      </c>
      <c r="R150" s="20">
        <f>Q150/L150*1000</f>
        <v/>
      </c>
      <c r="S150" s="18" t="n">
        <v>361</v>
      </c>
      <c r="T150" s="18" t="n">
        <v>20</v>
      </c>
      <c r="U150" s="18" t="n">
        <v>27</v>
      </c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</row>
    <row r="151">
      <c r="A151" s="17" t="n">
        <v>46098</v>
      </c>
      <c r="B151" s="18" t="n"/>
      <c r="C151" s="18" t="n"/>
      <c r="D151" s="18" t="inlineStr">
        <is>
          <t>品牌</t>
        </is>
      </c>
      <c r="E151" s="18" t="inlineStr">
        <is>
          <t>阿林家-</t>
        </is>
      </c>
      <c r="F151" s="19" t="inlineStr">
        <is>
          <t>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51" s="19" t="inlineStr">
        <is>
          <t>https://www.douyin.com/user/MS4wLjABAAAAGSfOLN3atCadTvzhyK1aKWKvLc7JKkcCnzDNalEDAYY</t>
        </is>
      </c>
      <c r="H151" s="18" t="n">
        <v>58751568</v>
      </c>
      <c r="I151" s="18" t="inlineStr">
        <is>
          <t>家居</t>
        </is>
      </c>
      <c r="J151" s="18" t="inlineStr">
        <is>
          <t>KOC</t>
        </is>
      </c>
      <c r="K151" s="18" t="n">
        <v>39</v>
      </c>
      <c r="L151" s="18" t="n">
        <v>213000</v>
      </c>
      <c r="M151" s="18">
        <f>Q151*1.05</f>
        <v/>
      </c>
      <c r="N151" s="20">
        <f>Q151/(S151+T151++U151)</f>
        <v/>
      </c>
      <c r="O151" s="18" t="inlineStr">
        <is>
          <t>图文</t>
        </is>
      </c>
      <c r="P151" s="21" t="n">
        <v>0.52</v>
      </c>
      <c r="Q151" s="18" t="n">
        <v>5000</v>
      </c>
      <c r="R151" s="20">
        <f>Q151/L151*1000</f>
        <v/>
      </c>
      <c r="S151" s="18" t="n">
        <v>259</v>
      </c>
      <c r="T151" s="18" t="n">
        <v>81</v>
      </c>
      <c r="U151" s="18" t="n">
        <v>88</v>
      </c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</row>
    <row r="152">
      <c r="A152" s="17" t="n">
        <v>46098</v>
      </c>
      <c r="B152" s="18" t="n"/>
      <c r="C152" s="18" t="n"/>
      <c r="D152" s="18" t="inlineStr">
        <is>
          <t>品牌</t>
        </is>
      </c>
      <c r="E152" s="18" t="inlineStr">
        <is>
          <t>奥利奥家</t>
        </is>
      </c>
      <c r="F152" s="19" t="inlineStr">
        <is>
          <t>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52" s="19" t="inlineStr">
        <is>
          <t>https://www.douyin.com/user/MS4wLjABAAAA56pI6Fc1j_vzlFlovLX-o2mN_PDa2YAzqkKqFcBtrqE</t>
        </is>
      </c>
      <c r="H152" s="18" t="inlineStr">
        <is>
          <t>Qb18561211018</t>
        </is>
      </c>
      <c r="I152" s="18" t="inlineStr">
        <is>
          <t>家居</t>
        </is>
      </c>
      <c r="J152" s="18" t="inlineStr">
        <is>
          <t>KOC</t>
        </is>
      </c>
      <c r="K152" s="18" t="n">
        <v>32</v>
      </c>
      <c r="L152" s="18" t="n">
        <v>136000</v>
      </c>
      <c r="M152" s="18">
        <f>Q152*1.05</f>
        <v/>
      </c>
      <c r="N152" s="20">
        <f>Q152/(S152+T152++U152)</f>
        <v/>
      </c>
      <c r="O152" s="18" t="inlineStr">
        <is>
          <t>图文</t>
        </is>
      </c>
      <c r="P152" s="21" t="n">
        <v>0.5</v>
      </c>
      <c r="Q152" s="18" t="n">
        <v>5000</v>
      </c>
      <c r="R152" s="20">
        <f>Q152/L152*1000</f>
        <v/>
      </c>
      <c r="S152" s="18" t="n">
        <v>556</v>
      </c>
      <c r="T152" s="18" t="n">
        <v>52</v>
      </c>
      <c r="U152" s="18" t="n">
        <v>62</v>
      </c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</row>
    <row r="153">
      <c r="A153" s="17" t="n">
        <v>46098</v>
      </c>
      <c r="B153" s="18" t="n"/>
      <c r="C153" s="18" t="n"/>
      <c r="D153" s="18" t="inlineStr">
        <is>
          <t>品牌</t>
        </is>
      </c>
      <c r="E153" s="18" t="inlineStr">
        <is>
          <t>张帅小屋</t>
        </is>
      </c>
      <c r="F153" s="19" t="inlineStr">
        <is>
          <t>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53" s="19" t="inlineStr">
        <is>
          <t>https://www.douyin.com/user/MS4wLjABAAAAIFj1JP9UPWhs18VcYR0GWnoaG0_3IuysonhEak_y-E9sMIancFJvxAv5ouUg-AfN</t>
        </is>
      </c>
      <c r="H153" s="18" t="inlineStr">
        <is>
          <t>ZhizuChangLe1017</t>
        </is>
      </c>
      <c r="I153" s="18" t="inlineStr">
        <is>
          <t>家居</t>
        </is>
      </c>
      <c r="J153" s="18" t="inlineStr">
        <is>
          <t>KOC</t>
        </is>
      </c>
      <c r="K153" s="18" t="n">
        <v>21</v>
      </c>
      <c r="L153" s="18" t="n">
        <v>291000</v>
      </c>
      <c r="M153" s="18">
        <f>Q153*1.05</f>
        <v/>
      </c>
      <c r="N153" s="20">
        <f>Q153/(S153+T153++U153)</f>
        <v/>
      </c>
      <c r="O153" s="18" t="inlineStr">
        <is>
          <t>图文</t>
        </is>
      </c>
      <c r="P153" s="21" t="n">
        <v>0.65</v>
      </c>
      <c r="Q153" s="18" t="n">
        <v>5000</v>
      </c>
      <c r="R153" s="20">
        <f>Q153/L153*1000</f>
        <v/>
      </c>
      <c r="S153" s="22" t="n">
        <v>3370</v>
      </c>
      <c r="T153" s="18" t="n">
        <v>232</v>
      </c>
      <c r="U153" s="18" t="n">
        <v>96</v>
      </c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</row>
    <row r="154">
      <c r="A154" s="17" t="n">
        <v>46098</v>
      </c>
      <c r="B154" s="18" t="n"/>
      <c r="C154" s="18" t="n"/>
      <c r="D154" s="18" t="inlineStr">
        <is>
          <t>品牌</t>
        </is>
      </c>
      <c r="E154" s="18" t="inlineStr">
        <is>
          <t>米饭儿</t>
        </is>
      </c>
      <c r="F154" s="19" t="inlineStr">
        <is>
          <t>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    </is>
      </c>
      <c r="G154" s="19" t="inlineStr">
        <is>
          <t>https://www.douyin.com/user/MS4wLjABAAAAvMzo5DHeab4vClwkiRPecybLlCNTAz0iNhbiWryUF88</t>
        </is>
      </c>
      <c r="H154" s="18" t="inlineStr">
        <is>
          <t>UGG232323</t>
        </is>
      </c>
      <c r="I154" s="18" t="inlineStr">
        <is>
          <t>家居</t>
        </is>
      </c>
      <c r="J154" s="18" t="inlineStr">
        <is>
          <t>KOC</t>
        </is>
      </c>
      <c r="K154" s="18" t="n">
        <v>20</v>
      </c>
      <c r="L154" s="18" t="n">
        <v>33000</v>
      </c>
      <c r="M154" s="18">
        <f>Q154*1.05</f>
        <v/>
      </c>
      <c r="N154" s="20">
        <f>Q154/(S154+T154++U154)</f>
        <v/>
      </c>
      <c r="O154" s="18" t="inlineStr">
        <is>
          <t>图文</t>
        </is>
      </c>
      <c r="P154" s="21" t="n">
        <v>0.58</v>
      </c>
      <c r="Q154" s="18" t="n">
        <v>4825</v>
      </c>
      <c r="R154" s="20">
        <f>Q154/L154*1000</f>
        <v/>
      </c>
      <c r="S154" s="18" t="n">
        <v>130</v>
      </c>
      <c r="T154" s="18" t="n">
        <v>22</v>
      </c>
      <c r="U154" s="18" t="n">
        <v>41</v>
      </c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</row>
    <row r="155">
      <c r="E155" s="18" t="n"/>
    </row>
    <row r="156" ht="13.1" customHeight="1" s="151">
      <c r="A156" s="17" t="n"/>
      <c r="B156" s="18" t="n"/>
      <c r="C156" s="18" t="n"/>
      <c r="D156" s="18" t="n"/>
      <c r="E156" s="23" t="n"/>
      <c r="F156" s="19" t="n"/>
      <c r="G156" s="19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</row>
    <row r="157" ht="13.1" customHeight="1" s="151">
      <c r="A157" s="18" t="n"/>
      <c r="B157" s="18" t="n"/>
      <c r="C157" s="18" t="n"/>
      <c r="D157" s="18" t="n"/>
      <c r="E157" s="24" t="n"/>
      <c r="F157" s="19" t="n"/>
      <c r="G157" s="19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</row>
    <row r="158">
      <c r="A158" s="18" t="n"/>
      <c r="B158" s="18" t="n"/>
      <c r="C158" s="18" t="n"/>
      <c r="D158" s="18" t="n"/>
      <c r="E158" s="18" t="n"/>
      <c r="F158" s="19" t="n"/>
      <c r="G158" s="19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</row>
    <row r="159">
      <c r="A159" s="18" t="n"/>
      <c r="B159" s="18" t="n"/>
      <c r="C159" s="18" t="n"/>
      <c r="D159" s="18" t="n"/>
      <c r="E159" s="18" t="n"/>
      <c r="F159" s="19" t="n"/>
      <c r="G159" s="19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</row>
    <row r="160">
      <c r="A160" s="18" t="n"/>
      <c r="B160" s="18" t="n"/>
      <c r="C160" s="18" t="n"/>
      <c r="D160" s="18" t="n"/>
      <c r="E160" s="18" t="n"/>
      <c r="F160" s="19" t="n"/>
      <c r="G160" s="19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</row>
    <row r="161">
      <c r="A161" s="18" t="n"/>
      <c r="B161" s="18" t="n"/>
      <c r="C161" s="18" t="n"/>
      <c r="D161" s="18" t="n"/>
      <c r="E161" s="18" t="n"/>
      <c r="F161" s="19" t="n"/>
      <c r="G161" s="19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</row>
    <row r="162">
      <c r="A162" s="18" t="n"/>
      <c r="B162" s="18" t="n"/>
      <c r="C162" s="18" t="n"/>
      <c r="D162" s="18" t="n"/>
      <c r="E162" s="18" t="n"/>
      <c r="F162" s="19" t="n"/>
      <c r="G162" s="19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</row>
    <row r="163">
      <c r="A163" s="18" t="n"/>
      <c r="B163" s="18" t="n"/>
      <c r="C163" s="18" t="n"/>
      <c r="D163" s="18" t="n"/>
      <c r="E163" s="18" t="n"/>
      <c r="F163" s="19" t="n"/>
      <c r="G163" s="19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</row>
    <row r="164">
      <c r="A164" s="18" t="n"/>
      <c r="B164" s="18" t="n"/>
      <c r="C164" s="18" t="n"/>
      <c r="D164" s="18" t="n"/>
      <c r="E164" s="18" t="n"/>
      <c r="F164" s="19" t="n"/>
      <c r="G164" s="19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</row>
    <row r="165">
      <c r="A165" s="18" t="n"/>
      <c r="B165" s="18" t="n"/>
      <c r="C165" s="18" t="n"/>
      <c r="D165" s="18" t="n"/>
      <c r="E165" s="18" t="n"/>
      <c r="F165" s="19" t="n"/>
      <c r="G165" s="19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</row>
    <row r="166">
      <c r="A166" s="18" t="n"/>
      <c r="B166" s="18" t="n"/>
      <c r="C166" s="18" t="n"/>
      <c r="D166" s="18" t="n"/>
      <c r="E166" s="18" t="n"/>
      <c r="F166" s="19" t="n"/>
      <c r="G166" s="19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</row>
    <row r="167">
      <c r="A167" s="18" t="n"/>
      <c r="B167" s="18" t="n"/>
      <c r="C167" s="18" t="n"/>
      <c r="D167" s="18" t="n"/>
      <c r="E167" s="18" t="n"/>
      <c r="F167" s="19" t="n"/>
      <c r="G167" s="19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</row>
    <row r="168">
      <c r="A168" s="18" t="n"/>
      <c r="B168" s="18" t="n"/>
      <c r="C168" s="18" t="n"/>
      <c r="D168" s="18" t="n"/>
      <c r="E168" s="18" t="n"/>
      <c r="F168" s="19" t="n"/>
      <c r="G168" s="19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</row>
    <row r="169">
      <c r="A169" s="18" t="n"/>
      <c r="B169" s="18" t="n"/>
      <c r="C169" s="18" t="n"/>
      <c r="D169" s="18" t="n"/>
      <c r="E169" s="18" t="n"/>
      <c r="F169" s="19" t="n"/>
      <c r="G169" s="19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</row>
    <row r="170">
      <c r="A170" s="18" t="n"/>
      <c r="B170" s="18" t="n"/>
      <c r="C170" s="18" t="n"/>
      <c r="D170" s="18" t="n"/>
      <c r="E170" s="18" t="n"/>
      <c r="F170" s="19" t="n"/>
      <c r="G170" s="19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</row>
    <row r="171">
      <c r="A171" s="18" t="n"/>
      <c r="B171" s="18" t="n"/>
      <c r="C171" s="18" t="n"/>
      <c r="D171" s="18" t="n"/>
      <c r="E171" s="18" t="n"/>
      <c r="F171" s="19" t="n"/>
      <c r="G171" s="19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</row>
    <row r="172">
      <c r="A172" s="18" t="n"/>
      <c r="B172" s="18" t="n"/>
      <c r="C172" s="18" t="n"/>
      <c r="D172" s="18" t="n"/>
      <c r="E172" s="18" t="n"/>
      <c r="F172" s="19" t="n"/>
      <c r="G172" s="19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</row>
    <row r="173">
      <c r="A173" s="18" t="n"/>
      <c r="B173" s="18" t="n"/>
      <c r="C173" s="18" t="n"/>
      <c r="D173" s="18" t="n"/>
      <c r="E173" s="18" t="n"/>
      <c r="F173" s="19" t="n"/>
      <c r="G173" s="19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</row>
    <row r="174">
      <c r="A174" s="18" t="n"/>
      <c r="B174" s="18" t="n"/>
      <c r="C174" s="18" t="n"/>
      <c r="D174" s="18" t="n"/>
      <c r="E174" s="18" t="n"/>
      <c r="F174" s="19" t="n"/>
      <c r="G174" s="19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</row>
    <row r="175">
      <c r="A175" s="18" t="n"/>
      <c r="B175" s="18" t="n"/>
      <c r="C175" s="18" t="n"/>
      <c r="D175" s="18" t="n"/>
      <c r="E175" s="18" t="n"/>
      <c r="F175" s="19" t="n"/>
      <c r="G175" s="19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</row>
    <row r="176">
      <c r="A176" s="18" t="n"/>
      <c r="B176" s="18" t="n"/>
      <c r="C176" s="18" t="n"/>
      <c r="D176" s="18" t="n"/>
      <c r="E176" s="18" t="n"/>
      <c r="F176" s="19" t="n"/>
      <c r="G176" s="19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</row>
    <row r="177">
      <c r="A177" s="18" t="n"/>
      <c r="B177" s="18" t="n"/>
      <c r="C177" s="18" t="n"/>
      <c r="D177" s="18" t="n"/>
      <c r="E177" s="18" t="n"/>
      <c r="F177" s="19" t="n"/>
      <c r="G177" s="19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</row>
    <row r="178">
      <c r="A178" s="18" t="n"/>
      <c r="B178" s="18" t="n"/>
      <c r="C178" s="18" t="n"/>
      <c r="D178" s="18" t="n"/>
      <c r="E178" s="18" t="n"/>
      <c r="F178" s="19" t="n"/>
      <c r="G178" s="19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</row>
    <row r="179">
      <c r="A179" s="18" t="n"/>
      <c r="B179" s="18" t="n"/>
      <c r="C179" s="18" t="n"/>
      <c r="D179" s="18" t="n"/>
      <c r="E179" s="18" t="n"/>
      <c r="F179" s="19" t="n"/>
      <c r="G179" s="19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</row>
    <row r="180">
      <c r="A180" s="18" t="n"/>
      <c r="B180" s="18" t="n"/>
      <c r="C180" s="18" t="n"/>
      <c r="D180" s="18" t="n"/>
      <c r="E180" s="18" t="n"/>
      <c r="F180" s="19" t="n"/>
      <c r="G180" s="19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</row>
    <row r="181">
      <c r="A181" s="18" t="n"/>
      <c r="B181" s="18" t="n"/>
      <c r="C181" s="18" t="n"/>
      <c r="D181" s="18" t="n"/>
      <c r="E181" s="18" t="n"/>
      <c r="F181" s="19" t="n"/>
      <c r="G181" s="19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</row>
    <row r="182">
      <c r="A182" s="18" t="n"/>
      <c r="B182" s="18" t="n"/>
      <c r="C182" s="18" t="n"/>
      <c r="D182" s="18" t="n"/>
      <c r="E182" s="18" t="n"/>
      <c r="F182" s="19" t="n"/>
      <c r="G182" s="19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</row>
    <row r="183">
      <c r="A183" s="18" t="n"/>
      <c r="B183" s="18" t="n"/>
      <c r="C183" s="18" t="n"/>
      <c r="D183" s="18" t="n"/>
      <c r="E183" s="18" t="n"/>
      <c r="F183" s="19" t="n"/>
      <c r="G183" s="19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</row>
    <row r="184">
      <c r="A184" s="18" t="n"/>
      <c r="B184" s="18" t="n"/>
      <c r="C184" s="18" t="n"/>
      <c r="D184" s="18" t="n"/>
      <c r="E184" s="18" t="n"/>
      <c r="F184" s="19" t="n"/>
      <c r="G184" s="19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</row>
    <row r="185">
      <c r="A185" s="18" t="n"/>
      <c r="B185" s="18" t="n"/>
      <c r="C185" s="18" t="n"/>
      <c r="D185" s="18" t="n"/>
      <c r="E185" s="18" t="n"/>
      <c r="F185" s="19" t="n"/>
      <c r="G185" s="19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</row>
    <row r="186">
      <c r="A186" s="18" t="n"/>
      <c r="B186" s="18" t="n"/>
      <c r="C186" s="18" t="n"/>
      <c r="D186" s="18" t="n"/>
      <c r="E186" s="18" t="n"/>
      <c r="F186" s="19" t="n"/>
      <c r="G186" s="19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</row>
    <row r="187">
      <c r="A187" s="18" t="n"/>
      <c r="B187" s="18" t="n"/>
      <c r="C187" s="18" t="n"/>
      <c r="D187" s="18" t="n"/>
      <c r="E187" s="18" t="n"/>
      <c r="F187" s="19" t="n"/>
      <c r="G187" s="19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</row>
    <row r="188">
      <c r="A188" s="18" t="n"/>
      <c r="B188" s="18" t="n"/>
      <c r="C188" s="18" t="n"/>
      <c r="D188" s="18" t="n"/>
      <c r="E188" s="18" t="n"/>
      <c r="F188" s="19" t="n"/>
      <c r="G188" s="19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</row>
    <row r="189">
      <c r="A189" s="18" t="n"/>
      <c r="B189" s="18" t="n"/>
      <c r="C189" s="18" t="n"/>
      <c r="D189" s="18" t="n"/>
      <c r="E189" s="18" t="n"/>
      <c r="F189" s="19" t="n"/>
      <c r="G189" s="19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</row>
    <row r="190">
      <c r="A190" s="18" t="n"/>
      <c r="B190" s="18" t="n"/>
      <c r="C190" s="18" t="n"/>
      <c r="D190" s="18" t="n"/>
      <c r="E190" s="18" t="n"/>
      <c r="F190" s="19" t="n"/>
      <c r="G190" s="19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</row>
    <row r="191">
      <c r="A191" s="18" t="n"/>
      <c r="B191" s="18" t="n"/>
      <c r="C191" s="18" t="n"/>
      <c r="D191" s="18" t="n"/>
      <c r="E191" s="18" t="n"/>
      <c r="F191" s="19" t="n"/>
      <c r="G191" s="19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</row>
    <row r="192">
      <c r="A192" s="18" t="n"/>
      <c r="B192" s="18" t="n"/>
      <c r="C192" s="18" t="n"/>
      <c r="D192" s="18" t="n"/>
      <c r="E192" s="18" t="n"/>
      <c r="F192" s="19" t="n"/>
      <c r="G192" s="19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</row>
    <row r="193">
      <c r="A193" s="18" t="n"/>
      <c r="B193" s="18" t="n"/>
      <c r="C193" s="18" t="n"/>
      <c r="D193" s="18" t="n"/>
      <c r="E193" s="18" t="n"/>
      <c r="F193" s="19" t="n"/>
      <c r="G193" s="19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</row>
    <row r="194">
      <c r="A194" s="18" t="n"/>
      <c r="B194" s="18" t="n"/>
      <c r="C194" s="18" t="n"/>
      <c r="D194" s="18" t="n"/>
      <c r="E194" s="18" t="n"/>
      <c r="F194" s="19" t="n"/>
      <c r="G194" s="19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</row>
    <row r="195">
      <c r="A195" s="18" t="n"/>
      <c r="B195" s="18" t="n"/>
      <c r="C195" s="18" t="n"/>
      <c r="D195" s="18" t="n"/>
      <c r="E195" s="18" t="n"/>
      <c r="F195" s="19" t="n"/>
      <c r="G195" s="19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</row>
    <row r="196">
      <c r="A196" s="18" t="n"/>
      <c r="B196" s="18" t="n"/>
      <c r="C196" s="18" t="n"/>
      <c r="D196" s="18" t="n"/>
      <c r="E196" s="18" t="n"/>
      <c r="F196" s="19" t="n"/>
      <c r="G196" s="19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</row>
    <row r="197">
      <c r="A197" s="18" t="n"/>
      <c r="B197" s="18" t="n"/>
      <c r="C197" s="18" t="n"/>
      <c r="D197" s="18" t="n"/>
      <c r="E197" s="18" t="n"/>
      <c r="F197" s="19" t="n"/>
      <c r="G197" s="19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</row>
    <row r="198">
      <c r="A198" s="18" t="n"/>
      <c r="B198" s="18" t="n"/>
      <c r="C198" s="18" t="n"/>
      <c r="D198" s="18" t="n"/>
      <c r="E198" s="18" t="n"/>
      <c r="F198" s="19" t="n"/>
      <c r="G198" s="19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</row>
    <row r="199">
      <c r="A199" s="18" t="n"/>
      <c r="B199" s="18" t="n"/>
      <c r="C199" s="18" t="n"/>
      <c r="D199" s="18" t="n"/>
      <c r="E199" s="18" t="n"/>
      <c r="F199" s="19" t="n"/>
      <c r="G199" s="19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</row>
    <row r="200">
      <c r="A200" s="18" t="n"/>
      <c r="B200" s="18" t="n"/>
      <c r="C200" s="18" t="n"/>
      <c r="D200" s="18" t="n"/>
      <c r="E200" s="18" t="n"/>
      <c r="F200" s="19" t="n"/>
      <c r="G200" s="19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</row>
    <row r="201">
      <c r="A201" s="18" t="n"/>
      <c r="B201" s="18" t="n"/>
      <c r="C201" s="18" t="n"/>
      <c r="D201" s="18" t="n"/>
      <c r="E201" s="18" t="n"/>
      <c r="F201" s="19" t="n"/>
      <c r="G201" s="19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</row>
    <row r="202">
      <c r="A202" s="18" t="n"/>
      <c r="B202" s="18" t="n"/>
      <c r="C202" s="18" t="n"/>
      <c r="D202" s="18" t="n"/>
      <c r="E202" s="18" t="n"/>
      <c r="F202" s="19" t="n"/>
      <c r="G202" s="19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</row>
    <row r="203">
      <c r="A203" s="18" t="n"/>
      <c r="B203" s="18" t="n"/>
      <c r="C203" s="18" t="n"/>
      <c r="D203" s="18" t="n"/>
      <c r="E203" s="18" t="n"/>
      <c r="F203" s="19" t="n"/>
      <c r="G203" s="19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</row>
    <row r="204">
      <c r="A204" s="18" t="n"/>
      <c r="B204" s="18" t="n"/>
      <c r="C204" s="18" t="n"/>
      <c r="D204" s="18" t="n"/>
      <c r="E204" s="18" t="n"/>
      <c r="F204" s="19" t="n"/>
      <c r="G204" s="19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</row>
    <row r="205">
      <c r="A205" s="18" t="n"/>
      <c r="B205" s="18" t="n"/>
      <c r="C205" s="18" t="n"/>
      <c r="D205" s="18" t="n"/>
      <c r="E205" s="18" t="n"/>
      <c r="F205" s="19" t="n"/>
      <c r="G205" s="19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</row>
    <row r="206">
      <c r="A206" s="18" t="n"/>
      <c r="B206" s="18" t="n"/>
      <c r="C206" s="18" t="n"/>
      <c r="D206" s="18" t="n"/>
      <c r="E206" s="18" t="n"/>
      <c r="F206" s="19" t="n"/>
      <c r="G206" s="19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</row>
  </sheetData>
  <conditionalFormatting sqref="E1:E1048576">
    <cfRule type="duplicateValues" priority="2" dxfId="1" stopIfTrue="1"/>
  </conditionalFormatting>
  <dataValidations count="2">
    <dataValidation sqref="B22:B64" showDropDown="0" showInputMessage="0" showErrorMessage="1" allowBlank="1" type="list">
      <formula1>"不合作,待定,选中需二核"</formula1>
    </dataValidation>
    <dataValidation sqref="D2:D154 D156:D206" showDropDown="0" showInputMessage="0" showErrorMessage="1" allowBlank="1" type="list">
      <formula1>"品牌,电商"</formula1>
    </dataValidation>
  </dataValidations>
  <hyperlinks>
    <hyperlink xmlns:r="http://schemas.openxmlformats.org/officeDocument/2006/relationships" ref="F2" display="https://www.xingtu.cn/ad/creator/author-homepage/douyin-video/6862337034371989511?market_track_id=6DNXHR4DH2VHZ8WAKXMF&amp;search_session_id=7613315252344487982&amp;video_type=130&amp;_route_from=from_page%3DMarket%26search_session_id%3D7613315252344487982%26is_for_order%3D0%26market_track_id%3D6DNXHR4DH2VHZ8WAKXMF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1"/>
    <hyperlink xmlns:r="http://schemas.openxmlformats.org/officeDocument/2006/relationships" ref="G2" display="https://www.douyin.com/user/MS4wLjABAAAAIzwXtn4OcpB4hb2G49roQ-yvx8QB5OCCdrY1k_nKdOQ" r:id="rId2"/>
    <hyperlink xmlns:r="http://schemas.openxmlformats.org/officeDocument/2006/relationships" ref="F3" display="https://www.xingtu.cn/ad/creator/author-homepage/douyin-video/7356526050525855781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"/>
    <hyperlink xmlns:r="http://schemas.openxmlformats.org/officeDocument/2006/relationships" ref="G3" display="https://www.douyin.com/user/MS4wLjABAAAAoMBjWrzNyJC2jAIWJdVVGMe8dvCUefB-5XSnNoLCYmQ" r:id="rId4"/>
    <hyperlink xmlns:r="http://schemas.openxmlformats.org/officeDocument/2006/relationships" ref="F4" display="https://www.xingtu.cn/ad/creator/author-homepage/douyin-video/7163580183356637197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5"/>
    <hyperlink xmlns:r="http://schemas.openxmlformats.org/officeDocument/2006/relationships" ref="G4" display="https://www.douyin.com/user/MS4wLjABAAAA2yHm6xUq4Pk9RqLPQmOPVUUAbdOjrEfLSoWISXl_tSDjBmfcZ6-Okx9LZYYGy7B7" r:id="rId6"/>
    <hyperlink xmlns:r="http://schemas.openxmlformats.org/officeDocument/2006/relationships" ref="F5" display="https://www.xingtu.cn/ad/creator/author-homepage/douyin-video/7331739316021886985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7"/>
    <hyperlink xmlns:r="http://schemas.openxmlformats.org/officeDocument/2006/relationships" ref="G5" display="https://www.douyin.com/user/MS4wLjABAAAATQ9_aUGiTKOmnwruMSYom8gcFoEjVh3zAUgSF6heFd_mzxfpTEa_8P5v64IXSRF3" r:id="rId8"/>
    <hyperlink xmlns:r="http://schemas.openxmlformats.org/officeDocument/2006/relationships" ref="F6" display="https://www.xingtu.cn/ad/creator/author-homepage/douyin-video/7106310332527837198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9"/>
    <hyperlink xmlns:r="http://schemas.openxmlformats.org/officeDocument/2006/relationships" ref="G6" display="https://www.douyin.com/user/MS4wLjABAAAAoyk9krUR_MF6Tt9VuHzM8zczJHEsxoWa2Pd9S4wm9HazMDdd5VpkXvTM4yF6Plct" r:id="rId10"/>
    <hyperlink xmlns:r="http://schemas.openxmlformats.org/officeDocument/2006/relationships" ref="F7" display="https://www.xingtu.cn/ad/creator/author-homepage/douyin-video/7233683198318739513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" r:id="rId11"/>
    <hyperlink xmlns:r="http://schemas.openxmlformats.org/officeDocument/2006/relationships" ref="G7" display="https://www.douyin.com/user/MS4wLjABAAAAcCNQsWMO7HL2vGMtrLxPc4NIUAy93y2JaMTeFnvt8Ow" r:id="rId12"/>
    <hyperlink xmlns:r="http://schemas.openxmlformats.org/officeDocument/2006/relationships" ref="F8" display="https://www.xingtu.cn/ad/creator/author-homepage/douyin-video/7133402704461856800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" r:id="rId13"/>
    <hyperlink xmlns:r="http://schemas.openxmlformats.org/officeDocument/2006/relationships" ref="G8" display="https://www.douyin.com/user/MS4wLjABAAAAqKG5BkMv6q7M3DgBgg1rOl6GgXVUCD0uZ395j5lVCFbl08hmS-cCbPfRPkWwD4__" r:id="rId14"/>
    <hyperlink xmlns:r="http://schemas.openxmlformats.org/officeDocument/2006/relationships" ref="F9" display="https://www.xingtu.cn/ad/creator/author-homepage/douyin-video/7243769338820296737?market_track_id=6DNXHR4DH2VHZ8WAKXMF&amp;search_session_id=7613315845238243337&amp;video_type=130&amp;_route_from=from_page%3DMarket%26search_session_id%3D7613315845238243337%26is_for_order%3D0%26market_track_id%3D6DNXHR4DH2VHZ8WAKXMF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15"/>
    <hyperlink xmlns:r="http://schemas.openxmlformats.org/officeDocument/2006/relationships" ref="G9" display="https://www.douyin.com/user/MS4wLjABAAAA5igjS-ttg1DuWvi89br569c_gUmz80p8BTOJkWuUG1E" r:id="rId16"/>
    <hyperlink xmlns:r="http://schemas.openxmlformats.org/officeDocument/2006/relationships" ref="F10" display="https://www.xingtu.cn/ad/creator/author-homepage/douyin-video/7138655518096097316?market_track_id=DXZTWF5UPCT7FDKA0NE3&amp;search_session_id=7613324734945296411&amp;video_type=130&amp;_route_from=from_page%3DMarket%26search_session_id%3D7613324734945296411%26is_for_order%3D0%26market_track_id%3DDXZTWF5UPCT7FDKA0NE3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17"/>
    <hyperlink xmlns:r="http://schemas.openxmlformats.org/officeDocument/2006/relationships" ref="G10" display="https://www.douyin.com/user/MS4wLjABAAAAODJdpZDbUj3cXhAGTpYqx4QIjXavQMX7hniCaoFIbwB5lI551T_rZOl164gRUk16" r:id="rId18"/>
    <hyperlink xmlns:r="http://schemas.openxmlformats.org/officeDocument/2006/relationships" ref="F11" display="https://www.xingtu.cn/ad/creator/author-homepage/douyin-video/7404774924474122291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19"/>
    <hyperlink xmlns:r="http://schemas.openxmlformats.org/officeDocument/2006/relationships" ref="G11" display="https://www.douyin.com/user/MS4wLjABAAAAc_SXDTOduipqZ3aNDBZngNu3QPaNkHmUawEjaaFOxQcFZ8-N-_5WW1ukTm13xJEZ" r:id="rId20"/>
    <hyperlink xmlns:r="http://schemas.openxmlformats.org/officeDocument/2006/relationships" ref="F12" display="https://www.xingtu.cn/ad/creator/author-homepage/douyin-video/7385144812976111657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21"/>
    <hyperlink xmlns:r="http://schemas.openxmlformats.org/officeDocument/2006/relationships" ref="G12" display="https://www.douyin.com/user/MS4wLjABAAAADhIAM2uqn4fhh5cx9sNzuMLtzYfAQP1zhKL_t3Qj9eA" r:id="rId22"/>
    <hyperlink xmlns:r="http://schemas.openxmlformats.org/officeDocument/2006/relationships" ref="F13" display="https://www.xingtu.cn/ad/creator/author-homepage/douyin-video/7498168129944567834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23"/>
    <hyperlink xmlns:r="http://schemas.openxmlformats.org/officeDocument/2006/relationships" ref="G13" display="https://www.douyin.com/user/MS4wLjABAAAAOE683W8ZiFNnRj1CxaWlgn7vDyo0BiqhNMHsIDPCwx3hG7Xr6Q65oOOMdul126um" r:id="rId24"/>
    <hyperlink xmlns:r="http://schemas.openxmlformats.org/officeDocument/2006/relationships" ref="F14" display="https://www.xingtu.cn/ad/creator/author-homepage/douyin-video/7439773940446134299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25"/>
    <hyperlink xmlns:r="http://schemas.openxmlformats.org/officeDocument/2006/relationships" ref="G14" display="https://www.douyin.com/user/MS4wLjABAAAAvmHAQMY7a7xq2Hykm3oYmbXhw4Z-LpF6j1Luq1l6RnTIyn2X5UIC0NL6aW-J919e" r:id="rId26"/>
    <hyperlink xmlns:r="http://schemas.openxmlformats.org/officeDocument/2006/relationships" ref="F15" display="https://www.xingtu.cn/ad/creator/author-homepage/douyin-video/688119983016142439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27"/>
    <hyperlink xmlns:r="http://schemas.openxmlformats.org/officeDocument/2006/relationships" ref="G15" display="https://www.douyin.com/user/MS4wLjABAAAAYDyfBw_JyvKKlBGL0icbrNhz8iAA-S_c10xzr8tno6c" r:id="rId28"/>
    <hyperlink xmlns:r="http://schemas.openxmlformats.org/officeDocument/2006/relationships" ref="F16" display="https://www.xingtu.cn/ad/creator/author-homepage/douyin-video/7162041987355377668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29"/>
    <hyperlink xmlns:r="http://schemas.openxmlformats.org/officeDocument/2006/relationships" ref="G16" display="https://www.douyin.com/user/MS4wLjABAAAAQ7Qe0L5_m3JT44vhjIj3DK7PTRRW0Th1gitdvDmjiaRzhUZzKxHqzYADXlUOzr7l" r:id="rId30"/>
    <hyperlink xmlns:r="http://schemas.openxmlformats.org/officeDocument/2006/relationships" ref="F17" display="https://www.xingtu.cn/ad/creator/author-homepage/douyin-video/719393602411482317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1"/>
    <hyperlink xmlns:r="http://schemas.openxmlformats.org/officeDocument/2006/relationships" ref="G17" display="https://www.douyin.com/user/MS4wLjABAAAAhuahst49K4_hybFvf785ZpHYYKIFgNEk-ZjAWAQI0ijw0skMlNAujRZqvqDOhaCX" r:id="rId32"/>
    <hyperlink xmlns:r="http://schemas.openxmlformats.org/officeDocument/2006/relationships" ref="F18" display="https://www.xingtu.cn/ad/creator/author-homepage/douyin-video/707826119695610676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3"/>
    <hyperlink xmlns:r="http://schemas.openxmlformats.org/officeDocument/2006/relationships" ref="G18" display="https://www.douyin.com/user/MS4wLjABAAAAko-P9kXBMiCybVkdc2VH5e_MqHPMbMiEpyck80o-ths" r:id="rId34"/>
    <hyperlink xmlns:r="http://schemas.openxmlformats.org/officeDocument/2006/relationships" ref="F19" display="https://www.xingtu.cn/ad/creator/author-homepage/douyin-video/729984832843336911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5"/>
    <hyperlink xmlns:r="http://schemas.openxmlformats.org/officeDocument/2006/relationships" ref="G19" display="https://www.douyin.com/user/MS4wLjABAAAA-Z4GRWwT849JhKV_2gkiYLu_TpbZ7XHTXNjMj0SEXJE" r:id="rId36"/>
    <hyperlink xmlns:r="http://schemas.openxmlformats.org/officeDocument/2006/relationships" ref="F20" display="https://www.xingtu.cn/ad/creator/author-homepage/douyin-video/7110252799065079839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7"/>
    <hyperlink xmlns:r="http://schemas.openxmlformats.org/officeDocument/2006/relationships" ref="G20" display="https://www.douyin.com/user/MS4wLjABAAAAL9La_SSqpddVHybjls_uLUZHgQRbT4Wm1m8YGYU2cZfkAMNMt2g2BIIKihG4NAHl" r:id="rId38"/>
    <hyperlink xmlns:r="http://schemas.openxmlformats.org/officeDocument/2006/relationships" ref="F21" display="https://www.xingtu.cn/ad/creator/author-homepage/douyin-video/7424780322694234163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9"/>
    <hyperlink xmlns:r="http://schemas.openxmlformats.org/officeDocument/2006/relationships" ref="G21" display="https://www.douyin.com/user/MS4wLjABAAAAtK1tB77O8hiy699eOfcz_cc00hFIncZIpdbSS_IMlg8TF_QnGh5lzTv5PyzHBzCh" r:id="rId40"/>
    <hyperlink xmlns:r="http://schemas.openxmlformats.org/officeDocument/2006/relationships" ref="F22" display="https://www.xingtu.cn/ad/creator/author-homepage/douyin-video/7260295434747248703?market_track_id=Z7PV5NUQBMDDDSGKUC73&amp;search_session_id=7613724875618074633&amp;video_type=130&amp;_route_from=from_page%3DMarket%26search_session_id%3D7613724875618074633%26is_for_order%3D0%26market_track_id%3DZ7PV5NUQBMDDDSGKUC73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9fd4f19c-b9e4-45bc-9bb8-c1514528eee6" r:id="rId41"/>
    <hyperlink xmlns:r="http://schemas.openxmlformats.org/officeDocument/2006/relationships" ref="G22" display="https://www.douyin.com/user/MS4wLjABAAAAlmJ8NhVfBUMQ5NjA9ETrwQxzmhhYZFzv-Ar8y9d_RfenKGJBjhQ-bAHFziO94ViT" r:id="rId42"/>
    <hyperlink xmlns:r="http://schemas.openxmlformats.org/officeDocument/2006/relationships" ref="F23" display="https://www.xingtu.cn/ad/creator/author-homepage/douyin-video/736700745620075320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43"/>
    <hyperlink xmlns:r="http://schemas.openxmlformats.org/officeDocument/2006/relationships" ref="G23" display="https://www.douyin.com/user/MS4wLjABAAAARXeAjWkcuHR-siTNPJCaI-mx7cvgyPCGcDqE9LhUMTU" r:id="rId44"/>
    <hyperlink xmlns:r="http://schemas.openxmlformats.org/officeDocument/2006/relationships" ref="F24" display="https://www.xingtu.cn/ad/creator/author-homepage/douyin-video/726118438664352569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45"/>
    <hyperlink xmlns:r="http://schemas.openxmlformats.org/officeDocument/2006/relationships" ref="G24" display="https://www.douyin.com/user/MS4wLjABAAAA6xPsOQTYutn-S4u_-7tF_f0V9aOjOi6_4Ph5dCTrtzk" r:id="rId46"/>
    <hyperlink xmlns:r="http://schemas.openxmlformats.org/officeDocument/2006/relationships" ref="F25" display="https://www.xingtu.cn/ad/creator/author-homepage/douyin-video/6805089638051479559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47"/>
    <hyperlink xmlns:r="http://schemas.openxmlformats.org/officeDocument/2006/relationships" ref="G25" display="https://www.douyin.com/user/MS4wLjABAAAAgpkcoJJYK_bl6CTXAi98Bu-hEBgWgXSdn2KGbCAZIAI" r:id="rId48"/>
    <hyperlink xmlns:r="http://schemas.openxmlformats.org/officeDocument/2006/relationships" ref="F26" display="https://www.xingtu.cn/ad/creator/author-homepage/douyin-video/6992217327169175588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49"/>
    <hyperlink xmlns:r="http://schemas.openxmlformats.org/officeDocument/2006/relationships" ref="G26" display="https://www.douyin.com/user/MS4wLjABAAAACLJQvV56FDo2kvrEJc_A065vOx6zE17kCRzvQwlF2MM" r:id="rId50"/>
    <hyperlink xmlns:r="http://schemas.openxmlformats.org/officeDocument/2006/relationships" ref="F27" display="https://www.xingtu.cn/ad/creator/author-homepage/douyin-video/7487126926209843251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1"/>
    <hyperlink xmlns:r="http://schemas.openxmlformats.org/officeDocument/2006/relationships" ref="G27" display="https://www.douyin.com/user/MS4wLjABAAAA1FG_gsrln8cNGdANCAneJlqOspg11_zgVkqjUVAwK1I" r:id="rId52"/>
    <hyperlink xmlns:r="http://schemas.openxmlformats.org/officeDocument/2006/relationships" ref="F28" display="https://www.xingtu.cn/ad/creator/author-homepage/douyin-video/7262605435608236069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3"/>
    <hyperlink xmlns:r="http://schemas.openxmlformats.org/officeDocument/2006/relationships" ref="G28" display="https://www.douyin.com/user/MS4wLjABAAAAi1Q0Xffb80aamxebhnHZs3hrJZrRf8aYk-xZ7L825sAvfUxwM802KrrsnHk0fgCR" r:id="rId54"/>
    <hyperlink xmlns:r="http://schemas.openxmlformats.org/officeDocument/2006/relationships" ref="F29" display="https://www.xingtu.cn/ad/creator/author-homepage/douyin-video/7146601465803440135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5"/>
    <hyperlink xmlns:r="http://schemas.openxmlformats.org/officeDocument/2006/relationships" ref="G29" display="https://www.douyin.com/user/MS4wLjABAAAAGfxHn9TbIUxyhx9QlK_ACmYhvj_B_YhVvUazVXWSnPziTNuabNcN_Qds_DQoj7Bl" r:id="rId56"/>
    <hyperlink xmlns:r="http://schemas.openxmlformats.org/officeDocument/2006/relationships" ref="F30" display="https://www.xingtu.cn/ad/creator/author-homepage/douyin-video/7367628839939227685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7"/>
    <hyperlink xmlns:r="http://schemas.openxmlformats.org/officeDocument/2006/relationships" ref="G30" display="https://www.douyin.com/user/MS4wLjABAAAAl7UkQFaVX2UAw0IVi726y4QPL9bPTUA-2A-yVnCZQ4DG1rBfGGCqyBEXsUHTm5rS" r:id="rId58"/>
    <hyperlink xmlns:r="http://schemas.openxmlformats.org/officeDocument/2006/relationships" ref="F31" display="https://www.xingtu.cn/ad/creator/author-homepage/douyin-video/7270431170049867831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9"/>
    <hyperlink xmlns:r="http://schemas.openxmlformats.org/officeDocument/2006/relationships" ref="G31" display="https://www.douyin.com/user/MS4wLjABAAAAU7AGjmry2jmCJ70F_eWm2CYf7Nxn7FR00a2C1NKaWhnAsvxnnTd_ZHwWRKZfnDeW" r:id="rId60"/>
    <hyperlink xmlns:r="http://schemas.openxmlformats.org/officeDocument/2006/relationships" ref="F32" display="https://www.xingtu.cn/ad/creator/author-homepage/douyin-video/7198850506033201208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61"/>
    <hyperlink xmlns:r="http://schemas.openxmlformats.org/officeDocument/2006/relationships" ref="G32" display="https://www.douyin.com/user/MS4wLjABAAAAG5EpbXYlHIs3Ny6B1i0S0DaBtSaHQ5-N-PzdQE4ELDbRO_CzVULEd8O4FLNnOyCl" r:id="rId62"/>
    <hyperlink xmlns:r="http://schemas.openxmlformats.org/officeDocument/2006/relationships" ref="F33" display="https://www.xingtu.cn/ad/creator/author-homepage/douyin-video/7199128878953005114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63"/>
    <hyperlink xmlns:r="http://schemas.openxmlformats.org/officeDocument/2006/relationships" ref="G33" display="https://www.douyin.com/user/MS4wLjABAAAAoEipyA_xCtJ-MEGIbJKpS4EGN6np1buHR11xlocgxH4PLpkESEzzx7n6y9yil7tX" r:id="rId64"/>
    <hyperlink xmlns:r="http://schemas.openxmlformats.org/officeDocument/2006/relationships" ref="F34" display="https://www.xingtu.cn/ad/creator/author-homepage/douyin-video/7494154840306614310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65"/>
    <hyperlink xmlns:r="http://schemas.openxmlformats.org/officeDocument/2006/relationships" ref="G34" display="https://www.douyin.com/user/MS4wLjABAAAA7J3nMyz5gNlq0lQZ-lDQ1kP-yMHpcQw_rOSM9QlfqLTJVXYIECwvCKKI2CuZbHzN" r:id="rId66"/>
    <hyperlink xmlns:r="http://schemas.openxmlformats.org/officeDocument/2006/relationships" ref="F35" display="https://www.xingtu.cn/ad/creator/author-homepage/douyin-video/7041163112036171815?market_track_id=MPQP857CO4TY5ZCGOOLM&amp;search_session_id=7613722035335823369&amp;video_type=130&amp;_route_from=from_page%3DMarket%26search_session_id%3D7613722035335823369%26is_for_order%3D0%26market_track_id%3DMPQP857CO4TY5ZCGOOLM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67"/>
    <hyperlink xmlns:r="http://schemas.openxmlformats.org/officeDocument/2006/relationships" ref="G35" display="https://www.douyin.com/user/MS4wLjABAAAAzV9Fnm7kgZEA_mZOsdyjyp1VRAdgr8aubfj8xDgm64y6mLUdB3IlMeNEm9ie2Ikg" r:id="rId68"/>
    <hyperlink xmlns:r="http://schemas.openxmlformats.org/officeDocument/2006/relationships" ref="F36" display="https://www.xingtu.cn/ad/creator/author-homepage/douyin-video/679294876885450753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69"/>
    <hyperlink xmlns:r="http://schemas.openxmlformats.org/officeDocument/2006/relationships" ref="G36" display="https://www.douyin.com/user/MS4wLjABAAAAym5a_ODYZSjM5jzqm5UwJQ5iHeH0pyYGKcXaex0c_tA" r:id="rId70"/>
    <hyperlink xmlns:r="http://schemas.openxmlformats.org/officeDocument/2006/relationships" ref="F37" display="https://www.xingtu.cn/ad/creator/author-homepage/douyin-video/7119839178140942349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1"/>
    <hyperlink xmlns:r="http://schemas.openxmlformats.org/officeDocument/2006/relationships" ref="G37" display="https://www.douyin.com/user/MS4wLjABAAAAuahGvmQQq-pl2hTbNzGdvsRf3-_5KEGwJCiqagoPGOA" r:id="rId72"/>
    <hyperlink xmlns:r="http://schemas.openxmlformats.org/officeDocument/2006/relationships" ref="F38" display="https://www.xingtu.cn/ad/creator/author-homepage/douyin-video/706408006476942543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3"/>
    <hyperlink xmlns:r="http://schemas.openxmlformats.org/officeDocument/2006/relationships" ref="G38" display="https://www.douyin.com/user/MS4wLjABAAAAYyaYyUkXH48VthwrlhTc-UXjEejPL3IwQYRh2O9VlLRyz-8h3G2k0ppUi1p3dvrI" r:id="rId74"/>
    <hyperlink xmlns:r="http://schemas.openxmlformats.org/officeDocument/2006/relationships" ref="F39" display="https://www.xingtu.cn/ad/creator/author-homepage/douyin-video/717681531728340582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5"/>
    <hyperlink xmlns:r="http://schemas.openxmlformats.org/officeDocument/2006/relationships" ref="G39" display="https://www.douyin.com/user/MS4wLjABAAAAQI8SH9BFldQboSJTYwrf4PjtfS48MxKEhj0GJeYbIYglcowIQ6mHSJkRnjW-ZeaL" r:id="rId76"/>
    <hyperlink xmlns:r="http://schemas.openxmlformats.org/officeDocument/2006/relationships" ref="F40" display="https://www.xingtu.cn/ad/creator/author-homepage/douyin-video/6972838728507064333?market_track_id=CJBSIDE3YAPLX30BT8R9&amp;search_session_id=7614077390314864690&amp;video_type=130&amp;_route_from=from_page%3DMarket%26search_session_id%3D7614077390314864690%26is_for_order%3D0%26market_track_id%3DCJBSIDE3YAPLX30BT8R9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7"/>
    <hyperlink xmlns:r="http://schemas.openxmlformats.org/officeDocument/2006/relationships" ref="G40" display="https://www.douyin.com/user/MS4wLjABAAAAMGEzn4fk4KZ0f05U3k4x_L364rk3IWdiUCHsNAU_X6c" r:id="rId78"/>
    <hyperlink xmlns:r="http://schemas.openxmlformats.org/officeDocument/2006/relationships" ref="F41" display="https://www.xingtu.cn/ad/creator/author-homepage/douyin-video/672209590348362548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9"/>
    <hyperlink xmlns:r="http://schemas.openxmlformats.org/officeDocument/2006/relationships" ref="G41" display="https://www.douyin.com/user/MS4wLjABAAAAY9pZpyJecntklxAvbmnIvMpS1kIVI1XmQ5_Ry8xXZNE" r:id="rId80"/>
    <hyperlink xmlns:r="http://schemas.openxmlformats.org/officeDocument/2006/relationships" ref="F42" display="https://www.xingtu.cn/ad/creator/author-homepage/douyin-video/7048439304124629005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81"/>
    <hyperlink xmlns:r="http://schemas.openxmlformats.org/officeDocument/2006/relationships" ref="G42" display="https://www.douyin.com/user/MS4wLjABAAAA98sxALX02ZsUPitEB9FL98VCNrNZHsgFp2-kLXkyOGI" r:id="rId82"/>
    <hyperlink xmlns:r="http://schemas.openxmlformats.org/officeDocument/2006/relationships" ref="F43" display="https://www.xingtu.cn/ad/creator/author-homepage/douyin-video/7437860825424986122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83"/>
    <hyperlink xmlns:r="http://schemas.openxmlformats.org/officeDocument/2006/relationships" ref="G43" display="https://www.douyin.com/user/MS4wLjABAAAAGkXEtU6XYFHA1ArzPaSlLMdUzKeLl2ueCNSJKcdvhXQh-fITDoNeg9gx8nLivxXG" r:id="rId84"/>
    <hyperlink xmlns:r="http://schemas.openxmlformats.org/officeDocument/2006/relationships" ref="F44" display="https://www.xingtu.cn/ad/creator/author-homepage/douyin-video/7234072113110335521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85"/>
    <hyperlink xmlns:r="http://schemas.openxmlformats.org/officeDocument/2006/relationships" ref="G44" display="https://www.douyin.com/user/MS4wLjABAAAAWT9MPoviyafXJEAvZb9S2xC1oRATVcAbf_1v6fQecfg" r:id="rId86"/>
    <hyperlink xmlns:r="http://schemas.openxmlformats.org/officeDocument/2006/relationships" ref="F45" display="https://www.xingtu.cn/ad/creator/author-homepage/douyin-video/7359200063073026099?market_track_id=5S67YGBQAASZDVZE6MEB&amp;search_session_id=7615186969332645926&amp;video_type=130&amp;_route_from=from_page%3DMarket%26search_session_id%3D7615186969332645926%26is_for_order%3D0%26market_track_id%3D5S67YGBQAASZDVZE6MEB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87"/>
    <hyperlink xmlns:r="http://schemas.openxmlformats.org/officeDocument/2006/relationships" ref="G45" display="https://www.douyin.com/user/MS4wLjABAAAAeWwG6a5r1EQShQmc7hJTznKw1MbUegmo-dNMaP9YM4M" r:id="rId88"/>
    <hyperlink xmlns:r="http://schemas.openxmlformats.org/officeDocument/2006/relationships" ref="F46" display="https://www.xingtu.cn/ad/creator/author-homepage/douyin-video/7000637975151247367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89"/>
    <hyperlink xmlns:r="http://schemas.openxmlformats.org/officeDocument/2006/relationships" ref="G46" display="https://www.douyin.com/user/MS4wLjABAAAAZdKceqCx2iNqLz49e03sIFtWpHIBMXSrhXvbLzqAbA4" r:id="rId90"/>
    <hyperlink xmlns:r="http://schemas.openxmlformats.org/officeDocument/2006/relationships" ref="F47" display="https://www.xingtu.cn/ad/creator/author-homepage/douyin-video/7483571540617854986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91"/>
    <hyperlink xmlns:r="http://schemas.openxmlformats.org/officeDocument/2006/relationships" ref="G47" display="https://www.douyin.com/user/MS4wLjABAAAARuBnEo10NjFTBALMb5biOPZcMwQe4atKFMpsbSP-SLNj1YP-qpa5w3S5cgLiJM5G" r:id="rId92"/>
    <hyperlink xmlns:r="http://schemas.openxmlformats.org/officeDocument/2006/relationships" ref="F48" display="https://www.xingtu.cn/ad/creator/author-homepage/douyin-video/736514722055271222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93"/>
    <hyperlink xmlns:r="http://schemas.openxmlformats.org/officeDocument/2006/relationships" ref="G48" display="https://www.douyin.com/user/MS4wLjABAAAAnpHYRswEzWsoPs8UunQOr7bVPGTFrGGLgjsYMf3gGl4" r:id="rId94"/>
    <hyperlink xmlns:r="http://schemas.openxmlformats.org/officeDocument/2006/relationships" ref="F49" display="https://www.xingtu.cn/ad/creator/author-homepage/douyin-video/717218943490798387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95"/>
    <hyperlink xmlns:r="http://schemas.openxmlformats.org/officeDocument/2006/relationships" ref="G49" display="https://www.douyin.com/user/MS4wLjABAAAAUsZrhyz7GGaNhQz_UJpjEWHiOrVxfg9rXWTzgAU-8vE" r:id="rId96"/>
    <hyperlink xmlns:r="http://schemas.openxmlformats.org/officeDocument/2006/relationships" ref="F50" display="https://www.xingtu.cn/ad/creator/author-homepage/douyin-video/6870162896316268552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97"/>
    <hyperlink xmlns:r="http://schemas.openxmlformats.org/officeDocument/2006/relationships" ref="G50" display="https://www.douyin.com/user/MS4wLjABAAAAZinCXaKbegvY74sOeuSI3Ih1l7jutj0EHmsoJfb0Fg0" r:id="rId98"/>
    <hyperlink xmlns:r="http://schemas.openxmlformats.org/officeDocument/2006/relationships" ref="F51" display="https://www.xingtu.cn/ad/creator/author-homepage/douyin-video/7349922835336429578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99"/>
    <hyperlink xmlns:r="http://schemas.openxmlformats.org/officeDocument/2006/relationships" ref="G51" display="https://www.douyin.com/user/MS4wLjABAAAAYIoFcQAoFQemyTlRXSTgilt9Epl2vsWj7SuMahQj_u-Hw50fROrkZNVOR_ORj_OQ" r:id="rId100"/>
    <hyperlink xmlns:r="http://schemas.openxmlformats.org/officeDocument/2006/relationships" ref="F52" display="https://www.xingtu.cn/ad/creator/author-homepage/douyin-video/7487814010297909285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101"/>
    <hyperlink xmlns:r="http://schemas.openxmlformats.org/officeDocument/2006/relationships" ref="G52" display="https://www.douyin.com/user/MS4wLjABAAAA305tts7fJjhv70AL8PLH9xVIH_IjdNKW-7lMhw1nVuM" r:id="rId102"/>
    <hyperlink xmlns:r="http://schemas.openxmlformats.org/officeDocument/2006/relationships" ref="F53" display="https://www.xingtu.cn/ad/creator/author-homepage/douyin-video/7212117538119876663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103"/>
    <hyperlink xmlns:r="http://schemas.openxmlformats.org/officeDocument/2006/relationships" ref="G53" display="https://www.douyin.com/user/MS4wLjABAAAA4Q_XiOXh5Y9gkPVd518479FTq438XHZZj56iFMYDO9qDwg2PiTfiyGkC0khoytlM" r:id="rId104"/>
    <hyperlink xmlns:r="http://schemas.openxmlformats.org/officeDocument/2006/relationships" ref="F54" display="https://www.xingtu.cn/ad/creator/author-homepage/douyin-video/7198564686625767482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05"/>
    <hyperlink xmlns:r="http://schemas.openxmlformats.org/officeDocument/2006/relationships" ref="G54" display="https://www.douyin.com/user/MS4wLjABAAAAppEVGFTl7ravIdyxrHkXZYkASzyOgxT6fGSZ7ru5-AM" r:id="rId106"/>
    <hyperlink xmlns:r="http://schemas.openxmlformats.org/officeDocument/2006/relationships" ref="F55" display="https://www.xingtu.cn/ad/creator/author-homepage/douyin-video/745905092890198021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07"/>
    <hyperlink xmlns:r="http://schemas.openxmlformats.org/officeDocument/2006/relationships" ref="G55" display="https://www.douyin.com/user/MS4wLjABAAAAQ0ltyNu6U111yuc4jgB0zpx9NvxCgRepksOgxjxhFu7UlTAnYK7CT4Ja3SgsmNeZ" r:id="rId108"/>
    <hyperlink xmlns:r="http://schemas.openxmlformats.org/officeDocument/2006/relationships" ref="F56" display="https://www.xingtu.cn/ad/creator/author-homepage/douyin-video/727738311544039018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09"/>
    <hyperlink xmlns:r="http://schemas.openxmlformats.org/officeDocument/2006/relationships" ref="G56" display="https://www.douyin.com/user/MS4wLjABAAAAmVXUU6btEFSFL2-DyqEJC8aUb3GyP7VetkT_P4S8E-urZ5IZGIxNd3Fxm2ORWT9v" r:id="rId110"/>
    <hyperlink xmlns:r="http://schemas.openxmlformats.org/officeDocument/2006/relationships" ref="F57" display="https://www.xingtu.cn/ad/creator/author-homepage/douyin-video/7260081950478565437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11"/>
    <hyperlink xmlns:r="http://schemas.openxmlformats.org/officeDocument/2006/relationships" ref="G57" display="https://www.douyin.com/user/MS4wLjABAAAA-53qPEtpg8AMXV6Nym_-trwBEG4jfXPbnpudMnfJ7no" r:id="rId112"/>
    <hyperlink xmlns:r="http://schemas.openxmlformats.org/officeDocument/2006/relationships" ref="F58" display="https://www.xingtu.cn/ad/creator/author-homepage/douyin-video/743071529909721498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13"/>
    <hyperlink xmlns:r="http://schemas.openxmlformats.org/officeDocument/2006/relationships" ref="G58" display="https://www.douyin.com/user/MS4wLjABAAAAe3So42ExQ0sibG6c7QpDfK7X7Mv-97aUelPBHiyNQLL-FEmVp4ESaSPT_PA8mNPR" r:id="rId114"/>
    <hyperlink xmlns:r="http://schemas.openxmlformats.org/officeDocument/2006/relationships" ref="F59" display="https://www.xingtu.cn/ad/creator/author-homepage/douyin-video/7036987921882152974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15"/>
    <hyperlink xmlns:r="http://schemas.openxmlformats.org/officeDocument/2006/relationships" ref="G59" display="https://www.douyin.com/user/MS4wLjABAAAA3MFVYK4C33aSrCUWH2rVCTOQ7oYCRr3a7yjnixuTyikLTa2w3wnVNQq6tx4Akv7v" r:id="rId116"/>
    <hyperlink xmlns:r="http://schemas.openxmlformats.org/officeDocument/2006/relationships" ref="F60" display="https://www.xingtu.cn/ad/creator/author-homepage/douyin-video/7169122654257938443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17"/>
    <hyperlink xmlns:r="http://schemas.openxmlformats.org/officeDocument/2006/relationships" ref="G60" display="https://www.douyin.com/user/MS4wLjABAAAAhPjSiDu1UrW6CK1nU94sTmvdZO5uwBPWBPphdB4ggrqPutoK0_sUoYywA4UTE1dr" r:id="rId118"/>
    <hyperlink xmlns:r="http://schemas.openxmlformats.org/officeDocument/2006/relationships" ref="F61" display="https://www.xingtu.cn/ad/creator/author-homepage/douyin-video/704108824267377872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19"/>
    <hyperlink xmlns:r="http://schemas.openxmlformats.org/officeDocument/2006/relationships" ref="G61" display="https://www.douyin.com/user/MS4wLjABAAAAl0BD9cKsBgeqOi7X4MU_oYARK_4zimnEBz7jajrrQuQ" r:id="rId120"/>
    <hyperlink xmlns:r="http://schemas.openxmlformats.org/officeDocument/2006/relationships" ref="F62" display="https://www.xingtu.cn/ad/creator/author-homepage/douyin-video/7262605435608236069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21"/>
    <hyperlink xmlns:r="http://schemas.openxmlformats.org/officeDocument/2006/relationships" ref="G62" display="https://www.douyin.com/user/MS4wLjABAAAAi1Q0Xffb80aamxebhnHZs3hrJZrRf8aYk-xZ7L825sAvfUxwM802KrrsnHk0fgCR" r:id="rId122"/>
    <hyperlink xmlns:r="http://schemas.openxmlformats.org/officeDocument/2006/relationships" ref="F63" display="https://www.xingtu.cn/ad/creator/author-homepage/douyin-video/724409912270836537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23"/>
    <hyperlink xmlns:r="http://schemas.openxmlformats.org/officeDocument/2006/relationships" ref="G63" display="https://www.douyin.com/user/MS4wLjABAAAANL75_uHWewlRpKVPyt_rtMbYjOgdURbA9FosMhv7hfs" r:id="rId124"/>
    <hyperlink xmlns:r="http://schemas.openxmlformats.org/officeDocument/2006/relationships" ref="F64" display="https://www.xingtu.cn/ad/creator/author-homepage/douyin-video/7382758450746359835?market_track_id=475HW1GG0T5T6MS7W2K9&amp;search_session_id=7615559339038507054&amp;video_type=130&amp;_route_from=from_page%3DMarket%26search_session_id%3D7615559339038507054%26is_for_order%3D0%26market_track_id%3D475HW1GG0T5T6MS7W2K9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25"/>
    <hyperlink xmlns:r="http://schemas.openxmlformats.org/officeDocument/2006/relationships" ref="G64" display="https://www.douyin.com/user/MS4wLjABAAAAZZF_Are2iuUt1L_CYs1s3IuhzpMWZdZ11-Hu9BMUDwGLoVrKGSBkrwNlDS7Fn8K4" r:id="rId126"/>
    <hyperlink xmlns:r="http://schemas.openxmlformats.org/officeDocument/2006/relationships" ref="F65" display="https://www.xingtu.cn/ad/creator/author-homepage/douyin-video/7176904361673490491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27"/>
    <hyperlink xmlns:r="http://schemas.openxmlformats.org/officeDocument/2006/relationships" ref="G65" display="https://www.douyin.com/user/MS4wLjABAAAAVSS41rcUip5SEQ0pQrF_ymuiKhM7RRZ2lIwoW-_pRZWcjrL3RdQMAKQHI-cYz2gk" r:id="rId128"/>
    <hyperlink xmlns:r="http://schemas.openxmlformats.org/officeDocument/2006/relationships" ref="F66" display="https://www.xingtu.cn/ad/creator/author-homepage/douyin-video/69962248614167183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29"/>
    <hyperlink xmlns:r="http://schemas.openxmlformats.org/officeDocument/2006/relationships" ref="G66" display="https://www.douyin.com/user/MS4wLjABAAAACooejWW8wqfLAKCJMdkdOOz3gTls6lB5KmIAWUultmAcIvGhSdxzVkP8UheN7OEj" r:id="rId130"/>
    <hyperlink xmlns:r="http://schemas.openxmlformats.org/officeDocument/2006/relationships" ref="F67" display="https://www.xingtu.cn/ad/creator/author-homepage/douyin-video/700620156798867869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31"/>
    <hyperlink xmlns:r="http://schemas.openxmlformats.org/officeDocument/2006/relationships" ref="G67" display="https://www.douyin.com/user/MS4wLjABAAAAC_AIeGnLMeOC6Vt2ej9aW6i58OFcVPY9RaR0G8d_pYk" r:id="rId132"/>
    <hyperlink xmlns:r="http://schemas.openxmlformats.org/officeDocument/2006/relationships" ref="F68" display="https://www.xingtu.cn/ad/creator/author-homepage/douyin-video/709719028921094964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33"/>
    <hyperlink xmlns:r="http://schemas.openxmlformats.org/officeDocument/2006/relationships" ref="G68" display="https://www.douyin.com/user/MS4wLjABAAAA6BqFdHOUc8e18q8Q34HN9fecXBHAqAfBPH-EsDnU2HsOSRBaeCJI_tbCEfcnWiUv" r:id="rId134"/>
    <hyperlink xmlns:r="http://schemas.openxmlformats.org/officeDocument/2006/relationships" ref="F69" display="https://www.xingtu.cn/ad/creator/author-homepage/douyin-video/71122850907716321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35"/>
    <hyperlink xmlns:r="http://schemas.openxmlformats.org/officeDocument/2006/relationships" ref="G69" display="https://www.douyin.com/user/MS4wLjABAAAA4dJG07hpopuuI-1_1N3BJyqE7iVxNObK2j3bDy-GOnMzF-Dv9vFa0Xig08PnIOUa" r:id="rId136"/>
    <hyperlink xmlns:r="http://schemas.openxmlformats.org/officeDocument/2006/relationships" ref="F70" display="https://www.xingtu.cn/ad/creator/author-homepage/douyin-video/736867799724038557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37"/>
    <hyperlink xmlns:r="http://schemas.openxmlformats.org/officeDocument/2006/relationships" ref="G70" display="https://www.douyin.com/user/MS4wLjABAAAA3Bd0BFA-N9Mq2j1VkaWBQDRa0gxM-KUADksFVHO3TlRGzOYd0eYlATGyaOVZV1Qs" r:id="rId138"/>
    <hyperlink xmlns:r="http://schemas.openxmlformats.org/officeDocument/2006/relationships" ref="F71" display="https://www.xingtu.cn/ad/creator/author-homepage/douyin-video/6975029214730797092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39"/>
    <hyperlink xmlns:r="http://schemas.openxmlformats.org/officeDocument/2006/relationships" ref="G71" display="https://www.douyin.com/user/MS4wLjABAAAArBQjifVIApFCpbCRzox0itAoGmTW8fuf1bPG2w0wuPU" r:id="rId140"/>
    <hyperlink xmlns:r="http://schemas.openxmlformats.org/officeDocument/2006/relationships" ref="F72" display="https://www.xingtu.cn/ad/creator/author-homepage/douyin-video/6903436933326700557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41"/>
    <hyperlink xmlns:r="http://schemas.openxmlformats.org/officeDocument/2006/relationships" ref="G72" display="https://www.douyin.com/user/MS4wLjABAAAAl1nH_O01W8kaBQ1okDYyuhyTfMHMZ3t6TsT7BwHaSHs" r:id="rId142"/>
    <hyperlink xmlns:r="http://schemas.openxmlformats.org/officeDocument/2006/relationships" ref="F73" display="https://www.xingtu.cn/ad/creator/author-homepage/douyin-video/710234640732703951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43"/>
    <hyperlink xmlns:r="http://schemas.openxmlformats.org/officeDocument/2006/relationships" ref="G73" display="https://www.douyin.com/user/MS4wLjABAAAACysJhWgm02MSQGb3mANVDlC523Cbl4imV8RualLlxRs" r:id="rId144"/>
    <hyperlink xmlns:r="http://schemas.openxmlformats.org/officeDocument/2006/relationships" ref="F74" display="https://www.xingtu.cn/ad/creator/author-homepage/douyin-video/7051590481691541535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45"/>
    <hyperlink xmlns:r="http://schemas.openxmlformats.org/officeDocument/2006/relationships" ref="G74" display="https://www.douyin.com/user/MS4wLjABAAAAKodHRmKPD1xCEN2HYwE9cfIRR5m9Zum1vr9BQc3JPE0" r:id="rId146"/>
    <hyperlink xmlns:r="http://schemas.openxmlformats.org/officeDocument/2006/relationships" ref="F75" display="https://www.xingtu.cn/ad/creator/author-homepage/douyin-video/671838747971341517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47"/>
    <hyperlink xmlns:r="http://schemas.openxmlformats.org/officeDocument/2006/relationships" ref="G75" display="https://www.douyin.com/user/MS4wLjABAAAAqJ-lpW-0FPTC7AnyN4p4PpNmaVVrUXp_oGWio1UpGgk" r:id="rId148"/>
    <hyperlink xmlns:r="http://schemas.openxmlformats.org/officeDocument/2006/relationships" ref="F76" display="https://www.xingtu.cn/ad/creator/author-homepage/douyin-video/7516330806915104778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49"/>
    <hyperlink xmlns:r="http://schemas.openxmlformats.org/officeDocument/2006/relationships" ref="G76" display="https://www.douyin.com/user/MS4wLjABAAAAPj9isobKGt260zcoHrOfZdqg2wE4aLanFC0-O1PtjjvrpOXMwk9bqEKtfrCvPG8D" r:id="rId150"/>
    <hyperlink xmlns:r="http://schemas.openxmlformats.org/officeDocument/2006/relationships" ref="F77" display="https://www.xingtu.cn/ad/creator/author-homepage/douyin-video/7166153743216410654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51"/>
    <hyperlink xmlns:r="http://schemas.openxmlformats.org/officeDocument/2006/relationships" ref="G77" display="https://www.douyin.com/user/MS4wLjABAAAAFRQ_306Qyt66b1iA4lDV7iQ6lK79s04fT_t2arL8fAc" r:id="rId152"/>
    <hyperlink xmlns:r="http://schemas.openxmlformats.org/officeDocument/2006/relationships" ref="F78" display="https://www.xingtu.cn/ad/creator/author-homepage/douyin-video/7386664604522250277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53"/>
    <hyperlink xmlns:r="http://schemas.openxmlformats.org/officeDocument/2006/relationships" ref="G78" display="https://www.douyin.com/user/MS4wLjABAAAAItmUAwg49vsYoDYmZHiREz5XTEvrookJtLDx5UCIBh4" r:id="rId154"/>
    <hyperlink xmlns:r="http://schemas.openxmlformats.org/officeDocument/2006/relationships" ref="F79" display="https://www.xingtu.cn/ad/creator/author-homepage/douyin-video/710160180888731649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55"/>
    <hyperlink xmlns:r="http://schemas.openxmlformats.org/officeDocument/2006/relationships" ref="G79" display="https://www.douyin.com/user/MS4wLjABAAAAeVS99pY9RTtAM8E26oJaiaer0OupMOC2uzdCJX7QvZlBUtviRhgrUiJwxrmA83Jb" r:id="rId156"/>
    <hyperlink xmlns:r="http://schemas.openxmlformats.org/officeDocument/2006/relationships" ref="F80" display="https://www.xingtu.cn/ad/creator/author-homepage/douyin-video/743815178304775787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57"/>
    <hyperlink xmlns:r="http://schemas.openxmlformats.org/officeDocument/2006/relationships" ref="G80" display="https://www.douyin.com/user/MS4wLjABAAAA1l1kLmY-Bylf42-gzck7-18_wiU9x_gdB8kpkiWVuek" r:id="rId158"/>
    <hyperlink xmlns:r="http://schemas.openxmlformats.org/officeDocument/2006/relationships" ref="F81" display="https://www.xingtu.cn/ad/creator/author-homepage/douyin-video/717736992940492391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59"/>
    <hyperlink xmlns:r="http://schemas.openxmlformats.org/officeDocument/2006/relationships" ref="G81" display="https://www.douyin.com/user/MS4wLjABAAAAFlvjr183luaBpUJzpUfUnlA9CG5QBhq08xlT9hS04KWP92M_xm3g_Ws2hgsjV3DS" r:id="rId160"/>
    <hyperlink xmlns:r="http://schemas.openxmlformats.org/officeDocument/2006/relationships" ref="F82" display="https://www.xingtu.cn/ad/creator/author-homepage/douyin-video/716912265425793844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61"/>
    <hyperlink xmlns:r="http://schemas.openxmlformats.org/officeDocument/2006/relationships" ref="G82" display="https://www.douyin.com/user/MS4wLjABAAAAhPjSiDu1UrW6CK1nU94sTmvdZO5uwBPWBPphdB4ggrqPutoK0_sUoYywA4UTE1dr" r:id="rId162"/>
    <hyperlink xmlns:r="http://schemas.openxmlformats.org/officeDocument/2006/relationships" ref="F83" display="https://www.xingtu.cn/ad/creator/author-homepage/douyin-video/6953908336605528078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63"/>
    <hyperlink xmlns:r="http://schemas.openxmlformats.org/officeDocument/2006/relationships" ref="G83" display="https://www.douyin.com/user/MS4wLjABAAAAl8bmrQX5okuEyhWpH-uemqY1L99oi3th4bzKzn1fepNHa1RcmdFgC6DkoAfn_x4r" r:id="rId164"/>
    <hyperlink xmlns:r="http://schemas.openxmlformats.org/officeDocument/2006/relationships" ref="F84" display="https://www.xingtu.cn/ad/creator/author-homepage/douyin-video/7232660134227345466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65"/>
    <hyperlink xmlns:r="http://schemas.openxmlformats.org/officeDocument/2006/relationships" ref="G84" display="https://www.douyin.com/user/MS4wLjABAAAAT2kqbKqV3hr9Hr3swJsWxn4O0cszaSIoq-Fc2grdmhwW17i64GxUyuyQzUeZ382N" r:id="rId166"/>
    <hyperlink xmlns:r="http://schemas.openxmlformats.org/officeDocument/2006/relationships" ref="F85" display="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67"/>
    <hyperlink xmlns:r="http://schemas.openxmlformats.org/officeDocument/2006/relationships" ref="G85" display="https://www.douyin.com/user/MS4wLjABAAAAiasGnaKzVxvCo6q2kkmHBGObqeALct9AIsU7zFS4vwIK40aQptct-PA271yHUuK3" r:id="rId168"/>
    <hyperlink xmlns:r="http://schemas.openxmlformats.org/officeDocument/2006/relationships" ref="F86" display="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69"/>
    <hyperlink xmlns:r="http://schemas.openxmlformats.org/officeDocument/2006/relationships" ref="G86" display="https://www.douyin.com/user/MS4wLjABAAAAGcpMHomCsOaw3rSLUcJLlMesmGa8bM8Pnn7-GEag8Ho" r:id="rId170"/>
    <hyperlink xmlns:r="http://schemas.openxmlformats.org/officeDocument/2006/relationships" ref="F87" display="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71"/>
    <hyperlink xmlns:r="http://schemas.openxmlformats.org/officeDocument/2006/relationships" ref="G87" display="https://www.douyin.com/user/MS4wLjABAAAAaBv-Slhw8gRA4gBaZKjPBjXrOoLNp-1aTu0aa2Q2pr3fwv7qallZbE_ggWui6wVC" r:id="rId172"/>
    <hyperlink xmlns:r="http://schemas.openxmlformats.org/officeDocument/2006/relationships" ref="F88" display="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73"/>
    <hyperlink xmlns:r="http://schemas.openxmlformats.org/officeDocument/2006/relationships" ref="G88" display="https://www.douyin.com/user/MS4wLjABAAAAeujvFrHErVApBwWnMbaOWCpchN7nhTiYTx1lYQSrJS0" r:id="rId174"/>
    <hyperlink xmlns:r="http://schemas.openxmlformats.org/officeDocument/2006/relationships" ref="F89" display="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75"/>
    <hyperlink xmlns:r="http://schemas.openxmlformats.org/officeDocument/2006/relationships" ref="G89" display="https://www.douyin.com/user/MS4wLjABAAAAvCQ3UPzvZo_oZ1dueUr0JZJ8KbiIw898KBiIPmKPZBVEejz_cH2m9UUIXFDUwpgv" r:id="rId176"/>
    <hyperlink xmlns:r="http://schemas.openxmlformats.org/officeDocument/2006/relationships" ref="F90" display="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77"/>
    <hyperlink xmlns:r="http://schemas.openxmlformats.org/officeDocument/2006/relationships" ref="G90" display="https://www.douyin.com/user/MS4wLjABAAAAehyYEyIY5fCDzKrA6UYOfQRTrM0x-OphgqQeLPYPrZO0GNFdniicjmgjv2P0lSDf" r:id="rId178"/>
    <hyperlink xmlns:r="http://schemas.openxmlformats.org/officeDocument/2006/relationships" ref="F91" display="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79"/>
    <hyperlink xmlns:r="http://schemas.openxmlformats.org/officeDocument/2006/relationships" ref="G91" display="https://www.douyin.com/user/MS4wLjABAAAAo7PjTv9bm3Jrkg_IQfnmILZWeJ28UXnabzAGdHTT3P0" r:id="rId180"/>
    <hyperlink xmlns:r="http://schemas.openxmlformats.org/officeDocument/2006/relationships" ref="F92" display="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81"/>
    <hyperlink xmlns:r="http://schemas.openxmlformats.org/officeDocument/2006/relationships" ref="G92" display="https://www.douyin.com/user/MS4wLjABAAAAro3IXXwEj0PlkffN16rVJOZvvcogQBzVbmgsyW15MFk4j8G6_nhbC9gN9844kol3" r:id="rId182"/>
    <hyperlink xmlns:r="http://schemas.openxmlformats.org/officeDocument/2006/relationships" ref="F93" display="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83"/>
    <hyperlink xmlns:r="http://schemas.openxmlformats.org/officeDocument/2006/relationships" ref="G93" display="https://www.douyin.com/user/MS4wLjABAAAAWc3nS-6KGZWXVv3p07kN3_QAFiGAF6qnOkUC8ZTt6u3UKnfRseHlljNTGqEbbmdo" r:id="rId184"/>
    <hyperlink xmlns:r="http://schemas.openxmlformats.org/officeDocument/2006/relationships" ref="F94" display="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85"/>
    <hyperlink xmlns:r="http://schemas.openxmlformats.org/officeDocument/2006/relationships" ref="G94" display="https://www.douyin.com/user/MS4wLjABAAAA1QoL8gGA5gYg1gFdE2x1tmH64x_KMrKWEU44O2SfL00P6iqSlyaN7ii50mjBm9BZ" r:id="rId186"/>
    <hyperlink xmlns:r="http://schemas.openxmlformats.org/officeDocument/2006/relationships" ref="F95" display="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87"/>
    <hyperlink xmlns:r="http://schemas.openxmlformats.org/officeDocument/2006/relationships" ref="G95" display="https://www.douyin.com/user/MS4wLjABAAAA7FjNVEf8z5gxkB82udOCa58XyTO6GdNNLmbrOWI2pS8mLAWNX221nM1-E1WQIy0g" r:id="rId188"/>
    <hyperlink xmlns:r="http://schemas.openxmlformats.org/officeDocument/2006/relationships" ref="F96" display="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89"/>
    <hyperlink xmlns:r="http://schemas.openxmlformats.org/officeDocument/2006/relationships" ref="G96" display="https://www.douyin.com/user/MS4wLjABAAAAjAjrHGq2hWrjk_vRw2GDq6w1qlzajRxSe4rCQk8UjSw" r:id="rId190"/>
    <hyperlink xmlns:r="http://schemas.openxmlformats.org/officeDocument/2006/relationships" ref="F97" display="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91"/>
    <hyperlink xmlns:r="http://schemas.openxmlformats.org/officeDocument/2006/relationships" ref="G97" display="https://www.douyin.com/user/MS4wLjABAAAARaPhWc-Kwcl6pnilAVPWOuE8obpflGtaaWPUTzgw-qDm4B8ZKlM6uFWjtv8qq9eo" r:id="rId192"/>
    <hyperlink xmlns:r="http://schemas.openxmlformats.org/officeDocument/2006/relationships" ref="F98" display="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93"/>
    <hyperlink xmlns:r="http://schemas.openxmlformats.org/officeDocument/2006/relationships" ref="G98" display="https://www.douyin.com/user/MS4wLjABAAAAlG_J3aJhO4QbezgrM70zGTG1hDgK85JHvpEak_jUCQ8NrY7rZvxm7d8_uAjhMftI" r:id="rId194"/>
    <hyperlink xmlns:r="http://schemas.openxmlformats.org/officeDocument/2006/relationships" ref="F99" display="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95"/>
    <hyperlink xmlns:r="http://schemas.openxmlformats.org/officeDocument/2006/relationships" ref="G99" display="https://www.douyin.com/user/MS4wLjABAAAAYFvJRLsyu6AhywpWYsph-Rw1rSrJLB78ykNjWVeHpEGaBOtQS8TCYRXBeTwiDjdN" r:id="rId196"/>
    <hyperlink xmlns:r="http://schemas.openxmlformats.org/officeDocument/2006/relationships" ref="F100" display="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97"/>
    <hyperlink xmlns:r="http://schemas.openxmlformats.org/officeDocument/2006/relationships" ref="G100" display="https://www.douyin.com/user/MS4wLjABAAAARWUCACxbDI5qtAomnpH9LIsNilufdxlO1HSn98dUnC3GGjvmdnaRjzO6AQjYi0fy" r:id="rId198"/>
    <hyperlink xmlns:r="http://schemas.openxmlformats.org/officeDocument/2006/relationships" ref="F101" display="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99"/>
    <hyperlink xmlns:r="http://schemas.openxmlformats.org/officeDocument/2006/relationships" ref="G101" display="https://www.douyin.com/user/MS4wLjABAAAA4QQwlBex1Ys8ecn4uMQQXUC91UXbVVaybEAtUcklN7F2FoCWWcwpc7UeS7apzGzO" r:id="rId200"/>
    <hyperlink xmlns:r="http://schemas.openxmlformats.org/officeDocument/2006/relationships" ref="F102" display="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01"/>
    <hyperlink xmlns:r="http://schemas.openxmlformats.org/officeDocument/2006/relationships" ref="G102" display="https://www.douyin.com/user/MS4wLjABAAAAQSfrs08nxcnMz_Tn2oY_csbLf27KQG7SNvXkPncqAu4" r:id="rId202"/>
    <hyperlink xmlns:r="http://schemas.openxmlformats.org/officeDocument/2006/relationships" ref="F103" display="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03"/>
    <hyperlink xmlns:r="http://schemas.openxmlformats.org/officeDocument/2006/relationships" ref="G103" display="https://www.douyin.com/user/MS4wLjABAAAAb4TX_Bd3mV0oSr0Js_E5_0E-uTv7-0RC-P4j_uY2tQZ0FH8N8nwW-7HqQ-W61kAE" r:id="rId204"/>
    <hyperlink xmlns:r="http://schemas.openxmlformats.org/officeDocument/2006/relationships" ref="F104" display="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05"/>
    <hyperlink xmlns:r="http://schemas.openxmlformats.org/officeDocument/2006/relationships" ref="G104" display="https://www.douyin.com/user/MS4wLjABAAAA96kGeh_tk7Q3poLkvWh3YMCoPhOYMtm9IqvmJvYKecM" r:id="rId206"/>
    <hyperlink xmlns:r="http://schemas.openxmlformats.org/officeDocument/2006/relationships" ref="F105" display="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07"/>
    <hyperlink xmlns:r="http://schemas.openxmlformats.org/officeDocument/2006/relationships" ref="G105" display="https://www.douyin.com/user/MS4wLjABAAAAGSfOLN3atCadTvzhyK1aKWKvLc7JKkcCnzDNalEDAYY" r:id="rId208"/>
    <hyperlink xmlns:r="http://schemas.openxmlformats.org/officeDocument/2006/relationships" ref="F106" display="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09"/>
    <hyperlink xmlns:r="http://schemas.openxmlformats.org/officeDocument/2006/relationships" ref="G106" display="https://www.douyin.com/user/MS4wLjABAAAA56pI6Fc1j_vzlFlovLX-o2mN_PDa2YAzqkKqFcBtrqE" r:id="rId210"/>
    <hyperlink xmlns:r="http://schemas.openxmlformats.org/officeDocument/2006/relationships" ref="F107" display="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11"/>
    <hyperlink xmlns:r="http://schemas.openxmlformats.org/officeDocument/2006/relationships" ref="G107" display="https://www.douyin.com/user/MS4wLjABAAAAIFj1JP9UPWhs18VcYR0GWnoaG0_3IuysonhEak_y-E9sMIancFJvxAv5ouUg-AfN" r:id="rId212"/>
    <hyperlink xmlns:r="http://schemas.openxmlformats.org/officeDocument/2006/relationships" ref="F108" display="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13"/>
    <hyperlink xmlns:r="http://schemas.openxmlformats.org/officeDocument/2006/relationships" ref="G108" display="https://www.douyin.com/user/MS4wLjABAAAAvMzo5DHeab4vClwkiRPecybLlCNTAz0iNhbiWryUF88" r:id="rId214"/>
    <hyperlink xmlns:r="http://schemas.openxmlformats.org/officeDocument/2006/relationships" ref="F109" display="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15"/>
    <hyperlink xmlns:r="http://schemas.openxmlformats.org/officeDocument/2006/relationships" ref="G109" display="https://www.douyin.com/user/MS4wLjABAAAA7FjNVEf8z5gxkB82udOCa58XyTO6GdNNLmbrOWI2pS8mLAWNX221nM1-E1WQIy0g" r:id="rId216"/>
    <hyperlink xmlns:r="http://schemas.openxmlformats.org/officeDocument/2006/relationships" ref="F110" display="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17"/>
    <hyperlink xmlns:r="http://schemas.openxmlformats.org/officeDocument/2006/relationships" ref="G110" display="https://www.douyin.com/user/MS4wLjABAAAAjAjrHGq2hWrjk_vRw2GDq6w1qlzajRxSe4rCQk8UjSw" r:id="rId218"/>
    <hyperlink xmlns:r="http://schemas.openxmlformats.org/officeDocument/2006/relationships" ref="F111" display="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19"/>
    <hyperlink xmlns:r="http://schemas.openxmlformats.org/officeDocument/2006/relationships" ref="G111" display="https://www.douyin.com/user/MS4wLjABAAAARaPhWc-Kwcl6pnilAVPWOuE8obpflGtaaWPUTzgw-qDm4B8ZKlM6uFWjtv8qq9eo" r:id="rId220"/>
    <hyperlink xmlns:r="http://schemas.openxmlformats.org/officeDocument/2006/relationships" ref="F112" display="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21"/>
    <hyperlink xmlns:r="http://schemas.openxmlformats.org/officeDocument/2006/relationships" ref="G112" display="https://www.douyin.com/user/MS4wLjABAAAAlG_J3aJhO4QbezgrM70zGTG1hDgK85JHvpEak_jUCQ8NrY7rZvxm7d8_uAjhMftI" r:id="rId222"/>
    <hyperlink xmlns:r="http://schemas.openxmlformats.org/officeDocument/2006/relationships" ref="F113" display="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23"/>
    <hyperlink xmlns:r="http://schemas.openxmlformats.org/officeDocument/2006/relationships" ref="G113" display="https://www.douyin.com/user/MS4wLjABAAAAYFvJRLsyu6AhywpWYsph-Rw1rSrJLB78ykNjWVeHpEGaBOtQS8TCYRXBeTwiDjdN" r:id="rId224"/>
    <hyperlink xmlns:r="http://schemas.openxmlformats.org/officeDocument/2006/relationships" ref="F114" display="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25"/>
    <hyperlink xmlns:r="http://schemas.openxmlformats.org/officeDocument/2006/relationships" ref="G114" display="https://www.douyin.com/user/MS4wLjABAAAARWUCACxbDI5qtAomnpH9LIsNilufdxlO1HSn98dUnC3GGjvmdnaRjzO6AQjYi0fy" r:id="rId226"/>
    <hyperlink xmlns:r="http://schemas.openxmlformats.org/officeDocument/2006/relationships" ref="F115" display="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27"/>
    <hyperlink xmlns:r="http://schemas.openxmlformats.org/officeDocument/2006/relationships" ref="G115" display="https://www.douyin.com/user/MS4wLjABAAAA4QQwlBex1Ys8ecn4uMQQXUC91UXbVVaybEAtUcklN7F2FoCWWcwpc7UeS7apzGzO" r:id="rId228"/>
    <hyperlink xmlns:r="http://schemas.openxmlformats.org/officeDocument/2006/relationships" ref="F116" display="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29"/>
    <hyperlink xmlns:r="http://schemas.openxmlformats.org/officeDocument/2006/relationships" ref="G116" display="https://www.douyin.com/user/MS4wLjABAAAAQSfrs08nxcnMz_Tn2oY_csbLf27KQG7SNvXkPncqAu4" r:id="rId230"/>
    <hyperlink xmlns:r="http://schemas.openxmlformats.org/officeDocument/2006/relationships" ref="F117" display="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31"/>
    <hyperlink xmlns:r="http://schemas.openxmlformats.org/officeDocument/2006/relationships" ref="G117" display="https://www.douyin.com/user/MS4wLjABAAAAb4TX_Bd3mV0oSr0Js_E5_0E-uTv7-0RC-P4j_uY2tQZ0FH8N8nwW-7HqQ-W61kAE" r:id="rId232"/>
    <hyperlink xmlns:r="http://schemas.openxmlformats.org/officeDocument/2006/relationships" ref="F118" display="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33"/>
    <hyperlink xmlns:r="http://schemas.openxmlformats.org/officeDocument/2006/relationships" ref="G118" display="https://www.douyin.com/user/MS4wLjABAAAA96kGeh_tk7Q3poLkvWh3YMCoPhOYMtm9IqvmJvYKecM" r:id="rId234"/>
    <hyperlink xmlns:r="http://schemas.openxmlformats.org/officeDocument/2006/relationships" ref="F119" display="https://www.xingtu.cn/ad/creator/author-homepage/douyin-video/7035744523242176549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35"/>
    <hyperlink xmlns:r="http://schemas.openxmlformats.org/officeDocument/2006/relationships" ref="G119" display="https://www.douyin.com/user/MS4wLjABAAAAg2eOy15_2q0GZtFYcV7HH8-O-6Hw8MyXsB4Crz9Efz8ONVL_Hs3z02gKbl-IH_Il" r:id="rId236"/>
    <hyperlink xmlns:r="http://schemas.openxmlformats.org/officeDocument/2006/relationships" ref="F120" display="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37"/>
    <hyperlink xmlns:r="http://schemas.openxmlformats.org/officeDocument/2006/relationships" ref="G120" display="https://www.douyin.com/user/MS4wLjABAAAAR-RzST7Zi939Bqvaht8OxAiDVxihQMmzfTHjmFiSD1CUw_i0GjIZ9HHg5YY4UhtC" r:id="rId238"/>
    <hyperlink xmlns:r="http://schemas.openxmlformats.org/officeDocument/2006/relationships" ref="F121" display="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39"/>
    <hyperlink xmlns:r="http://schemas.openxmlformats.org/officeDocument/2006/relationships" ref="G121" display="https://www.douyin.com/user/MS4wLjABAAAA3B98oxC-6sVFindB-anv7fqx3VeK9y0YMUOaZTSTXCQ" r:id="rId240"/>
    <hyperlink xmlns:r="http://schemas.openxmlformats.org/officeDocument/2006/relationships" ref="F122" display="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41"/>
    <hyperlink xmlns:r="http://schemas.openxmlformats.org/officeDocument/2006/relationships" ref="G122" display="https://www.douyin.com/user/MS4wLjABAAAAdt1mC-0cbgUuzgRiO2oTZF30rggcQkpyfKzW6IyQkyo" r:id="rId242"/>
    <hyperlink xmlns:r="http://schemas.openxmlformats.org/officeDocument/2006/relationships" ref="F123" display="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43"/>
    <hyperlink xmlns:r="http://schemas.openxmlformats.org/officeDocument/2006/relationships" ref="G123" display="https://www.douyin.com/user/MS4wLjABAAAAiasGnaKzVxvCo6q2kkmHBGObqeALct9AIsU7zFS4vwIK40aQptct-PA271yHUuK3" r:id="rId244"/>
    <hyperlink xmlns:r="http://schemas.openxmlformats.org/officeDocument/2006/relationships" ref="F124" display="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45"/>
    <hyperlink xmlns:r="http://schemas.openxmlformats.org/officeDocument/2006/relationships" ref="G124" display="https://www.douyin.com/user/MS4wLjABAAAAGcpMHomCsOaw3rSLUcJLlMesmGa8bM8Pnn7-GEag8Ho" r:id="rId246"/>
    <hyperlink xmlns:r="http://schemas.openxmlformats.org/officeDocument/2006/relationships" ref="F125" display="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47"/>
    <hyperlink xmlns:r="http://schemas.openxmlformats.org/officeDocument/2006/relationships" ref="G125" display="https://www.douyin.com/user/MS4wLjABAAAAaBv-Slhw8gRA4gBaZKjPBjXrOoLNp-1aTu0aa2Q2pr3fwv7qallZbE_ggWui6wVC" r:id="rId248"/>
    <hyperlink xmlns:r="http://schemas.openxmlformats.org/officeDocument/2006/relationships" ref="F126" display="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49"/>
    <hyperlink xmlns:r="http://schemas.openxmlformats.org/officeDocument/2006/relationships" ref="G126" display="https://www.douyin.com/user/MS4wLjABAAAAeujvFrHErVApBwWnMbaOWCpchN7nhTiYTx1lYQSrJS0" r:id="rId250"/>
    <hyperlink xmlns:r="http://schemas.openxmlformats.org/officeDocument/2006/relationships" ref="F127" display="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51"/>
    <hyperlink xmlns:r="http://schemas.openxmlformats.org/officeDocument/2006/relationships" ref="G127" display="https://www.douyin.com/user/MS4wLjABAAAAvCQ3UPzvZo_oZ1dueUr0JZJ8KbiIw898KBiIPmKPZBVEejz_cH2m9UUIXFDUwpgv" r:id="rId252"/>
    <hyperlink xmlns:r="http://schemas.openxmlformats.org/officeDocument/2006/relationships" ref="F128" display="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53"/>
    <hyperlink xmlns:r="http://schemas.openxmlformats.org/officeDocument/2006/relationships" ref="G128" display="https://www.douyin.com/user/MS4wLjABAAAAehyYEyIY5fCDzKrA6UYOfQRTrM0x-OphgqQeLPYPrZO0GNFdniicjmgjv2P0lSDf" r:id="rId254"/>
    <hyperlink xmlns:r="http://schemas.openxmlformats.org/officeDocument/2006/relationships" ref="F129" display="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55"/>
    <hyperlink xmlns:r="http://schemas.openxmlformats.org/officeDocument/2006/relationships" ref="G129" display="https://www.douyin.com/user/MS4wLjABAAAAo7PjTv9bm3Jrkg_IQfnmILZWeJ28UXnabzAGdHTT3P0" r:id="rId256"/>
    <hyperlink xmlns:r="http://schemas.openxmlformats.org/officeDocument/2006/relationships" ref="F130" display="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57"/>
    <hyperlink xmlns:r="http://schemas.openxmlformats.org/officeDocument/2006/relationships" ref="G130" display="https://www.douyin.com/user/MS4wLjABAAAAro3IXXwEj0PlkffN16rVJOZvvcogQBzVbmgsyW15MFk4j8G6_nhbC9gN9844kol3" r:id="rId258"/>
    <hyperlink xmlns:r="http://schemas.openxmlformats.org/officeDocument/2006/relationships" ref="F131" display="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59"/>
    <hyperlink xmlns:r="http://schemas.openxmlformats.org/officeDocument/2006/relationships" ref="G131" display="https://www.douyin.com/user/MS4wLjABAAAAWc3nS-6KGZWXVv3p07kN3_QAFiGAF6qnOkUC8ZTt6u3UKnfRseHlljNTGqEbbmdo" r:id="rId260"/>
    <hyperlink xmlns:r="http://schemas.openxmlformats.org/officeDocument/2006/relationships" ref="F132" display="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61"/>
    <hyperlink xmlns:r="http://schemas.openxmlformats.org/officeDocument/2006/relationships" ref="G132" display="https://www.douyin.com/user/MS4wLjABAAAA1QoL8gGA5gYg1gFdE2x1tmH64x_KMrKWEU44O2SfL00P6iqSlyaN7ii50mjBm9BZ" r:id="rId262"/>
    <hyperlink xmlns:r="http://schemas.openxmlformats.org/officeDocument/2006/relationships" ref="F133" display="https://www.xingtu.cn/ad/creator/author-homepage/douyin-video/6936895695462858765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63"/>
    <hyperlink xmlns:r="http://schemas.openxmlformats.org/officeDocument/2006/relationships" ref="G133" display="https://www.douyin.com/user/MS4wLjABAAAA1b0Koi6aWpUrTRe9a-Q2sKAF17ywhWXr718V5mjO6kQ" r:id="rId264"/>
    <hyperlink xmlns:r="http://schemas.openxmlformats.org/officeDocument/2006/relationships" ref="F134" display="https://www.xingtu.cn/ad/creator/author-homepage/douyin-video/6870167487103631373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65"/>
    <hyperlink xmlns:r="http://schemas.openxmlformats.org/officeDocument/2006/relationships" ref="G134" display="https://www.douyin.com/user/MS4wLjABAAAAfdScCCYIADFhMrxY20_am5vDMacinM4l869pieEVnfA" r:id="rId266"/>
    <hyperlink xmlns:r="http://schemas.openxmlformats.org/officeDocument/2006/relationships" ref="F135" display="https://www.xingtu.cn/ad/creator/author-homepage/douyin-video/7163573899223891981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67"/>
    <hyperlink xmlns:r="http://schemas.openxmlformats.org/officeDocument/2006/relationships" ref="G135" display="https://www.douyin.com/user/MS4wLjABAAAAADC6y84v-qR_ylWv1Por6cI6LQqxDPQXTjZ9ub4h8V8" r:id="rId268"/>
    <hyperlink xmlns:r="http://schemas.openxmlformats.org/officeDocument/2006/relationships" ref="F136" display="https://www.xingtu.cn/ad/creator/author-homepage/douyin-video/71798429233520312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69"/>
    <hyperlink xmlns:r="http://schemas.openxmlformats.org/officeDocument/2006/relationships" ref="G136" display="https://www.douyin.com/user/MS4wLjABAAAA1NYbSLT60252HQa_hxxvjJ4AQaXiJtBjw9rkPMWmjYk" r:id="rId270"/>
    <hyperlink xmlns:r="http://schemas.openxmlformats.org/officeDocument/2006/relationships" ref="F137" display="https://www.xingtu.cn/ad/creator/author-homepage/douyin-video/7079271554642608164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71"/>
    <hyperlink xmlns:r="http://schemas.openxmlformats.org/officeDocument/2006/relationships" ref="G137" display="https://www.douyin.com/user/MS4wLjABAAAAlIHLujpIQfNeDpO7L8FNX23hT0WARDrSIqbET9gMZuw" r:id="rId272"/>
    <hyperlink xmlns:r="http://schemas.openxmlformats.org/officeDocument/2006/relationships" ref="F138" display="https://www.xingtu.cn/ad/creator/author-homepage/douyin-video/70794346288717496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73"/>
    <hyperlink xmlns:r="http://schemas.openxmlformats.org/officeDocument/2006/relationships" ref="G138" display="https://www.douyin.com/user/MS4wLjABAAAAOCeLXHZOA_-wIKCwTo0OjFmLRYSU8qDwwlCIi0uqauvTWsAkBYysivau0a6BJVqt" r:id="rId274"/>
    <hyperlink xmlns:r="http://schemas.openxmlformats.org/officeDocument/2006/relationships" ref="F139" display="https://www.xingtu.cn/ad/creator/author-homepage/douyin-video/6860479696702799886?market_track_id=DBRU18NGRITOFQXZMU46&amp;search_session_id=7618173649791057947&amp;video_type=130&amp;_route_from=from_page%3DMarket%26search_session_id%3D7618173649791057947%26is_for_order%3D0%26market_track_id%3DDBRU18NGRITOFQXZMU46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75"/>
    <hyperlink xmlns:r="http://schemas.openxmlformats.org/officeDocument/2006/relationships" ref="G139" display="https://www.douyin.com/user/MS4wLjABAAAAzehJmM6M4NWpNg1LJsJ-VcLwLHcaqzWZgFcgERVE5vI" r:id="rId276"/>
    <hyperlink xmlns:r="http://schemas.openxmlformats.org/officeDocument/2006/relationships" ref="F140" display="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77"/>
    <hyperlink xmlns:r="http://schemas.openxmlformats.org/officeDocument/2006/relationships" ref="G140" display="https://www.douyin.com/user/MS4wLjABAAAAR-RzST7Zi939Bqvaht8OxAiDVxihQMmzfTHjmFiSD1CUw_i0GjIZ9HHg5YY4UhtC" r:id="rId278"/>
    <hyperlink xmlns:r="http://schemas.openxmlformats.org/officeDocument/2006/relationships" ref="F141" display="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79"/>
    <hyperlink xmlns:r="http://schemas.openxmlformats.org/officeDocument/2006/relationships" ref="G141" display="https://www.douyin.com/user/MS4wLjABAAAA3B98oxC-6sVFindB-anv7fqx3VeK9y0YMUOaZTSTXCQ" r:id="rId280"/>
    <hyperlink xmlns:r="http://schemas.openxmlformats.org/officeDocument/2006/relationships" ref="F142" display="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81"/>
    <hyperlink xmlns:r="http://schemas.openxmlformats.org/officeDocument/2006/relationships" ref="G142" display="https://www.douyin.com/user/MS4wLjABAAAAdt1mC-0cbgUuzgRiO2oTZF30rggcQkpyfKzW6IyQkyo" r:id="rId282"/>
    <hyperlink xmlns:r="http://schemas.openxmlformats.org/officeDocument/2006/relationships" ref="F143" display="https://www.xingtu.cn/ad/creator/author-homepage/douyin-video/7355134446237909002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83"/>
    <hyperlink xmlns:r="http://schemas.openxmlformats.org/officeDocument/2006/relationships" ref="G143" display="https://www.douyin.com/user/MS4wLjABAAAA1We65DDTDZFB28bcwuQD-tyJnqs0w2FN7qG3EwaWhAP92HGT9KutpijLpGjMw83c" r:id="rId284"/>
    <hyperlink xmlns:r="http://schemas.openxmlformats.org/officeDocument/2006/relationships" ref="F144" display="https://www.xingtu.cn/ad/creator/author-homepage/douyin-video/7345740580552441906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85"/>
    <hyperlink xmlns:r="http://schemas.openxmlformats.org/officeDocument/2006/relationships" ref="G144" display="https://www.douyin.com/user/MS4wLjABAAAAo3EgYKq_KEGZ9Rte7p0SRpBAYhaxPhuMgiBabZqT1w4" r:id="rId286"/>
    <hyperlink xmlns:r="http://schemas.openxmlformats.org/officeDocument/2006/relationships" ref="F145" display="https://www.xingtu.cn/ad/creator/author-homepage/douyin-video/7446458420263125004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87"/>
    <hyperlink xmlns:r="http://schemas.openxmlformats.org/officeDocument/2006/relationships" ref="G145" display="https://www.douyin.com/user/MS4wLjABAAAAHGYCd81EFa0mM_Gl5Rl72eHGH0QL_tCKcVUJePpkX5pc5bndzloI76UnNMsH-fn2" r:id="rId288"/>
    <hyperlink xmlns:r="http://schemas.openxmlformats.org/officeDocument/2006/relationships" ref="F146" display="https://www.xingtu.cn/ad/creator/author/douyin/7107482096947429406/11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89"/>
    <hyperlink xmlns:r="http://schemas.openxmlformats.org/officeDocument/2006/relationships" ref="G146" display="https://www.douyin.com/user/MS4wLjABAAAAONvI77LIfeh31rrxkJvtBmHxKbUI45r6-9-Dn0FB62k" r:id="rId290"/>
    <hyperlink xmlns:r="http://schemas.openxmlformats.org/officeDocument/2006/relationships" ref="F147" display="https://www.xingtu.cn/ad/creator/author-homepage/douyin-video/7401073871819898918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91"/>
    <hyperlink xmlns:r="http://schemas.openxmlformats.org/officeDocument/2006/relationships" ref="G147" display="https://www.douyin.com/user/MS4wLjABAAAACZHjNjHw1069DCZnm5sTbSwT0RL3pugEtX24fUkSBVcfcFz5ait8auC1GizEN3FG" r:id="rId292"/>
    <hyperlink xmlns:r="http://schemas.openxmlformats.org/officeDocument/2006/relationships" ref="F148" display="https://www.xingtu.cn/ad/creator/author-homepage/douyin-video/7298177404168732726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93"/>
    <hyperlink xmlns:r="http://schemas.openxmlformats.org/officeDocument/2006/relationships" ref="G148" display="https://www.douyin.com/user/MS4wLjABAAAAKgXeA5LsUv7Q_I2TgY2hZHORjKYx8qm34WpVOnwy3vE" r:id="rId294"/>
    <hyperlink xmlns:r="http://schemas.openxmlformats.org/officeDocument/2006/relationships" ref="F149" display="https://www.xingtu.cn/ad/creator/author-homepage/douyin-video/7028513962337665036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95"/>
    <hyperlink xmlns:r="http://schemas.openxmlformats.org/officeDocument/2006/relationships" ref="G149" display="https://www.douyin.com/user/MS4wLjABAAAA4jfdfN-5imjw-gFG-o-b1jC5kpl7vGIvyS-sw_K9kaZi2xs4-DDNFT_B0xmfH6sU" r:id="rId296"/>
    <hyperlink xmlns:r="http://schemas.openxmlformats.org/officeDocument/2006/relationships" ref="F150" display="https://www.xingtu.cn/ad/creator/author-homepage/douyin-video/7110252799065079839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97"/>
    <hyperlink xmlns:r="http://schemas.openxmlformats.org/officeDocument/2006/relationships" ref="G150" display="https://www.douyin.com/user/MS4wLjABAAAAL9La_SSqpddVHybjls_uLUZHgQRbT4Wm1m8YGYU2cZfkAMNMt2g2BIIKihG4NAHl" r:id="rId298"/>
    <hyperlink xmlns:r="http://schemas.openxmlformats.org/officeDocument/2006/relationships" ref="F151" display="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99"/>
    <hyperlink xmlns:r="http://schemas.openxmlformats.org/officeDocument/2006/relationships" ref="G151" display="https://www.douyin.com/user/MS4wLjABAAAAGSfOLN3atCadTvzhyK1aKWKvLc7JKkcCnzDNalEDAYY" r:id="rId300"/>
    <hyperlink xmlns:r="http://schemas.openxmlformats.org/officeDocument/2006/relationships" ref="F152" display="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301"/>
    <hyperlink xmlns:r="http://schemas.openxmlformats.org/officeDocument/2006/relationships" ref="G152" display="https://www.douyin.com/user/MS4wLjABAAAA56pI6Fc1j_vzlFlovLX-o2mN_PDa2YAzqkKqFcBtrqE" r:id="rId302"/>
    <hyperlink xmlns:r="http://schemas.openxmlformats.org/officeDocument/2006/relationships" ref="F153" display="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303"/>
    <hyperlink xmlns:r="http://schemas.openxmlformats.org/officeDocument/2006/relationships" ref="G153" display="https://www.douyin.com/user/MS4wLjABAAAAIFj1JP9UPWhs18VcYR0GWnoaG0_3IuysonhEak_y-E9sMIancFJvxAv5ouUg-AfN" r:id="rId304"/>
    <hyperlink xmlns:r="http://schemas.openxmlformats.org/officeDocument/2006/relationships" ref="F154" display="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305"/>
    <hyperlink xmlns:r="http://schemas.openxmlformats.org/officeDocument/2006/relationships" ref="G154" display="https://www.douyin.com/user/MS4wLjABAAAAvMzo5DHeab4vClwkiRPecybLlCNTAz0iNhbiWryUF88" r:id="rId30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200"/>
  <sheetViews>
    <sheetView workbookViewId="0">
      <selection activeCell="A1" sqref="A1"/>
    </sheetView>
  </sheetViews>
  <sheetFormatPr baseColWidth="8" defaultColWidth="14" defaultRowHeight="12.75"/>
  <cols>
    <col width="8" customWidth="1" style="151" min="1" max="2"/>
    <col width="14" customWidth="1" style="151" min="12" max="12"/>
  </cols>
  <sheetData>
    <row r="1" ht="24.75" customHeight="1" s="151">
      <c r="A1" s="1" t="inlineStr">
        <is>
          <t>合作月份</t>
        </is>
      </c>
      <c r="B1" s="1" t="inlineStr">
        <is>
          <t>序号</t>
        </is>
      </c>
      <c r="C1" s="1" t="inlineStr">
        <is>
          <t>达人量级</t>
        </is>
      </c>
      <c r="D1" s="1" t="inlineStr">
        <is>
          <t>小红书昵称</t>
        </is>
      </c>
      <c r="E1" s="2" t="inlineStr">
        <is>
          <t>主页链接</t>
        </is>
      </c>
      <c r="F1" s="1" t="inlineStr">
        <is>
          <t>粉丝数
（w）</t>
        </is>
      </c>
      <c r="G1" s="1" t="inlineStr">
        <is>
          <t>赞藏数
(w)</t>
        </is>
      </c>
      <c r="H1" s="1" t="inlineStr">
        <is>
          <t>达人类型</t>
        </is>
      </c>
      <c r="I1" s="3" t="inlineStr">
        <is>
          <t>是否接</t>
        </is>
      </c>
      <c r="J1" s="3" t="inlineStr">
        <is>
          <t>档期</t>
        </is>
      </c>
      <c r="K1" s="3" t="inlineStr">
        <is>
          <t>情况</t>
        </is>
      </c>
      <c r="L1" s="4" t="inlineStr">
        <is>
          <t>形式</t>
        </is>
      </c>
      <c r="M1" s="4" t="inlineStr">
        <is>
          <t>价格</t>
        </is>
      </c>
      <c r="N1" s="4" t="inlineStr">
        <is>
          <t>含平台服务费</t>
        </is>
      </c>
    </row>
    <row r="2">
      <c r="A2" s="5" t="inlineStr">
        <is>
          <t>3月</t>
        </is>
      </c>
      <c r="B2" s="5" t="n">
        <v>1</v>
      </c>
      <c r="C2" s="5" t="inlineStr">
        <is>
          <t>尾部</t>
        </is>
      </c>
      <c r="D2" s="5" t="inlineStr">
        <is>
          <t>小猫装修日记</t>
        </is>
      </c>
      <c r="E2" s="6" t="inlineStr">
        <is>
          <t>https://www.xiaohongshu.com/user/profile/60d3e88e0000000001001254</t>
        </is>
      </c>
      <c r="F2" s="5" t="inlineStr">
        <is>
          <t>5.7w</t>
        </is>
      </c>
      <c r="G2" s="5" t="inlineStr">
        <is>
          <t>38.1w</t>
        </is>
      </c>
      <c r="H2" s="5" t="inlineStr">
        <is>
          <t>家居家装/测评</t>
        </is>
      </c>
      <c r="I2" s="5" t="inlineStr">
        <is>
          <t>是</t>
        </is>
      </c>
      <c r="J2" s="5" t="inlineStr">
        <is>
          <t>2026/3/10之前</t>
        </is>
      </c>
      <c r="K2" s="5" t="inlineStr">
        <is>
          <t>抠图</t>
        </is>
      </c>
      <c r="L2" s="7" t="inlineStr">
        <is>
          <t>图文</t>
        </is>
      </c>
      <c r="M2" s="7" t="n">
        <v>5000</v>
      </c>
      <c r="N2" s="0">
        <f>M2*1.1</f>
        <v/>
      </c>
    </row>
    <row r="3">
      <c r="A3" s="5" t="inlineStr">
        <is>
          <t>3月</t>
        </is>
      </c>
      <c r="B3" s="5" t="n">
        <v>2</v>
      </c>
      <c r="C3" s="5" t="inlineStr">
        <is>
          <t>尾部</t>
        </is>
      </c>
      <c r="D3" s="5" t="inlineStr">
        <is>
          <t>生活家七月</t>
        </is>
      </c>
      <c r="E3" s="6" t="inlineStr">
        <is>
          <t>https://www.xiaohongshu.com/user/profile/664a0a58000000000b0324a6</t>
        </is>
      </c>
      <c r="F3" s="5" t="inlineStr">
        <is>
          <t>1.3w</t>
        </is>
      </c>
      <c r="G3" s="5" t="inlineStr">
        <is>
          <t>5.4w</t>
        </is>
      </c>
      <c r="H3" s="5" t="inlineStr">
        <is>
          <t>家居家装/测评</t>
        </is>
      </c>
      <c r="I3" s="5" t="inlineStr">
        <is>
          <t>是</t>
        </is>
      </c>
      <c r="J3" s="8" t="n">
        <v>46091</v>
      </c>
      <c r="K3" s="5" t="inlineStr">
        <is>
          <t>抠图</t>
        </is>
      </c>
      <c r="L3" s="7" t="inlineStr">
        <is>
          <t>图文</t>
        </is>
      </c>
      <c r="M3" s="7" t="n">
        <v>2500</v>
      </c>
      <c r="N3" s="0">
        <f>M3*1.1</f>
        <v/>
      </c>
    </row>
    <row r="4">
      <c r="A4" s="5" t="inlineStr">
        <is>
          <t>3月</t>
        </is>
      </c>
      <c r="B4" s="5" t="n">
        <v>3</v>
      </c>
      <c r="C4" s="5" t="inlineStr">
        <is>
          <t>尾部</t>
        </is>
      </c>
      <c r="D4" s="5" t="inlineStr">
        <is>
          <t>佳佳宅家</t>
        </is>
      </c>
      <c r="E4" s="6" t="inlineStr">
        <is>
          <t>https://www.xiaohongshu.com/user/profile/66640d2b0000000007004955</t>
        </is>
      </c>
      <c r="F4" s="5" t="inlineStr">
        <is>
          <t>3.4w</t>
        </is>
      </c>
      <c r="G4" s="5" t="inlineStr">
        <is>
          <t>18.2w</t>
        </is>
      </c>
      <c r="H4" s="5" t="inlineStr">
        <is>
          <t>家居家装/测评</t>
        </is>
      </c>
      <c r="I4" s="5" t="inlineStr">
        <is>
          <t>是</t>
        </is>
      </c>
      <c r="J4" s="5" t="inlineStr">
        <is>
          <t xml:space="preserve">可以不寄产品 </t>
        </is>
      </c>
      <c r="K4" s="5" t="inlineStr">
        <is>
          <t>抠图</t>
        </is>
      </c>
      <c r="L4" s="7" t="inlineStr">
        <is>
          <t>图文</t>
        </is>
      </c>
      <c r="M4" s="7" t="n">
        <v>2500</v>
      </c>
      <c r="N4" s="0">
        <f>M4*1.1</f>
        <v/>
      </c>
    </row>
    <row r="5">
      <c r="A5" s="5" t="inlineStr">
        <is>
          <t>3月</t>
        </is>
      </c>
      <c r="B5" s="5" t="n">
        <v>4</v>
      </c>
      <c r="C5" s="5" t="inlineStr">
        <is>
          <t>尾部</t>
        </is>
      </c>
      <c r="D5" s="5" t="inlineStr">
        <is>
          <t>Jamie图</t>
        </is>
      </c>
      <c r="E5" s="6" t="inlineStr">
        <is>
          <t>https://www.xiaohongshu.com/user/profile/5d2e7934000000001200a067</t>
        </is>
      </c>
      <c r="F5" s="5" t="inlineStr">
        <is>
          <t>5.2w</t>
        </is>
      </c>
      <c r="G5" s="5" t="inlineStr">
        <is>
          <t>164.4w</t>
        </is>
      </c>
      <c r="H5" s="5" t="inlineStr">
        <is>
          <t>家居家装</t>
        </is>
      </c>
      <c r="I5" s="5" t="inlineStr">
        <is>
          <t>是</t>
        </is>
      </c>
      <c r="J5" s="8" t="n">
        <v>46091</v>
      </c>
      <c r="K5" s="5" t="n"/>
      <c r="L5" s="7" t="inlineStr">
        <is>
          <t>图文</t>
        </is>
      </c>
      <c r="M5" s="7" t="n">
        <v>7900</v>
      </c>
      <c r="N5" s="0">
        <f>M5*1.1</f>
        <v/>
      </c>
    </row>
    <row r="6">
      <c r="A6" s="5" t="inlineStr">
        <is>
          <t>3月</t>
        </is>
      </c>
      <c r="B6" s="5" t="n">
        <v>5</v>
      </c>
      <c r="C6" s="5" t="inlineStr">
        <is>
          <t>尾部</t>
        </is>
      </c>
      <c r="D6" s="5" t="inlineStr">
        <is>
          <t>喵喵分享家</t>
        </is>
      </c>
      <c r="E6" s="6" t="inlineStr">
        <is>
          <t>https://www.xiaohongshu.com/user/profile/610d31440000000001003ee5</t>
        </is>
      </c>
      <c r="F6" s="5" t="inlineStr">
        <is>
          <t>7.2w</t>
        </is>
      </c>
      <c r="G6" s="5" t="inlineStr">
        <is>
          <t>53.1w</t>
        </is>
      </c>
      <c r="H6" s="5" t="inlineStr">
        <is>
          <t>家居家装</t>
        </is>
      </c>
      <c r="I6" s="5" t="inlineStr">
        <is>
          <t>档期4月</t>
        </is>
      </c>
      <c r="J6" s="8" t="n">
        <v>46113</v>
      </c>
      <c r="K6" s="5" t="n"/>
      <c r="L6" s="7" t="inlineStr">
        <is>
          <t>图文</t>
        </is>
      </c>
      <c r="M6" s="7" t="n">
        <v>10500</v>
      </c>
      <c r="N6" s="0">
        <f>M6*1.1</f>
        <v/>
      </c>
    </row>
    <row r="7">
      <c r="A7" s="5" t="inlineStr">
        <is>
          <t>3月</t>
        </is>
      </c>
      <c r="B7" s="5" t="n">
        <v>6</v>
      </c>
      <c r="C7" s="5" t="inlineStr">
        <is>
          <t>尾部</t>
        </is>
      </c>
      <c r="D7" s="5" t="inlineStr">
        <is>
          <t>匹诺Q</t>
        </is>
      </c>
      <c r="E7" s="6" t="inlineStr">
        <is>
          <t>https://www.xiaohongshu.com/user/profile/64daca27000000000100e2f5</t>
        </is>
      </c>
      <c r="F7" s="5" t="inlineStr">
        <is>
          <t>4.4w</t>
        </is>
      </c>
      <c r="G7" s="5" t="inlineStr">
        <is>
          <t>83.0w</t>
        </is>
      </c>
      <c r="H7" s="5" t="inlineStr">
        <is>
          <t>家居家装/改造</t>
        </is>
      </c>
      <c r="I7" s="5" t="inlineStr">
        <is>
          <t>是</t>
        </is>
      </c>
      <c r="J7" s="8" t="n">
        <v>46091</v>
      </c>
      <c r="K7" s="5" t="n"/>
      <c r="L7" s="7" t="inlineStr">
        <is>
          <t>图文</t>
        </is>
      </c>
      <c r="M7" s="7" t="n">
        <v>16500</v>
      </c>
      <c r="N7" s="0">
        <f>M7*1.1</f>
        <v/>
      </c>
    </row>
    <row r="8">
      <c r="E8" s="7" t="n"/>
    </row>
    <row r="9">
      <c r="E9" s="7" t="n"/>
    </row>
    <row r="10">
      <c r="E10" s="7" t="n"/>
    </row>
    <row r="11">
      <c r="E11" s="7" t="n"/>
    </row>
    <row r="12">
      <c r="E12" s="7" t="n"/>
    </row>
    <row r="13">
      <c r="E13" s="7" t="n"/>
    </row>
    <row r="14">
      <c r="E14" s="7" t="n"/>
    </row>
    <row r="15">
      <c r="E15" s="7" t="n"/>
    </row>
    <row r="16">
      <c r="E16" s="7" t="n"/>
    </row>
    <row r="17">
      <c r="E17" s="7" t="n"/>
    </row>
    <row r="18">
      <c r="E18" s="7" t="n"/>
    </row>
    <row r="19">
      <c r="E19" s="7" t="n"/>
    </row>
    <row r="20">
      <c r="E20" s="7" t="n"/>
    </row>
    <row r="21">
      <c r="E21" s="7" t="n"/>
    </row>
    <row r="22">
      <c r="E22" s="7" t="n"/>
    </row>
    <row r="23">
      <c r="E23" s="7" t="n"/>
    </row>
    <row r="24">
      <c r="E24" s="7" t="n"/>
    </row>
    <row r="25">
      <c r="E25" s="7" t="n"/>
    </row>
    <row r="26">
      <c r="E26" s="7" t="n"/>
    </row>
    <row r="27">
      <c r="E27" s="7" t="n"/>
    </row>
    <row r="28">
      <c r="E28" s="7" t="n"/>
    </row>
    <row r="29">
      <c r="E29" s="7" t="n"/>
    </row>
    <row r="30">
      <c r="E30" s="7" t="n"/>
    </row>
    <row r="31">
      <c r="E31" s="7" t="n"/>
    </row>
    <row r="32">
      <c r="E32" s="7" t="n"/>
    </row>
    <row r="33">
      <c r="E33" s="7" t="n"/>
    </row>
    <row r="34">
      <c r="E34" s="7" t="n"/>
    </row>
    <row r="35">
      <c r="E35" s="7" t="n"/>
    </row>
    <row r="36">
      <c r="E36" s="7" t="n"/>
    </row>
    <row r="37">
      <c r="E37" s="7" t="n"/>
    </row>
    <row r="38">
      <c r="E38" s="7" t="n"/>
    </row>
    <row r="39">
      <c r="E39" s="7" t="n"/>
    </row>
    <row r="40">
      <c r="E40" s="7" t="n"/>
    </row>
    <row r="41">
      <c r="E41" s="7" t="n"/>
    </row>
    <row r="42">
      <c r="E42" s="7" t="n"/>
    </row>
    <row r="43">
      <c r="E43" s="7" t="n"/>
    </row>
    <row r="44">
      <c r="E44" s="7" t="n"/>
    </row>
    <row r="45">
      <c r="E45" s="7" t="n"/>
    </row>
    <row r="46">
      <c r="E46" s="7" t="n"/>
    </row>
    <row r="47">
      <c r="E47" s="7" t="n"/>
    </row>
    <row r="48">
      <c r="E48" s="7" t="n"/>
    </row>
    <row r="49">
      <c r="E49" s="7" t="n"/>
    </row>
    <row r="50">
      <c r="E50" s="7" t="n"/>
    </row>
    <row r="51">
      <c r="E51" s="7" t="n"/>
    </row>
    <row r="52">
      <c r="E52" s="7" t="n"/>
    </row>
    <row r="53">
      <c r="E53" s="7" t="n"/>
    </row>
    <row r="54">
      <c r="E54" s="7" t="n"/>
    </row>
    <row r="55">
      <c r="E55" s="7" t="n"/>
    </row>
    <row r="56">
      <c r="E56" s="7" t="n"/>
    </row>
    <row r="57">
      <c r="E57" s="7" t="n"/>
    </row>
    <row r="58">
      <c r="E58" s="7" t="n"/>
    </row>
    <row r="59">
      <c r="E59" s="7" t="n"/>
    </row>
    <row r="60">
      <c r="E60" s="7" t="n"/>
    </row>
    <row r="61">
      <c r="E61" s="7" t="n"/>
    </row>
    <row r="62">
      <c r="E62" s="7" t="n"/>
    </row>
    <row r="63">
      <c r="E63" s="7" t="n"/>
    </row>
    <row r="64">
      <c r="E64" s="7" t="n"/>
    </row>
    <row r="65">
      <c r="E65" s="7" t="n"/>
    </row>
    <row r="66">
      <c r="E66" s="7" t="n"/>
    </row>
    <row r="67">
      <c r="E67" s="7" t="n"/>
    </row>
    <row r="68">
      <c r="E68" s="7" t="n"/>
    </row>
    <row r="69">
      <c r="E69" s="7" t="n"/>
    </row>
    <row r="70">
      <c r="E70" s="7" t="n"/>
    </row>
    <row r="71">
      <c r="E71" s="7" t="n"/>
    </row>
    <row r="72">
      <c r="E72" s="7" t="n"/>
    </row>
    <row r="73">
      <c r="E73" s="7" t="n"/>
    </row>
    <row r="74">
      <c r="E74" s="7" t="n"/>
    </row>
    <row r="75">
      <c r="E75" s="7" t="n"/>
    </row>
    <row r="76">
      <c r="E76" s="7" t="n"/>
    </row>
    <row r="77">
      <c r="E77" s="7" t="n"/>
    </row>
    <row r="78">
      <c r="E78" s="7" t="n"/>
    </row>
    <row r="79">
      <c r="E79" s="7" t="n"/>
    </row>
    <row r="80">
      <c r="E80" s="7" t="n"/>
    </row>
    <row r="81">
      <c r="E81" s="7" t="n"/>
    </row>
    <row r="82">
      <c r="E82" s="7" t="n"/>
    </row>
    <row r="83">
      <c r="E83" s="7" t="n"/>
    </row>
    <row r="84">
      <c r="E84" s="7" t="n"/>
    </row>
    <row r="85">
      <c r="E85" s="7" t="n"/>
    </row>
    <row r="86">
      <c r="E86" s="7" t="n"/>
    </row>
    <row r="87">
      <c r="E87" s="7" t="n"/>
    </row>
    <row r="88">
      <c r="E88" s="7" t="n"/>
    </row>
    <row r="89">
      <c r="E89" s="7" t="n"/>
    </row>
    <row r="90">
      <c r="E90" s="7" t="n"/>
    </row>
    <row r="91">
      <c r="E91" s="7" t="n"/>
    </row>
    <row r="92">
      <c r="E92" s="7" t="n"/>
    </row>
    <row r="93">
      <c r="E93" s="7" t="n"/>
    </row>
    <row r="94">
      <c r="E94" s="7" t="n"/>
    </row>
    <row r="95">
      <c r="E95" s="7" t="n"/>
    </row>
    <row r="96">
      <c r="E96" s="7" t="n"/>
    </row>
    <row r="97">
      <c r="E97" s="7" t="n"/>
    </row>
    <row r="98">
      <c r="E98" s="7" t="n"/>
    </row>
    <row r="99">
      <c r="E99" s="7" t="n"/>
    </row>
    <row r="100">
      <c r="E100" s="7" t="n"/>
    </row>
    <row r="101">
      <c r="E101" s="7" t="n"/>
    </row>
    <row r="102">
      <c r="E102" s="7" t="n"/>
    </row>
    <row r="103">
      <c r="E103" s="7" t="n"/>
    </row>
    <row r="104">
      <c r="E104" s="7" t="n"/>
    </row>
    <row r="105">
      <c r="E105" s="7" t="n"/>
    </row>
    <row r="106">
      <c r="E106" s="7" t="n"/>
    </row>
    <row r="107">
      <c r="E107" s="7" t="n"/>
    </row>
    <row r="108">
      <c r="E108" s="7" t="n"/>
    </row>
    <row r="109">
      <c r="E109" s="7" t="n"/>
    </row>
    <row r="110">
      <c r="E110" s="7" t="n"/>
    </row>
    <row r="111">
      <c r="E111" s="7" t="n"/>
    </row>
    <row r="112">
      <c r="E112" s="7" t="n"/>
    </row>
    <row r="113">
      <c r="E113" s="7" t="n"/>
    </row>
    <row r="114">
      <c r="E114" s="7" t="n"/>
    </row>
    <row r="115">
      <c r="E115" s="7" t="n"/>
    </row>
    <row r="116">
      <c r="E116" s="7" t="n"/>
    </row>
    <row r="117">
      <c r="E117" s="7" t="n"/>
    </row>
    <row r="118">
      <c r="E118" s="7" t="n"/>
    </row>
    <row r="119">
      <c r="E119" s="7" t="n"/>
    </row>
    <row r="120">
      <c r="E120" s="7" t="n"/>
    </row>
    <row r="121">
      <c r="E121" s="7" t="n"/>
    </row>
    <row r="122">
      <c r="E122" s="7" t="n"/>
    </row>
    <row r="123">
      <c r="E123" s="7" t="n"/>
    </row>
    <row r="124">
      <c r="E124" s="7" t="n"/>
    </row>
    <row r="125">
      <c r="E125" s="7" t="n"/>
    </row>
    <row r="126">
      <c r="E126" s="7" t="n"/>
    </row>
    <row r="127">
      <c r="E127" s="7" t="n"/>
    </row>
    <row r="128">
      <c r="E128" s="7" t="n"/>
    </row>
    <row r="129">
      <c r="E129" s="7" t="n"/>
    </row>
    <row r="130">
      <c r="E130" s="7" t="n"/>
    </row>
    <row r="131">
      <c r="E131" s="7" t="n"/>
    </row>
    <row r="132">
      <c r="E132" s="7" t="n"/>
    </row>
    <row r="133">
      <c r="E133" s="7" t="n"/>
    </row>
    <row r="134">
      <c r="E134" s="7" t="n"/>
    </row>
    <row r="135">
      <c r="E135" s="7" t="n"/>
    </row>
    <row r="136">
      <c r="E136" s="7" t="n"/>
    </row>
    <row r="137">
      <c r="E137" s="7" t="n"/>
    </row>
    <row r="138">
      <c r="E138" s="7" t="n"/>
    </row>
    <row r="139">
      <c r="E139" s="7" t="n"/>
    </row>
    <row r="140">
      <c r="E140" s="7" t="n"/>
    </row>
    <row r="141">
      <c r="E141" s="7" t="n"/>
    </row>
    <row r="142">
      <c r="E142" s="7" t="n"/>
    </row>
    <row r="143">
      <c r="E143" s="7" t="n"/>
    </row>
    <row r="144">
      <c r="E144" s="7" t="n"/>
    </row>
    <row r="145">
      <c r="E145" s="7" t="n"/>
    </row>
    <row r="146">
      <c r="E146" s="7" t="n"/>
    </row>
    <row r="147">
      <c r="E147" s="7" t="n"/>
    </row>
    <row r="148">
      <c r="E148" s="7" t="n"/>
    </row>
    <row r="149">
      <c r="E149" s="7" t="n"/>
    </row>
    <row r="150">
      <c r="E150" s="7" t="n"/>
    </row>
    <row r="151">
      <c r="E151" s="7" t="n"/>
    </row>
    <row r="152">
      <c r="E152" s="7" t="n"/>
    </row>
    <row r="153">
      <c r="E153" s="7" t="n"/>
    </row>
    <row r="154">
      <c r="E154" s="7" t="n"/>
    </row>
    <row r="155">
      <c r="E155" s="7" t="n"/>
    </row>
    <row r="156">
      <c r="E156" s="7" t="n"/>
    </row>
    <row r="157">
      <c r="E157" s="7" t="n"/>
    </row>
    <row r="158">
      <c r="E158" s="7" t="n"/>
    </row>
    <row r="159">
      <c r="E159" s="7" t="n"/>
    </row>
    <row r="160">
      <c r="E160" s="7" t="n"/>
    </row>
    <row r="161">
      <c r="E161" s="7" t="n"/>
    </row>
    <row r="162">
      <c r="E162" s="7" t="n"/>
    </row>
    <row r="163">
      <c r="E163" s="7" t="n"/>
    </row>
    <row r="164">
      <c r="E164" s="7" t="n"/>
    </row>
    <row r="165">
      <c r="E165" s="7" t="n"/>
    </row>
    <row r="166">
      <c r="E166" s="7" t="n"/>
    </row>
    <row r="167">
      <c r="E167" s="7" t="n"/>
    </row>
    <row r="168">
      <c r="E168" s="7" t="n"/>
    </row>
    <row r="169">
      <c r="E169" s="7" t="n"/>
    </row>
    <row r="170">
      <c r="E170" s="7" t="n"/>
    </row>
    <row r="171">
      <c r="E171" s="7" t="n"/>
    </row>
    <row r="172">
      <c r="E172" s="7" t="n"/>
    </row>
    <row r="173">
      <c r="E173" s="7" t="n"/>
    </row>
    <row r="174">
      <c r="E174" s="7" t="n"/>
    </row>
    <row r="175">
      <c r="E175" s="7" t="n"/>
    </row>
    <row r="176">
      <c r="E176" s="7" t="n"/>
    </row>
    <row r="177">
      <c r="E177" s="7" t="n"/>
    </row>
    <row r="178">
      <c r="E178" s="7" t="n"/>
    </row>
    <row r="179">
      <c r="E179" s="7" t="n"/>
    </row>
    <row r="180">
      <c r="E180" s="7" t="n"/>
    </row>
    <row r="181">
      <c r="E181" s="7" t="n"/>
    </row>
    <row r="182">
      <c r="E182" s="7" t="n"/>
    </row>
    <row r="183">
      <c r="E183" s="7" t="n"/>
    </row>
    <row r="184">
      <c r="E184" s="7" t="n"/>
    </row>
    <row r="185">
      <c r="E185" s="7" t="n"/>
    </row>
    <row r="186">
      <c r="E186" s="7" t="n"/>
    </row>
    <row r="187">
      <c r="E187" s="7" t="n"/>
    </row>
    <row r="188">
      <c r="E188" s="7" t="n"/>
    </row>
    <row r="189">
      <c r="E189" s="7" t="n"/>
    </row>
    <row r="190">
      <c r="E190" s="7" t="n"/>
    </row>
    <row r="191">
      <c r="E191" s="7" t="n"/>
    </row>
    <row r="192">
      <c r="E192" s="7" t="n"/>
    </row>
    <row r="193">
      <c r="E193" s="7" t="n"/>
    </row>
    <row r="194">
      <c r="E194" s="7" t="n"/>
    </row>
    <row r="195">
      <c r="E195" s="7" t="n"/>
    </row>
    <row r="196">
      <c r="E196" s="7" t="n"/>
    </row>
    <row r="197">
      <c r="E197" s="7" t="n"/>
    </row>
    <row r="198">
      <c r="E198" s="7" t="n"/>
    </row>
    <row r="199">
      <c r="E199" s="7" t="n"/>
    </row>
    <row r="200">
      <c r="E200" s="7" t="n"/>
    </row>
  </sheetData>
  <hyperlinks>
    <hyperlink xmlns:r="http://schemas.openxmlformats.org/officeDocument/2006/relationships" ref="E2" display="https://www.xiaohongshu.com/user/profile/60d3e88e0000000001001254" r:id="rId1"/>
    <hyperlink xmlns:r="http://schemas.openxmlformats.org/officeDocument/2006/relationships" ref="E3" display="https://www.xiaohongshu.com/user/profile/664a0a58000000000b0324a6" r:id="rId2"/>
    <hyperlink xmlns:r="http://schemas.openxmlformats.org/officeDocument/2006/relationships" ref="E4" display="https://www.xiaohongshu.com/user/profile/66640d2b0000000007004955" r:id="rId3"/>
    <hyperlink xmlns:r="http://schemas.openxmlformats.org/officeDocument/2006/relationships" ref="E5" display="https://www.xiaohongshu.com/user/profile/5d2e7934000000001200a067" r:id="rId4"/>
    <hyperlink xmlns:r="http://schemas.openxmlformats.org/officeDocument/2006/relationships" ref="E6" display="https://www.xiaohongshu.com/user/profile/610d31440000000001003ee5" r:id="rId5"/>
    <hyperlink xmlns:r="http://schemas.openxmlformats.org/officeDocument/2006/relationships" ref="E7" display="https://www.xiaohongshu.com/user/profile/64daca27000000000100e2f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2026-03-23T16:09:58Z</dcterms:created>
  <dcterms:modified xsi:type="dcterms:W3CDTF">2026-03-24T04:02:19Z</dcterms:modified>
  <cp:lastModifiedBy>王先生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2A1EBB15CE9547129E9B9C7A1D7F50B8_12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